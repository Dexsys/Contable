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slicers/slicer2.xml" ContentType="application/vnd.ms-excel.slicer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colbun-my.sharepoint.com/personal/lcorales_colbun_cl/Documents/Sindicato N° 7/Tesoreria Sindicato 7/"/>
    </mc:Choice>
  </mc:AlternateContent>
  <xr:revisionPtr revIDLastSave="2827" documentId="8_{115B6961-00FA-4B1C-8974-4B7EFBAEADF6}" xr6:coauthVersionLast="47" xr6:coauthVersionMax="47" xr10:uidLastSave="{8BAFCF8D-2932-446B-BCAA-524859B7C119}"/>
  <bookViews>
    <workbookView xWindow="15225" yWindow="-16320" windowWidth="29040" windowHeight="15720" tabRatio="841" activeTab="3" xr2:uid="{06B14385-2465-804C-A463-7B6DB4C5747B}"/>
  </bookViews>
  <sheets>
    <sheet name="Top 5" sheetId="32" r:id="rId1"/>
    <sheet name="Para Inf Web" sheetId="33" r:id="rId2"/>
    <sheet name="Hoja1" sheetId="34" r:id="rId3"/>
    <sheet name="Banco" sheetId="6" r:id="rId4"/>
    <sheet name="Plan de Cuentas" sheetId="13" r:id="rId5"/>
    <sheet name="Reumen Anual" sheetId="15" state="hidden" r:id="rId6"/>
    <sheet name="Depósitos a Plazo" sheetId="12" r:id="rId7"/>
    <sheet name="Comprobantes" sheetId="1" state="hidden" r:id="rId8"/>
    <sheet name="Saldo Recepcion" sheetId="4" r:id="rId9"/>
  </sheets>
  <definedNames>
    <definedName name="_xlnm._FilterDatabase" localSheetId="1" hidden="1">'Para Inf Web'!#REF!</definedName>
    <definedName name="_xlcn.WorksheetConnection_ContabilidadSimplificada.xlsxBanco1" hidden="1">Banco[]</definedName>
    <definedName name="Bancos">OFFSET(#REF!,0,0,COUNTA(#REF!)-1)</definedName>
    <definedName name="FromOrganiz_1">_xlfn.ANCHORARRAY('Para Inf Web'!$A$5)</definedName>
    <definedName name="SegmentaciónDeDatos_Año">#N/A</definedName>
    <definedName name="SegmentaciónDeDatos_CtaCtbl">#N/A</definedName>
    <definedName name="SegmentaciónDeDatos_CtaCtbl2">#N/A</definedName>
    <definedName name="SegmentaciónDeDatos_Descripción">#N/A</definedName>
    <definedName name="SegmentaciónDeDatos_Mes">#N/A</definedName>
    <definedName name="UF">#REF!</definedName>
  </definedNames>
  <calcPr calcId="191029"/>
  <pivotCaches>
    <pivotCache cacheId="0" r:id="rId10"/>
    <pivotCache cacheId="1" r:id="rId11"/>
  </pivotCaches>
  <extLst>
    <ext xmlns:x14="http://schemas.microsoft.com/office/spreadsheetml/2009/9/main" uri="{876F7934-8845-4945-9796-88D515C7AA90}">
      <x14:pivotCaches>
        <pivotCache cacheId="2" r:id="rId12"/>
      </x14:pivotCaches>
    </ext>
    <ext xmlns:x14="http://schemas.microsoft.com/office/spreadsheetml/2009/9/main" uri="{BBE1A952-AA13-448e-AADC-164F8A28A991}">
      <x14:slicerCaches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14"/>
        <x14:slicerCache r:id="rId15"/>
        <x14:slicerCache r:id="rId16"/>
        <x14:slicerCache r:id="rId17"/>
      </x15:slicerCache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Banco" name="Banco" connection="WorksheetConnection_Contabilidad Simplificada.xlsx!Banco"/>
        </x15:modelTables>
        <x15:extLst>
          <ext xmlns:x16="http://schemas.microsoft.com/office/spreadsheetml/2014/11/main" uri="{9835A34E-60A6-4A7C-AAB8-D5F71C897F49}">
            <x16:modelTimeGroupings>
              <x16:modelTimeGrouping tableName="Banco" columnName="Fecha" columnId="Fecha">
                <x16:calculatedTimeColumn columnName="Fecha (índice de meses)" columnId="Fecha (índice de meses)" contentType="monthsindex" isSelected="1"/>
                <x16:calculatedTimeColumn columnName="Fecha (mes)" columnId="Fecha (mes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48" i="6" l="1"/>
  <c r="A351" i="6"/>
  <c r="A352" i="6"/>
  <c r="A353" i="6"/>
  <c r="B351" i="6"/>
  <c r="B352" i="6"/>
  <c r="B353" i="6"/>
  <c r="C351" i="6"/>
  <c r="C352" i="6"/>
  <c r="C353" i="6"/>
  <c r="H351" i="6"/>
  <c r="H352" i="6"/>
  <c r="H353" i="6"/>
  <c r="K351" i="6"/>
  <c r="K352" i="6"/>
  <c r="K353" i="6"/>
  <c r="M351" i="6"/>
  <c r="M352" i="6"/>
  <c r="M353" i="6"/>
  <c r="A350" i="6"/>
  <c r="B350" i="6"/>
  <c r="C350" i="6"/>
  <c r="H350" i="6"/>
  <c r="K350" i="6"/>
  <c r="M350" i="6"/>
  <c r="A349" i="6"/>
  <c r="B349" i="6"/>
  <c r="C349" i="6"/>
  <c r="H349" i="6"/>
  <c r="K349" i="6"/>
  <c r="A348" i="6"/>
  <c r="B348" i="6"/>
  <c r="C348" i="6"/>
  <c r="H348" i="6"/>
  <c r="K348" i="6"/>
  <c r="A347" i="6"/>
  <c r="B347" i="6"/>
  <c r="C347" i="6"/>
  <c r="H347" i="6"/>
  <c r="K347" i="6"/>
  <c r="M347" i="6"/>
  <c r="A346" i="6"/>
  <c r="B346" i="6"/>
  <c r="C346" i="6"/>
  <c r="H346" i="6"/>
  <c r="K346" i="6"/>
  <c r="M346" i="6"/>
  <c r="A345" i="6"/>
  <c r="B345" i="6"/>
  <c r="C345" i="6"/>
  <c r="H345" i="6"/>
  <c r="K345" i="6"/>
  <c r="M345" i="6"/>
  <c r="A344" i="6"/>
  <c r="B344" i="6"/>
  <c r="C344" i="6"/>
  <c r="H344" i="6"/>
  <c r="K344" i="6"/>
  <c r="M344" i="6"/>
  <c r="A343" i="6"/>
  <c r="B343" i="6"/>
  <c r="C343" i="6"/>
  <c r="H343" i="6"/>
  <c r="K343" i="6"/>
  <c r="M343" i="6"/>
  <c r="A342" i="6"/>
  <c r="B342" i="6"/>
  <c r="C342" i="6"/>
  <c r="H342" i="6"/>
  <c r="K342" i="6"/>
  <c r="M342" i="6"/>
  <c r="A341" i="6"/>
  <c r="B341" i="6"/>
  <c r="C341" i="6"/>
  <c r="H341" i="6"/>
  <c r="K341" i="6"/>
  <c r="M341" i="6"/>
  <c r="BJ102" i="13"/>
  <c r="BJ101" i="13" s="1"/>
  <c r="BJ100" i="13" s="1"/>
  <c r="BK102" i="13"/>
  <c r="BK101" i="13" s="1"/>
  <c r="BK100" i="13" s="1"/>
  <c r="BL102" i="13"/>
  <c r="BL101" i="13" s="1"/>
  <c r="BL100" i="13" s="1"/>
  <c r="BM102" i="13"/>
  <c r="BM101" i="13" s="1"/>
  <c r="BM100" i="13" s="1"/>
  <c r="BN102" i="13"/>
  <c r="BN101" i="13" s="1"/>
  <c r="BN100" i="13" s="1"/>
  <c r="BO102" i="13"/>
  <c r="BO101" i="13" s="1"/>
  <c r="BO100" i="13" s="1"/>
  <c r="BP102" i="13"/>
  <c r="BP101" i="13" s="1"/>
  <c r="BP100" i="13" s="1"/>
  <c r="BQ102" i="13"/>
  <c r="BQ101" i="13" s="1"/>
  <c r="BQ100" i="13" s="1"/>
  <c r="BR102" i="13"/>
  <c r="BR101" i="13" s="1"/>
  <c r="BR100" i="13" s="1"/>
  <c r="BS102" i="13"/>
  <c r="BS101" i="13" s="1"/>
  <c r="BS100" i="13" s="1"/>
  <c r="BT102" i="13"/>
  <c r="BT101" i="13" s="1"/>
  <c r="BT100" i="13" s="1"/>
  <c r="BU102" i="13"/>
  <c r="BU101" i="13" s="1"/>
  <c r="BU100" i="13" s="1"/>
  <c r="J5" i="12"/>
  <c r="J6" i="12"/>
  <c r="J7" i="12"/>
  <c r="J8" i="12"/>
  <c r="J9" i="12"/>
  <c r="H12" i="12"/>
  <c r="F12" i="12"/>
  <c r="K9" i="12"/>
  <c r="D2" i="33" l="1"/>
  <c r="D1" i="33"/>
  <c r="G11" i="6" l="1"/>
  <c r="I11" i="6"/>
  <c r="A340" i="6"/>
  <c r="B340" i="6"/>
  <c r="C340" i="6"/>
  <c r="H340" i="6"/>
  <c r="K340" i="6"/>
  <c r="M340" i="6"/>
  <c r="A339" i="6"/>
  <c r="B339" i="6"/>
  <c r="C339" i="6"/>
  <c r="H339" i="6"/>
  <c r="K339" i="6"/>
  <c r="M339" i="6"/>
  <c r="A338" i="6"/>
  <c r="B338" i="6"/>
  <c r="C338" i="6"/>
  <c r="H338" i="6"/>
  <c r="K338" i="6"/>
  <c r="M338" i="6"/>
  <c r="A337" i="6"/>
  <c r="B337" i="6"/>
  <c r="C337" i="6"/>
  <c r="H337" i="6"/>
  <c r="K337" i="6"/>
  <c r="M337" i="6"/>
  <c r="A336" i="6"/>
  <c r="B336" i="6"/>
  <c r="C336" i="6"/>
  <c r="H336" i="6"/>
  <c r="K336" i="6"/>
  <c r="M336" i="6"/>
  <c r="A335" i="6"/>
  <c r="B335" i="6"/>
  <c r="C335" i="6"/>
  <c r="H335" i="6"/>
  <c r="K335" i="6"/>
  <c r="M335" i="6"/>
  <c r="A334" i="6"/>
  <c r="B334" i="6"/>
  <c r="C334" i="6"/>
  <c r="H334" i="6"/>
  <c r="K334" i="6"/>
  <c r="M334" i="6"/>
  <c r="A333" i="6"/>
  <c r="B333" i="6"/>
  <c r="C333" i="6"/>
  <c r="H333" i="6"/>
  <c r="K333" i="6"/>
  <c r="M333" i="6"/>
  <c r="A332" i="6"/>
  <c r="B332" i="6"/>
  <c r="C332" i="6"/>
  <c r="H332" i="6"/>
  <c r="K332" i="6"/>
  <c r="M332" i="6"/>
  <c r="A331" i="6"/>
  <c r="B331" i="6"/>
  <c r="C331" i="6"/>
  <c r="H331" i="6"/>
  <c r="K331" i="6"/>
  <c r="M331" i="6"/>
  <c r="A330" i="6"/>
  <c r="B330" i="6"/>
  <c r="C330" i="6"/>
  <c r="H330" i="6"/>
  <c r="K330" i="6"/>
  <c r="M330" i="6"/>
  <c r="A329" i="6"/>
  <c r="B329" i="6"/>
  <c r="C329" i="6"/>
  <c r="H329" i="6"/>
  <c r="K329" i="6"/>
  <c r="M329" i="6"/>
  <c r="A328" i="6"/>
  <c r="B328" i="6"/>
  <c r="C328" i="6"/>
  <c r="H328" i="6"/>
  <c r="K328" i="6"/>
  <c r="M328" i="6"/>
  <c r="A327" i="6"/>
  <c r="B327" i="6"/>
  <c r="C327" i="6"/>
  <c r="H327" i="6"/>
  <c r="K327" i="6"/>
  <c r="M327" i="6"/>
  <c r="A326" i="6"/>
  <c r="B326" i="6"/>
  <c r="C326" i="6"/>
  <c r="H326" i="6"/>
  <c r="K326" i="6"/>
  <c r="M326" i="6"/>
  <c r="A325" i="6"/>
  <c r="B325" i="6"/>
  <c r="C325" i="6"/>
  <c r="H325" i="6"/>
  <c r="K325" i="6"/>
  <c r="M325" i="6"/>
  <c r="A324" i="6"/>
  <c r="B324" i="6"/>
  <c r="C324" i="6"/>
  <c r="H324" i="6"/>
  <c r="K324" i="6"/>
  <c r="M324" i="6"/>
  <c r="K8" i="12"/>
  <c r="A323" i="6"/>
  <c r="B323" i="6"/>
  <c r="C323" i="6"/>
  <c r="H323" i="6"/>
  <c r="K323" i="6"/>
  <c r="M323" i="6"/>
  <c r="A322" i="6"/>
  <c r="B322" i="6"/>
  <c r="C322" i="6"/>
  <c r="K322" i="6"/>
  <c r="M322" i="6"/>
  <c r="A321" i="6"/>
  <c r="B321" i="6"/>
  <c r="C321" i="6"/>
  <c r="H321" i="6"/>
  <c r="K321" i="6"/>
  <c r="M321" i="6"/>
  <c r="A320" i="6"/>
  <c r="B320" i="6"/>
  <c r="C320" i="6"/>
  <c r="H320" i="6"/>
  <c r="K320" i="6"/>
  <c r="M320" i="6"/>
  <c r="A319" i="6"/>
  <c r="B319" i="6"/>
  <c r="C319" i="6"/>
  <c r="H319" i="6"/>
  <c r="K319" i="6"/>
  <c r="M319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A318" i="6"/>
  <c r="B318" i="6"/>
  <c r="C318" i="6"/>
  <c r="K318" i="6"/>
  <c r="A317" i="6"/>
  <c r="B317" i="6"/>
  <c r="C317" i="6"/>
  <c r="K317" i="6"/>
  <c r="A316" i="6"/>
  <c r="B316" i="6"/>
  <c r="C316" i="6"/>
  <c r="K316" i="6"/>
  <c r="A315" i="6"/>
  <c r="B315" i="6"/>
  <c r="C315" i="6"/>
  <c r="K315" i="6"/>
  <c r="A314" i="6"/>
  <c r="B314" i="6"/>
  <c r="C314" i="6"/>
  <c r="K314" i="6"/>
  <c r="A313" i="6"/>
  <c r="B313" i="6"/>
  <c r="C313" i="6"/>
  <c r="K313" i="6"/>
  <c r="V103" i="13"/>
  <c r="C181" i="6"/>
  <c r="B181" i="6"/>
  <c r="A181" i="6"/>
  <c r="I9" i="6" l="1"/>
  <c r="A171" i="6"/>
  <c r="B171" i="6"/>
  <c r="C171" i="6"/>
  <c r="K171" i="6"/>
  <c r="A312" i="6"/>
  <c r="B312" i="6"/>
  <c r="C312" i="6"/>
  <c r="K312" i="6"/>
  <c r="A311" i="6"/>
  <c r="B311" i="6"/>
  <c r="C311" i="6"/>
  <c r="K311" i="6"/>
  <c r="A310" i="6"/>
  <c r="B310" i="6"/>
  <c r="C310" i="6"/>
  <c r="K310" i="6"/>
  <c r="A309" i="6"/>
  <c r="B309" i="6"/>
  <c r="C309" i="6"/>
  <c r="K309" i="6"/>
  <c r="A308" i="6"/>
  <c r="B308" i="6"/>
  <c r="C308" i="6"/>
  <c r="K308" i="6"/>
  <c r="A307" i="6"/>
  <c r="B307" i="6"/>
  <c r="C307" i="6"/>
  <c r="K307" i="6"/>
  <c r="A306" i="6"/>
  <c r="B306" i="6"/>
  <c r="C306" i="6"/>
  <c r="K306" i="6"/>
  <c r="A305" i="6"/>
  <c r="B305" i="6"/>
  <c r="C305" i="6"/>
  <c r="K305" i="6"/>
  <c r="A304" i="6"/>
  <c r="B304" i="6"/>
  <c r="C304" i="6"/>
  <c r="K304" i="6"/>
  <c r="F5" i="4"/>
  <c r="F3" i="4"/>
  <c r="E3" i="4"/>
  <c r="D3" i="4"/>
  <c r="E30" i="1"/>
  <c r="D30" i="1"/>
  <c r="E29" i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D18" i="1"/>
  <c r="E17" i="1"/>
  <c r="D17" i="1"/>
  <c r="E16" i="1"/>
  <c r="D16" i="1"/>
  <c r="E15" i="1"/>
  <c r="D15" i="1"/>
  <c r="E14" i="1"/>
  <c r="D14" i="1"/>
  <c r="E13" i="1"/>
  <c r="D13" i="1"/>
  <c r="E12" i="1"/>
  <c r="D12" i="1"/>
  <c r="E11" i="1"/>
  <c r="D11" i="1"/>
  <c r="E10" i="1"/>
  <c r="D10" i="1"/>
  <c r="E9" i="1"/>
  <c r="D9" i="1"/>
  <c r="E8" i="1"/>
  <c r="D8" i="1"/>
  <c r="E7" i="1"/>
  <c r="D7" i="1"/>
  <c r="E6" i="1"/>
  <c r="D6" i="1"/>
  <c r="E5" i="1"/>
  <c r="D5" i="1"/>
  <c r="E4" i="1"/>
  <c r="D4" i="1"/>
  <c r="E3" i="1"/>
  <c r="D3" i="1"/>
  <c r="E2" i="1"/>
  <c r="D2" i="1"/>
  <c r="K7" i="12"/>
  <c r="K6" i="12"/>
  <c r="K5" i="12"/>
  <c r="J12" i="12"/>
  <c r="C97" i="15"/>
  <c r="C95" i="15"/>
  <c r="C93" i="15"/>
  <c r="F93" i="15" s="1"/>
  <c r="C92" i="15"/>
  <c r="C91" i="15"/>
  <c r="C90" i="15"/>
  <c r="C89" i="15"/>
  <c r="H89" i="15" s="1"/>
  <c r="C88" i="15"/>
  <c r="C87" i="15"/>
  <c r="C86" i="15"/>
  <c r="E86" i="15" s="1"/>
  <c r="C85" i="15"/>
  <c r="I85" i="15" s="1"/>
  <c r="C84" i="15"/>
  <c r="I84" i="15" s="1"/>
  <c r="C83" i="15"/>
  <c r="C82" i="15"/>
  <c r="I82" i="15" s="1"/>
  <c r="C81" i="15"/>
  <c r="C80" i="15"/>
  <c r="C79" i="15"/>
  <c r="C78" i="15"/>
  <c r="C77" i="15"/>
  <c r="F77" i="15" s="1"/>
  <c r="C76" i="15"/>
  <c r="H76" i="15" s="1"/>
  <c r="C75" i="15"/>
  <c r="C74" i="15"/>
  <c r="C73" i="15"/>
  <c r="C72" i="15"/>
  <c r="I72" i="15" s="1"/>
  <c r="C71" i="15"/>
  <c r="C70" i="15"/>
  <c r="C69" i="15"/>
  <c r="G69" i="15" s="1"/>
  <c r="C68" i="15"/>
  <c r="I68" i="15" s="1"/>
  <c r="C67" i="15"/>
  <c r="H67" i="15" s="1"/>
  <c r="C66" i="15"/>
  <c r="E66" i="15" s="1"/>
  <c r="C65" i="15"/>
  <c r="C64" i="15"/>
  <c r="C63" i="15"/>
  <c r="C62" i="15"/>
  <c r="C61" i="15"/>
  <c r="F61" i="15" s="1"/>
  <c r="C60" i="15"/>
  <c r="C59" i="15"/>
  <c r="C58" i="15"/>
  <c r="C57" i="15"/>
  <c r="C56" i="15"/>
  <c r="C55" i="15"/>
  <c r="C54" i="15"/>
  <c r="E54" i="15" s="1"/>
  <c r="C53" i="15"/>
  <c r="C52" i="15"/>
  <c r="H52" i="15" s="1"/>
  <c r="C51" i="15"/>
  <c r="G51" i="15" s="1"/>
  <c r="C50" i="15"/>
  <c r="C49" i="15"/>
  <c r="C48" i="15"/>
  <c r="C47" i="15"/>
  <c r="C46" i="15"/>
  <c r="C45" i="15"/>
  <c r="C44" i="15"/>
  <c r="C43" i="15"/>
  <c r="C42" i="15"/>
  <c r="C41" i="15"/>
  <c r="C40" i="15"/>
  <c r="C39" i="15"/>
  <c r="I39" i="15" s="1"/>
  <c r="C38" i="15"/>
  <c r="C37" i="15"/>
  <c r="C36" i="15"/>
  <c r="C35" i="15"/>
  <c r="C34" i="15"/>
  <c r="C33" i="15"/>
  <c r="F33" i="15" s="1"/>
  <c r="C32" i="15"/>
  <c r="G32" i="15" s="1"/>
  <c r="C31" i="15"/>
  <c r="C30" i="15"/>
  <c r="F30" i="15" s="1"/>
  <c r="C29" i="15"/>
  <c r="F29" i="15" s="1"/>
  <c r="C28" i="15"/>
  <c r="C27" i="15"/>
  <c r="C26" i="15"/>
  <c r="C25" i="15"/>
  <c r="C24" i="15"/>
  <c r="C23" i="15"/>
  <c r="C22" i="15"/>
  <c r="C21" i="15"/>
  <c r="F21" i="15" s="1"/>
  <c r="C20" i="15"/>
  <c r="I20" i="15" s="1"/>
  <c r="C19" i="15"/>
  <c r="C18" i="15"/>
  <c r="H18" i="15" s="1"/>
  <c r="C17" i="15"/>
  <c r="E17" i="15" s="1"/>
  <c r="C16" i="15"/>
  <c r="G16" i="15" s="1"/>
  <c r="C15" i="15"/>
  <c r="C14" i="15"/>
  <c r="C13" i="15"/>
  <c r="C12" i="15"/>
  <c r="F12" i="15" s="1"/>
  <c r="C11" i="15"/>
  <c r="H11" i="15" s="1"/>
  <c r="C10" i="15"/>
  <c r="C9" i="15"/>
  <c r="H9" i="15" s="1"/>
  <c r="C8" i="15"/>
  <c r="F8" i="15" s="1"/>
  <c r="C7" i="15"/>
  <c r="C6" i="15"/>
  <c r="C5" i="15"/>
  <c r="C4" i="15"/>
  <c r="C3" i="15"/>
  <c r="BI111" i="13"/>
  <c r="H100" i="15"/>
  <c r="G100" i="15"/>
  <c r="F100" i="15"/>
  <c r="E100" i="15"/>
  <c r="C99" i="13"/>
  <c r="BG99" i="13" s="1"/>
  <c r="C98" i="13"/>
  <c r="C97" i="13"/>
  <c r="C96" i="13"/>
  <c r="C95" i="13"/>
  <c r="BG95" i="13" s="1"/>
  <c r="C94" i="13"/>
  <c r="C93" i="13"/>
  <c r="C92" i="13"/>
  <c r="BG92" i="13" s="1"/>
  <c r="C91" i="13"/>
  <c r="BG91" i="13" s="1"/>
  <c r="C90" i="13"/>
  <c r="BG90" i="13" s="1"/>
  <c r="C89" i="13"/>
  <c r="C88" i="13"/>
  <c r="BG88" i="13" s="1"/>
  <c r="C87" i="13"/>
  <c r="BG87" i="13" s="1"/>
  <c r="C86" i="13"/>
  <c r="C85" i="13"/>
  <c r="C84" i="13"/>
  <c r="C83" i="13"/>
  <c r="BG83" i="13" s="1"/>
  <c r="C82" i="13"/>
  <c r="BG82" i="13" s="1"/>
  <c r="C81" i="13"/>
  <c r="C80" i="13"/>
  <c r="C79" i="13"/>
  <c r="BG79" i="13" s="1"/>
  <c r="C78" i="13"/>
  <c r="C77" i="13"/>
  <c r="C76" i="13"/>
  <c r="BG76" i="13" s="1"/>
  <c r="C75" i="13"/>
  <c r="BG75" i="13" s="1"/>
  <c r="C74" i="13"/>
  <c r="BG74" i="13" s="1"/>
  <c r="C73" i="13"/>
  <c r="C72" i="13"/>
  <c r="C71" i="13"/>
  <c r="BG71" i="13" s="1"/>
  <c r="C70" i="13"/>
  <c r="BG70" i="13" s="1"/>
  <c r="C69" i="13"/>
  <c r="BG69" i="13" s="1"/>
  <c r="C68" i="13"/>
  <c r="C67" i="13"/>
  <c r="C66" i="13"/>
  <c r="C65" i="13"/>
  <c r="C64" i="13"/>
  <c r="BG64" i="13" s="1"/>
  <c r="C63" i="13"/>
  <c r="C62" i="13"/>
  <c r="C61" i="13"/>
  <c r="C60" i="13"/>
  <c r="C59" i="13"/>
  <c r="C58" i="13"/>
  <c r="BG58" i="13" s="1"/>
  <c r="C57" i="13"/>
  <c r="BG57" i="13" s="1"/>
  <c r="C56" i="13"/>
  <c r="BG56" i="13" s="1"/>
  <c r="C55" i="13"/>
  <c r="BG55" i="13" s="1"/>
  <c r="C54" i="13"/>
  <c r="BG54" i="13" s="1"/>
  <c r="C53" i="13"/>
  <c r="BG53" i="13" s="1"/>
  <c r="C52" i="13"/>
  <c r="C51" i="13"/>
  <c r="BG51" i="13" s="1"/>
  <c r="C50" i="13"/>
  <c r="C49" i="13"/>
  <c r="C48" i="13"/>
  <c r="C47" i="13"/>
  <c r="BG47" i="13" s="1"/>
  <c r="C46" i="13"/>
  <c r="C45" i="13"/>
  <c r="C44" i="13"/>
  <c r="C43" i="13"/>
  <c r="C42" i="13"/>
  <c r="BG42" i="13" s="1"/>
  <c r="C41" i="13"/>
  <c r="C40" i="13"/>
  <c r="C39" i="13"/>
  <c r="C38" i="13"/>
  <c r="BG38" i="13" s="1"/>
  <c r="C37" i="13"/>
  <c r="C36" i="13"/>
  <c r="BG36" i="13" s="1"/>
  <c r="C35" i="13"/>
  <c r="C34" i="13"/>
  <c r="C33" i="13"/>
  <c r="BG33" i="13" s="1"/>
  <c r="C32" i="13"/>
  <c r="BG32" i="13" s="1"/>
  <c r="C31" i="13"/>
  <c r="BG31" i="13" s="1"/>
  <c r="C30" i="13"/>
  <c r="C29" i="13"/>
  <c r="C28" i="13"/>
  <c r="C27" i="13"/>
  <c r="C26" i="13"/>
  <c r="C25" i="13"/>
  <c r="C24" i="13"/>
  <c r="BG24" i="13" s="1"/>
  <c r="C23" i="13"/>
  <c r="BG23" i="13" s="1"/>
  <c r="C22" i="13"/>
  <c r="C21" i="13"/>
  <c r="C20" i="13"/>
  <c r="BG20" i="13" s="1"/>
  <c r="C19" i="13"/>
  <c r="BG19" i="13" s="1"/>
  <c r="C18" i="13"/>
  <c r="C17" i="13"/>
  <c r="C16" i="13"/>
  <c r="C15" i="13"/>
  <c r="C14" i="13"/>
  <c r="BG14" i="13" s="1"/>
  <c r="C13" i="13"/>
  <c r="BG13" i="13" s="1"/>
  <c r="C12" i="13"/>
  <c r="C11" i="13"/>
  <c r="BG11" i="13" s="1"/>
  <c r="C10" i="13"/>
  <c r="BG10" i="13" s="1"/>
  <c r="C9" i="13"/>
  <c r="C8" i="13"/>
  <c r="BG8" i="13" s="1"/>
  <c r="C7" i="13"/>
  <c r="C6" i="13"/>
  <c r="C5" i="13"/>
  <c r="C4" i="13"/>
  <c r="K303" i="6"/>
  <c r="C303" i="6"/>
  <c r="B303" i="6"/>
  <c r="A303" i="6"/>
  <c r="K302" i="6"/>
  <c r="C302" i="6"/>
  <c r="B302" i="6"/>
  <c r="A302" i="6"/>
  <c r="K301" i="6"/>
  <c r="C301" i="6"/>
  <c r="B301" i="6"/>
  <c r="A301" i="6"/>
  <c r="K300" i="6"/>
  <c r="C300" i="6"/>
  <c r="B300" i="6"/>
  <c r="A300" i="6"/>
  <c r="K299" i="6"/>
  <c r="C299" i="6"/>
  <c r="B299" i="6"/>
  <c r="A299" i="6"/>
  <c r="K298" i="6"/>
  <c r="C298" i="6"/>
  <c r="B298" i="6"/>
  <c r="A298" i="6"/>
  <c r="K297" i="6"/>
  <c r="C297" i="6"/>
  <c r="B297" i="6"/>
  <c r="A297" i="6"/>
  <c r="K296" i="6"/>
  <c r="C296" i="6"/>
  <c r="B296" i="6"/>
  <c r="A296" i="6"/>
  <c r="K295" i="6"/>
  <c r="C295" i="6"/>
  <c r="B295" i="6"/>
  <c r="A295" i="6"/>
  <c r="K294" i="6"/>
  <c r="C294" i="6"/>
  <c r="B294" i="6"/>
  <c r="A294" i="6"/>
  <c r="K293" i="6"/>
  <c r="C293" i="6"/>
  <c r="B293" i="6"/>
  <c r="A293" i="6"/>
  <c r="K292" i="6"/>
  <c r="C292" i="6"/>
  <c r="B292" i="6"/>
  <c r="A292" i="6"/>
  <c r="K291" i="6"/>
  <c r="C291" i="6"/>
  <c r="BG98" i="13" s="1"/>
  <c r="BG97" i="13" s="1"/>
  <c r="B291" i="6"/>
  <c r="A291" i="6"/>
  <c r="K290" i="6"/>
  <c r="C290" i="6"/>
  <c r="B290" i="6"/>
  <c r="A290" i="6"/>
  <c r="K289" i="6"/>
  <c r="C289" i="6"/>
  <c r="B289" i="6"/>
  <c r="A289" i="6"/>
  <c r="K288" i="6"/>
  <c r="C288" i="6"/>
  <c r="B288" i="6"/>
  <c r="A288" i="6"/>
  <c r="K287" i="6"/>
  <c r="C287" i="6"/>
  <c r="B287" i="6"/>
  <c r="A287" i="6"/>
  <c r="K286" i="6"/>
  <c r="C286" i="6"/>
  <c r="B286" i="6"/>
  <c r="A286" i="6"/>
  <c r="K285" i="6"/>
  <c r="C285" i="6"/>
  <c r="B285" i="6"/>
  <c r="A285" i="6"/>
  <c r="K284" i="6"/>
  <c r="C284" i="6"/>
  <c r="B284" i="6"/>
  <c r="A284" i="6"/>
  <c r="K283" i="6"/>
  <c r="C283" i="6"/>
  <c r="B283" i="6"/>
  <c r="A283" i="6"/>
  <c r="K282" i="6"/>
  <c r="C282" i="6"/>
  <c r="B282" i="6"/>
  <c r="A282" i="6"/>
  <c r="K281" i="6"/>
  <c r="C281" i="6"/>
  <c r="B281" i="6"/>
  <c r="A281" i="6"/>
  <c r="K280" i="6"/>
  <c r="C280" i="6"/>
  <c r="B280" i="6"/>
  <c r="A280" i="6"/>
  <c r="K279" i="6"/>
  <c r="C279" i="6"/>
  <c r="B279" i="6"/>
  <c r="A279" i="6"/>
  <c r="K278" i="6"/>
  <c r="C278" i="6"/>
  <c r="B278" i="6"/>
  <c r="A278" i="6"/>
  <c r="K277" i="6"/>
  <c r="C277" i="6"/>
  <c r="B277" i="6"/>
  <c r="A277" i="6"/>
  <c r="K276" i="6"/>
  <c r="C276" i="6"/>
  <c r="B276" i="6"/>
  <c r="A276" i="6"/>
  <c r="K275" i="6"/>
  <c r="C275" i="6"/>
  <c r="B275" i="6"/>
  <c r="A275" i="6"/>
  <c r="K274" i="6"/>
  <c r="C274" i="6"/>
  <c r="B274" i="6"/>
  <c r="A274" i="6"/>
  <c r="K273" i="6"/>
  <c r="C273" i="6"/>
  <c r="B273" i="6"/>
  <c r="A273" i="6"/>
  <c r="K272" i="6"/>
  <c r="C272" i="6"/>
  <c r="B272" i="6"/>
  <c r="A272" i="6"/>
  <c r="K271" i="6"/>
  <c r="C271" i="6"/>
  <c r="B271" i="6"/>
  <c r="A271" i="6"/>
  <c r="K270" i="6"/>
  <c r="C270" i="6"/>
  <c r="B270" i="6"/>
  <c r="A270" i="6"/>
  <c r="K269" i="6"/>
  <c r="C269" i="6"/>
  <c r="B269" i="6"/>
  <c r="A269" i="6"/>
  <c r="K268" i="6"/>
  <c r="C268" i="6"/>
  <c r="B268" i="6"/>
  <c r="A268" i="6"/>
  <c r="K267" i="6"/>
  <c r="C267" i="6"/>
  <c r="B267" i="6"/>
  <c r="A267" i="6"/>
  <c r="K266" i="6"/>
  <c r="C266" i="6"/>
  <c r="B266" i="6"/>
  <c r="A266" i="6"/>
  <c r="K265" i="6"/>
  <c r="C265" i="6"/>
  <c r="B265" i="6"/>
  <c r="A265" i="6"/>
  <c r="K264" i="6"/>
  <c r="C264" i="6"/>
  <c r="B264" i="6"/>
  <c r="A264" i="6"/>
  <c r="K263" i="6"/>
  <c r="C263" i="6"/>
  <c r="B263" i="6"/>
  <c r="A263" i="6"/>
  <c r="K262" i="6"/>
  <c r="C262" i="6"/>
  <c r="B262" i="6"/>
  <c r="A262" i="6"/>
  <c r="K261" i="6"/>
  <c r="C261" i="6"/>
  <c r="B261" i="6"/>
  <c r="A261" i="6"/>
  <c r="K260" i="6"/>
  <c r="C260" i="6"/>
  <c r="BG46" i="13" s="1"/>
  <c r="B260" i="6"/>
  <c r="A260" i="6"/>
  <c r="K259" i="6"/>
  <c r="C259" i="6"/>
  <c r="B259" i="6"/>
  <c r="A259" i="6"/>
  <c r="K258" i="6"/>
  <c r="C258" i="6"/>
  <c r="B258" i="6"/>
  <c r="A258" i="6"/>
  <c r="K257" i="6"/>
  <c r="C257" i="6"/>
  <c r="B257" i="6"/>
  <c r="A257" i="6"/>
  <c r="K256" i="6"/>
  <c r="C256" i="6"/>
  <c r="B256" i="6"/>
  <c r="A256" i="6"/>
  <c r="K255" i="6"/>
  <c r="C255" i="6"/>
  <c r="B255" i="6"/>
  <c r="A255" i="6"/>
  <c r="K254" i="6"/>
  <c r="C254" i="6"/>
  <c r="B254" i="6"/>
  <c r="A254" i="6"/>
  <c r="K253" i="6"/>
  <c r="C253" i="6"/>
  <c r="B253" i="6"/>
  <c r="A253" i="6"/>
  <c r="K252" i="6"/>
  <c r="C252" i="6"/>
  <c r="B252" i="6"/>
  <c r="A252" i="6"/>
  <c r="K251" i="6"/>
  <c r="C251" i="6"/>
  <c r="B251" i="6"/>
  <c r="A251" i="6"/>
  <c r="K250" i="6"/>
  <c r="C250" i="6"/>
  <c r="B250" i="6"/>
  <c r="A250" i="6"/>
  <c r="K249" i="6"/>
  <c r="C249" i="6"/>
  <c r="B249" i="6"/>
  <c r="A249" i="6"/>
  <c r="K248" i="6"/>
  <c r="C248" i="6"/>
  <c r="B248" i="6"/>
  <c r="A248" i="6"/>
  <c r="K247" i="6"/>
  <c r="C247" i="6"/>
  <c r="B247" i="6"/>
  <c r="A247" i="6"/>
  <c r="K246" i="6"/>
  <c r="C246" i="6"/>
  <c r="B246" i="6"/>
  <c r="A246" i="6"/>
  <c r="K245" i="6"/>
  <c r="C245" i="6"/>
  <c r="B245" i="6"/>
  <c r="A245" i="6"/>
  <c r="K244" i="6"/>
  <c r="C244" i="6"/>
  <c r="BG43" i="13" s="1"/>
  <c r="B244" i="6"/>
  <c r="A244" i="6"/>
  <c r="K243" i="6"/>
  <c r="C243" i="6"/>
  <c r="B243" i="6"/>
  <c r="A243" i="6"/>
  <c r="K242" i="6"/>
  <c r="C242" i="6"/>
  <c r="B242" i="6"/>
  <c r="A242" i="6"/>
  <c r="K241" i="6"/>
  <c r="C241" i="6"/>
  <c r="B241" i="6"/>
  <c r="A241" i="6"/>
  <c r="K240" i="6"/>
  <c r="C240" i="6"/>
  <c r="B240" i="6"/>
  <c r="A240" i="6"/>
  <c r="K239" i="6"/>
  <c r="C239" i="6"/>
  <c r="B239" i="6"/>
  <c r="A239" i="6"/>
  <c r="K238" i="6"/>
  <c r="C238" i="6"/>
  <c r="B238" i="6"/>
  <c r="A238" i="6"/>
  <c r="K237" i="6"/>
  <c r="C237" i="6"/>
  <c r="B237" i="6"/>
  <c r="A237" i="6"/>
  <c r="K236" i="6"/>
  <c r="C236" i="6"/>
  <c r="BG45" i="13" s="1"/>
  <c r="B236" i="6"/>
  <c r="A236" i="6"/>
  <c r="K235" i="6"/>
  <c r="C235" i="6"/>
  <c r="B235" i="6"/>
  <c r="A235" i="6"/>
  <c r="K234" i="6"/>
  <c r="C234" i="6"/>
  <c r="B234" i="6"/>
  <c r="A234" i="6"/>
  <c r="K233" i="6"/>
  <c r="C233" i="6"/>
  <c r="B233" i="6"/>
  <c r="A233" i="6"/>
  <c r="K232" i="6"/>
  <c r="C232" i="6"/>
  <c r="B232" i="6"/>
  <c r="A232" i="6"/>
  <c r="K231" i="6"/>
  <c r="C231" i="6"/>
  <c r="B231" i="6"/>
  <c r="A231" i="6"/>
  <c r="K230" i="6"/>
  <c r="C230" i="6"/>
  <c r="B230" i="6"/>
  <c r="A230" i="6"/>
  <c r="K229" i="6"/>
  <c r="C229" i="6"/>
  <c r="B229" i="6"/>
  <c r="A229" i="6"/>
  <c r="K228" i="6"/>
  <c r="C228" i="6"/>
  <c r="B228" i="6"/>
  <c r="A228" i="6"/>
  <c r="K227" i="6"/>
  <c r="C227" i="6"/>
  <c r="B227" i="6"/>
  <c r="A227" i="6"/>
  <c r="K226" i="6"/>
  <c r="C226" i="6"/>
  <c r="B226" i="6"/>
  <c r="A226" i="6"/>
  <c r="K225" i="6"/>
  <c r="C225" i="6"/>
  <c r="B225" i="6"/>
  <c r="A225" i="6"/>
  <c r="K224" i="6"/>
  <c r="C224" i="6"/>
  <c r="B224" i="6"/>
  <c r="A224" i="6"/>
  <c r="K223" i="6"/>
  <c r="C223" i="6"/>
  <c r="B223" i="6"/>
  <c r="A223" i="6"/>
  <c r="K222" i="6"/>
  <c r="C222" i="6"/>
  <c r="B222" i="6"/>
  <c r="A222" i="6"/>
  <c r="K221" i="6"/>
  <c r="C221" i="6"/>
  <c r="B221" i="6"/>
  <c r="A221" i="6"/>
  <c r="K220" i="6"/>
  <c r="C220" i="6"/>
  <c r="B220" i="6"/>
  <c r="A220" i="6"/>
  <c r="K219" i="6"/>
  <c r="C219" i="6"/>
  <c r="B219" i="6"/>
  <c r="A219" i="6"/>
  <c r="K218" i="6"/>
  <c r="C218" i="6"/>
  <c r="B218" i="6"/>
  <c r="A218" i="6"/>
  <c r="K217" i="6"/>
  <c r="C217" i="6"/>
  <c r="B217" i="6"/>
  <c r="A217" i="6"/>
  <c r="K216" i="6"/>
  <c r="C216" i="6"/>
  <c r="B216" i="6"/>
  <c r="A216" i="6"/>
  <c r="K215" i="6"/>
  <c r="C215" i="6"/>
  <c r="B215" i="6"/>
  <c r="A215" i="6"/>
  <c r="K214" i="6"/>
  <c r="C214" i="6"/>
  <c r="B214" i="6"/>
  <c r="A214" i="6"/>
  <c r="K213" i="6"/>
  <c r="C213" i="6"/>
  <c r="B213" i="6"/>
  <c r="A213" i="6"/>
  <c r="K212" i="6"/>
  <c r="C212" i="6"/>
  <c r="B212" i="6"/>
  <c r="A212" i="6"/>
  <c r="K211" i="6"/>
  <c r="C211" i="6"/>
  <c r="B211" i="6"/>
  <c r="A211" i="6"/>
  <c r="K210" i="6"/>
  <c r="C210" i="6"/>
  <c r="B210" i="6"/>
  <c r="A210" i="6"/>
  <c r="K209" i="6"/>
  <c r="C209" i="6"/>
  <c r="B209" i="6"/>
  <c r="A209" i="6"/>
  <c r="K208" i="6"/>
  <c r="C208" i="6"/>
  <c r="B208" i="6"/>
  <c r="A208" i="6"/>
  <c r="K207" i="6"/>
  <c r="C207" i="6"/>
  <c r="B207" i="6"/>
  <c r="A207" i="6"/>
  <c r="K206" i="6"/>
  <c r="C206" i="6"/>
  <c r="B206" i="6"/>
  <c r="A206" i="6"/>
  <c r="K205" i="6"/>
  <c r="C205" i="6"/>
  <c r="B205" i="6"/>
  <c r="A205" i="6"/>
  <c r="K204" i="6"/>
  <c r="C204" i="6"/>
  <c r="B204" i="6"/>
  <c r="A204" i="6"/>
  <c r="K203" i="6"/>
  <c r="C203" i="6"/>
  <c r="B203" i="6"/>
  <c r="A203" i="6"/>
  <c r="K202" i="6"/>
  <c r="C202" i="6"/>
  <c r="B202" i="6"/>
  <c r="A202" i="6"/>
  <c r="K201" i="6"/>
  <c r="C201" i="6"/>
  <c r="B201" i="6"/>
  <c r="A201" i="6"/>
  <c r="K200" i="6"/>
  <c r="C200" i="6"/>
  <c r="B200" i="6"/>
  <c r="A200" i="6"/>
  <c r="K199" i="6"/>
  <c r="C199" i="6"/>
  <c r="B199" i="6"/>
  <c r="A199" i="6"/>
  <c r="K198" i="6"/>
  <c r="C198" i="6"/>
  <c r="B198" i="6"/>
  <c r="A198" i="6"/>
  <c r="K197" i="6"/>
  <c r="C197" i="6"/>
  <c r="B197" i="6"/>
  <c r="A197" i="6"/>
  <c r="K196" i="6"/>
  <c r="C196" i="6"/>
  <c r="B196" i="6"/>
  <c r="A196" i="6"/>
  <c r="K195" i="6"/>
  <c r="C195" i="6"/>
  <c r="B195" i="6"/>
  <c r="A195" i="6"/>
  <c r="K194" i="6"/>
  <c r="C194" i="6"/>
  <c r="B194" i="6"/>
  <c r="A194" i="6"/>
  <c r="K193" i="6"/>
  <c r="C193" i="6"/>
  <c r="B193" i="6"/>
  <c r="A193" i="6"/>
  <c r="K192" i="6"/>
  <c r="C192" i="6"/>
  <c r="B192" i="6"/>
  <c r="A192" i="6"/>
  <c r="K191" i="6"/>
  <c r="C191" i="6"/>
  <c r="B191" i="6"/>
  <c r="A191" i="6"/>
  <c r="K190" i="6"/>
  <c r="C190" i="6"/>
  <c r="B190" i="6"/>
  <c r="A190" i="6"/>
  <c r="K189" i="6"/>
  <c r="C189" i="6"/>
  <c r="B189" i="6"/>
  <c r="A189" i="6"/>
  <c r="K188" i="6"/>
  <c r="C188" i="6"/>
  <c r="B188" i="6"/>
  <c r="A188" i="6"/>
  <c r="K187" i="6"/>
  <c r="C187" i="6"/>
  <c r="B187" i="6"/>
  <c r="A187" i="6"/>
  <c r="K186" i="6"/>
  <c r="C186" i="6"/>
  <c r="B186" i="6"/>
  <c r="A186" i="6"/>
  <c r="K185" i="6"/>
  <c r="C185" i="6"/>
  <c r="B185" i="6"/>
  <c r="A185" i="6"/>
  <c r="K184" i="6"/>
  <c r="C184" i="6"/>
  <c r="B184" i="6"/>
  <c r="A184" i="6"/>
  <c r="K183" i="6"/>
  <c r="C183" i="6"/>
  <c r="B183" i="6"/>
  <c r="A183" i="6"/>
  <c r="K182" i="6"/>
  <c r="C182" i="6"/>
  <c r="BG68" i="13" s="1"/>
  <c r="B182" i="6"/>
  <c r="A182" i="6"/>
  <c r="K181" i="6"/>
  <c r="K180" i="6"/>
  <c r="C180" i="6"/>
  <c r="B180" i="6"/>
  <c r="A180" i="6"/>
  <c r="K179" i="6"/>
  <c r="C179" i="6"/>
  <c r="B179" i="6"/>
  <c r="A179" i="6"/>
  <c r="K178" i="6"/>
  <c r="C178" i="6"/>
  <c r="B178" i="6"/>
  <c r="A178" i="6"/>
  <c r="K177" i="6"/>
  <c r="C177" i="6"/>
  <c r="B177" i="6"/>
  <c r="A177" i="6"/>
  <c r="K176" i="6"/>
  <c r="C176" i="6"/>
  <c r="B176" i="6"/>
  <c r="A176" i="6"/>
  <c r="K175" i="6"/>
  <c r="C175" i="6"/>
  <c r="B175" i="6"/>
  <c r="A175" i="6"/>
  <c r="K174" i="6"/>
  <c r="C174" i="6"/>
  <c r="B174" i="6"/>
  <c r="A174" i="6"/>
  <c r="K173" i="6"/>
  <c r="C173" i="6"/>
  <c r="B173" i="6"/>
  <c r="A173" i="6"/>
  <c r="K172" i="6"/>
  <c r="C172" i="6"/>
  <c r="B172" i="6"/>
  <c r="A172" i="6"/>
  <c r="K170" i="6"/>
  <c r="C170" i="6"/>
  <c r="B170" i="6"/>
  <c r="A170" i="6"/>
  <c r="K169" i="6"/>
  <c r="C169" i="6"/>
  <c r="B169" i="6"/>
  <c r="A169" i="6"/>
  <c r="K168" i="6"/>
  <c r="C168" i="6"/>
  <c r="B168" i="6"/>
  <c r="A168" i="6"/>
  <c r="K167" i="6"/>
  <c r="C167" i="6"/>
  <c r="B167" i="6"/>
  <c r="A167" i="6"/>
  <c r="K166" i="6"/>
  <c r="C166" i="6"/>
  <c r="B166" i="6"/>
  <c r="A166" i="6"/>
  <c r="K165" i="6"/>
  <c r="C165" i="6"/>
  <c r="B165" i="6"/>
  <c r="A165" i="6"/>
  <c r="K164" i="6"/>
  <c r="C164" i="6"/>
  <c r="B164" i="6"/>
  <c r="A164" i="6"/>
  <c r="K163" i="6"/>
  <c r="C163" i="6"/>
  <c r="B163" i="6"/>
  <c r="A163" i="6"/>
  <c r="K162" i="6"/>
  <c r="C162" i="6"/>
  <c r="B162" i="6"/>
  <c r="A162" i="6"/>
  <c r="K161" i="6"/>
  <c r="C161" i="6"/>
  <c r="B161" i="6"/>
  <c r="A161" i="6"/>
  <c r="K160" i="6"/>
  <c r="C160" i="6"/>
  <c r="B160" i="6"/>
  <c r="A160" i="6"/>
  <c r="K159" i="6"/>
  <c r="C159" i="6"/>
  <c r="B159" i="6"/>
  <c r="A159" i="6"/>
  <c r="K158" i="6"/>
  <c r="C158" i="6"/>
  <c r="B158" i="6"/>
  <c r="A158" i="6"/>
  <c r="K157" i="6"/>
  <c r="C157" i="6"/>
  <c r="B157" i="6"/>
  <c r="A157" i="6"/>
  <c r="K156" i="6"/>
  <c r="C156" i="6"/>
  <c r="B156" i="6"/>
  <c r="A156" i="6"/>
  <c r="K155" i="6"/>
  <c r="C155" i="6"/>
  <c r="B155" i="6"/>
  <c r="A155" i="6"/>
  <c r="K154" i="6"/>
  <c r="C154" i="6"/>
  <c r="B154" i="6"/>
  <c r="A154" i="6"/>
  <c r="K153" i="6"/>
  <c r="C153" i="6"/>
  <c r="B153" i="6"/>
  <c r="A153" i="6"/>
  <c r="K152" i="6"/>
  <c r="C152" i="6"/>
  <c r="B152" i="6"/>
  <c r="A152" i="6"/>
  <c r="K151" i="6"/>
  <c r="C151" i="6"/>
  <c r="B151" i="6"/>
  <c r="A151" i="6"/>
  <c r="K150" i="6"/>
  <c r="C150" i="6"/>
  <c r="B150" i="6"/>
  <c r="A150" i="6"/>
  <c r="K149" i="6"/>
  <c r="C149" i="6"/>
  <c r="B149" i="6"/>
  <c r="A149" i="6"/>
  <c r="K148" i="6"/>
  <c r="C148" i="6"/>
  <c r="B148" i="6"/>
  <c r="A148" i="6"/>
  <c r="K147" i="6"/>
  <c r="C147" i="6"/>
  <c r="B147" i="6"/>
  <c r="A147" i="6"/>
  <c r="K146" i="6"/>
  <c r="C146" i="6"/>
  <c r="B146" i="6"/>
  <c r="A146" i="6"/>
  <c r="K145" i="6"/>
  <c r="C145" i="6"/>
  <c r="B145" i="6"/>
  <c r="A145" i="6"/>
  <c r="K144" i="6"/>
  <c r="C144" i="6"/>
  <c r="B144" i="6"/>
  <c r="A144" i="6"/>
  <c r="K143" i="6"/>
  <c r="C143" i="6"/>
  <c r="B143" i="6"/>
  <c r="A143" i="6"/>
  <c r="K142" i="6"/>
  <c r="C142" i="6"/>
  <c r="B142" i="6"/>
  <c r="A142" i="6"/>
  <c r="K141" i="6"/>
  <c r="C141" i="6"/>
  <c r="B141" i="6"/>
  <c r="A141" i="6"/>
  <c r="K140" i="6"/>
  <c r="C140" i="6"/>
  <c r="B140" i="6"/>
  <c r="A140" i="6"/>
  <c r="K139" i="6"/>
  <c r="C139" i="6"/>
  <c r="B139" i="6"/>
  <c r="A139" i="6"/>
  <c r="K138" i="6"/>
  <c r="C138" i="6"/>
  <c r="B138" i="6"/>
  <c r="A138" i="6"/>
  <c r="K137" i="6"/>
  <c r="C137" i="6"/>
  <c r="B137" i="6"/>
  <c r="A137" i="6"/>
  <c r="K136" i="6"/>
  <c r="C136" i="6"/>
  <c r="B136" i="6"/>
  <c r="A136" i="6"/>
  <c r="K135" i="6"/>
  <c r="C135" i="6"/>
  <c r="B135" i="6"/>
  <c r="A135" i="6"/>
  <c r="K134" i="6"/>
  <c r="C134" i="6"/>
  <c r="B134" i="6"/>
  <c r="A134" i="6"/>
  <c r="K133" i="6"/>
  <c r="C133" i="6"/>
  <c r="B133" i="6"/>
  <c r="A133" i="6"/>
  <c r="K132" i="6"/>
  <c r="C132" i="6"/>
  <c r="B132" i="6"/>
  <c r="A132" i="6"/>
  <c r="K131" i="6"/>
  <c r="C131" i="6"/>
  <c r="B131" i="6"/>
  <c r="A131" i="6"/>
  <c r="K130" i="6"/>
  <c r="C130" i="6"/>
  <c r="B130" i="6"/>
  <c r="A130" i="6"/>
  <c r="K129" i="6"/>
  <c r="C129" i="6"/>
  <c r="B129" i="6"/>
  <c r="A129" i="6"/>
  <c r="K128" i="6"/>
  <c r="C128" i="6"/>
  <c r="B128" i="6"/>
  <c r="A128" i="6"/>
  <c r="K127" i="6"/>
  <c r="C127" i="6"/>
  <c r="B127" i="6"/>
  <c r="A127" i="6"/>
  <c r="K126" i="6"/>
  <c r="C126" i="6"/>
  <c r="B126" i="6"/>
  <c r="A126" i="6"/>
  <c r="K125" i="6"/>
  <c r="C125" i="6"/>
  <c r="B125" i="6"/>
  <c r="A125" i="6"/>
  <c r="K124" i="6"/>
  <c r="C124" i="6"/>
  <c r="B124" i="6"/>
  <c r="A124" i="6"/>
  <c r="K123" i="6"/>
  <c r="C123" i="6"/>
  <c r="B123" i="6"/>
  <c r="A123" i="6"/>
  <c r="K122" i="6"/>
  <c r="C122" i="6"/>
  <c r="B122" i="6"/>
  <c r="A122" i="6"/>
  <c r="K121" i="6"/>
  <c r="C121" i="6"/>
  <c r="B121" i="6"/>
  <c r="A121" i="6"/>
  <c r="K120" i="6"/>
  <c r="C120" i="6"/>
  <c r="B120" i="6"/>
  <c r="A120" i="6"/>
  <c r="K119" i="6"/>
  <c r="C119" i="6"/>
  <c r="B119" i="6"/>
  <c r="A119" i="6"/>
  <c r="K118" i="6"/>
  <c r="C118" i="6"/>
  <c r="B118" i="6"/>
  <c r="A118" i="6"/>
  <c r="K117" i="6"/>
  <c r="C117" i="6"/>
  <c r="B117" i="6"/>
  <c r="A117" i="6"/>
  <c r="K116" i="6"/>
  <c r="C116" i="6"/>
  <c r="B116" i="6"/>
  <c r="A116" i="6"/>
  <c r="K115" i="6"/>
  <c r="C115" i="6"/>
  <c r="B115" i="6"/>
  <c r="A115" i="6"/>
  <c r="K114" i="6"/>
  <c r="C114" i="6"/>
  <c r="B114" i="6"/>
  <c r="A114" i="6"/>
  <c r="K113" i="6"/>
  <c r="C113" i="6"/>
  <c r="B113" i="6"/>
  <c r="A113" i="6"/>
  <c r="K112" i="6"/>
  <c r="C112" i="6"/>
  <c r="B112" i="6"/>
  <c r="A112" i="6"/>
  <c r="K111" i="6"/>
  <c r="C111" i="6"/>
  <c r="B111" i="6"/>
  <c r="A111" i="6"/>
  <c r="K110" i="6"/>
  <c r="C110" i="6"/>
  <c r="B110" i="6"/>
  <c r="A110" i="6"/>
  <c r="K109" i="6"/>
  <c r="C109" i="6"/>
  <c r="B109" i="6"/>
  <c r="A109" i="6"/>
  <c r="K108" i="6"/>
  <c r="C108" i="6"/>
  <c r="B108" i="6"/>
  <c r="A108" i="6"/>
  <c r="K107" i="6"/>
  <c r="C107" i="6"/>
  <c r="B107" i="6"/>
  <c r="A107" i="6"/>
  <c r="K106" i="6"/>
  <c r="C106" i="6"/>
  <c r="B106" i="6"/>
  <c r="A106" i="6"/>
  <c r="K105" i="6"/>
  <c r="C105" i="6"/>
  <c r="B105" i="6"/>
  <c r="A105" i="6"/>
  <c r="K104" i="6"/>
  <c r="C104" i="6"/>
  <c r="B104" i="6"/>
  <c r="A104" i="6"/>
  <c r="K103" i="6"/>
  <c r="C103" i="6"/>
  <c r="B103" i="6"/>
  <c r="A103" i="6"/>
  <c r="K102" i="6"/>
  <c r="C102" i="6"/>
  <c r="B102" i="6"/>
  <c r="A102" i="6"/>
  <c r="K101" i="6"/>
  <c r="C101" i="6"/>
  <c r="B101" i="6"/>
  <c r="A101" i="6"/>
  <c r="K100" i="6"/>
  <c r="C100" i="6"/>
  <c r="B100" i="6"/>
  <c r="A100" i="6"/>
  <c r="K99" i="6"/>
  <c r="C99" i="6"/>
  <c r="B99" i="6"/>
  <c r="A99" i="6"/>
  <c r="K98" i="6"/>
  <c r="C98" i="6"/>
  <c r="B98" i="6"/>
  <c r="A98" i="6"/>
  <c r="K97" i="6"/>
  <c r="C97" i="6"/>
  <c r="B97" i="6"/>
  <c r="A97" i="6"/>
  <c r="K96" i="6"/>
  <c r="C96" i="6"/>
  <c r="B96" i="6"/>
  <c r="A96" i="6"/>
  <c r="K95" i="6"/>
  <c r="C95" i="6"/>
  <c r="B95" i="6"/>
  <c r="A95" i="6"/>
  <c r="K94" i="6"/>
  <c r="C94" i="6"/>
  <c r="B94" i="6"/>
  <c r="A94" i="6"/>
  <c r="K93" i="6"/>
  <c r="C93" i="6"/>
  <c r="B93" i="6"/>
  <c r="A93" i="6"/>
  <c r="K92" i="6"/>
  <c r="C92" i="6"/>
  <c r="B92" i="6"/>
  <c r="A92" i="6"/>
  <c r="K91" i="6"/>
  <c r="C91" i="6"/>
  <c r="B91" i="6"/>
  <c r="A91" i="6"/>
  <c r="K90" i="6"/>
  <c r="C90" i="6"/>
  <c r="B90" i="6"/>
  <c r="A90" i="6"/>
  <c r="K89" i="6"/>
  <c r="C89" i="6"/>
  <c r="B89" i="6"/>
  <c r="A89" i="6"/>
  <c r="K88" i="6"/>
  <c r="C88" i="6"/>
  <c r="B88" i="6"/>
  <c r="A88" i="6"/>
  <c r="K87" i="6"/>
  <c r="C87" i="6"/>
  <c r="B87" i="6"/>
  <c r="A87" i="6"/>
  <c r="K86" i="6"/>
  <c r="C86" i="6"/>
  <c r="B86" i="6"/>
  <c r="A86" i="6"/>
  <c r="K85" i="6"/>
  <c r="C85" i="6"/>
  <c r="B85" i="6"/>
  <c r="A85" i="6"/>
  <c r="K84" i="6"/>
  <c r="C84" i="6"/>
  <c r="B84" i="6"/>
  <c r="A84" i="6"/>
  <c r="K83" i="6"/>
  <c r="C83" i="6"/>
  <c r="B83" i="6"/>
  <c r="A83" i="6"/>
  <c r="K82" i="6"/>
  <c r="C82" i="6"/>
  <c r="B82" i="6"/>
  <c r="A82" i="6"/>
  <c r="K81" i="6"/>
  <c r="C81" i="6"/>
  <c r="B81" i="6"/>
  <c r="A81" i="6"/>
  <c r="K80" i="6"/>
  <c r="C80" i="6"/>
  <c r="B80" i="6"/>
  <c r="A80" i="6"/>
  <c r="K79" i="6"/>
  <c r="C79" i="6"/>
  <c r="B79" i="6"/>
  <c r="A79" i="6"/>
  <c r="K78" i="6"/>
  <c r="C78" i="6"/>
  <c r="B78" i="6"/>
  <c r="A78" i="6"/>
  <c r="K77" i="6"/>
  <c r="C77" i="6"/>
  <c r="B77" i="6"/>
  <c r="A77" i="6"/>
  <c r="K76" i="6"/>
  <c r="C76" i="6"/>
  <c r="B76" i="6"/>
  <c r="A76" i="6"/>
  <c r="K75" i="6"/>
  <c r="C75" i="6"/>
  <c r="B75" i="6"/>
  <c r="A75" i="6"/>
  <c r="K74" i="6"/>
  <c r="C74" i="6"/>
  <c r="B74" i="6"/>
  <c r="A74" i="6"/>
  <c r="K73" i="6"/>
  <c r="C73" i="6"/>
  <c r="B73" i="6"/>
  <c r="A73" i="6"/>
  <c r="K72" i="6"/>
  <c r="C72" i="6"/>
  <c r="B72" i="6"/>
  <c r="A72" i="6"/>
  <c r="K71" i="6"/>
  <c r="C71" i="6"/>
  <c r="B71" i="6"/>
  <c r="A71" i="6"/>
  <c r="K70" i="6"/>
  <c r="C70" i="6"/>
  <c r="B70" i="6"/>
  <c r="A70" i="6"/>
  <c r="K69" i="6"/>
  <c r="C69" i="6"/>
  <c r="B69" i="6"/>
  <c r="A69" i="6"/>
  <c r="K68" i="6"/>
  <c r="C68" i="6"/>
  <c r="B68" i="6"/>
  <c r="A68" i="6"/>
  <c r="K67" i="6"/>
  <c r="C67" i="6"/>
  <c r="B67" i="6"/>
  <c r="A67" i="6"/>
  <c r="K66" i="6"/>
  <c r="C66" i="6"/>
  <c r="B66" i="6"/>
  <c r="A66" i="6"/>
  <c r="K65" i="6"/>
  <c r="C65" i="6"/>
  <c r="B65" i="6"/>
  <c r="A65" i="6"/>
  <c r="K64" i="6"/>
  <c r="C64" i="6"/>
  <c r="B64" i="6"/>
  <c r="A64" i="6"/>
  <c r="K63" i="6"/>
  <c r="C63" i="6"/>
  <c r="B63" i="6"/>
  <c r="A63" i="6"/>
  <c r="K62" i="6"/>
  <c r="C62" i="6"/>
  <c r="B62" i="6"/>
  <c r="A62" i="6"/>
  <c r="K61" i="6"/>
  <c r="C61" i="6"/>
  <c r="B61" i="6"/>
  <c r="A61" i="6"/>
  <c r="K60" i="6"/>
  <c r="C60" i="6"/>
  <c r="B60" i="6"/>
  <c r="A60" i="6"/>
  <c r="K59" i="6"/>
  <c r="C59" i="6"/>
  <c r="B59" i="6"/>
  <c r="A59" i="6"/>
  <c r="K58" i="6"/>
  <c r="C58" i="6"/>
  <c r="B58" i="6"/>
  <c r="A58" i="6"/>
  <c r="K57" i="6"/>
  <c r="C57" i="6"/>
  <c r="B57" i="6"/>
  <c r="A57" i="6"/>
  <c r="K56" i="6"/>
  <c r="C56" i="6"/>
  <c r="B56" i="6"/>
  <c r="A56" i="6"/>
  <c r="K55" i="6"/>
  <c r="C55" i="6"/>
  <c r="B55" i="6"/>
  <c r="A55" i="6"/>
  <c r="K54" i="6"/>
  <c r="C54" i="6"/>
  <c r="B54" i="6"/>
  <c r="A54" i="6"/>
  <c r="K53" i="6"/>
  <c r="C53" i="6"/>
  <c r="B53" i="6"/>
  <c r="A53" i="6"/>
  <c r="K52" i="6"/>
  <c r="C52" i="6"/>
  <c r="B52" i="6"/>
  <c r="A52" i="6"/>
  <c r="K51" i="6"/>
  <c r="C51" i="6"/>
  <c r="B51" i="6"/>
  <c r="A51" i="6"/>
  <c r="K50" i="6"/>
  <c r="C50" i="6"/>
  <c r="B50" i="6"/>
  <c r="A50" i="6"/>
  <c r="K49" i="6"/>
  <c r="C49" i="6"/>
  <c r="B49" i="6"/>
  <c r="A49" i="6"/>
  <c r="K48" i="6"/>
  <c r="C48" i="6"/>
  <c r="B48" i="6"/>
  <c r="A48" i="6"/>
  <c r="K47" i="6"/>
  <c r="C47" i="6"/>
  <c r="B47" i="6"/>
  <c r="A47" i="6"/>
  <c r="K46" i="6"/>
  <c r="C46" i="6"/>
  <c r="B46" i="6"/>
  <c r="A46" i="6"/>
  <c r="K45" i="6"/>
  <c r="C45" i="6"/>
  <c r="B45" i="6"/>
  <c r="A45" i="6"/>
  <c r="K44" i="6"/>
  <c r="C44" i="6"/>
  <c r="B44" i="6"/>
  <c r="A44" i="6"/>
  <c r="K43" i="6"/>
  <c r="C43" i="6"/>
  <c r="B43" i="6"/>
  <c r="A43" i="6"/>
  <c r="K42" i="6"/>
  <c r="C42" i="6"/>
  <c r="BG30" i="13" s="1"/>
  <c r="B42" i="6"/>
  <c r="A42" i="6"/>
  <c r="K41" i="6"/>
  <c r="C41" i="6"/>
  <c r="B41" i="6"/>
  <c r="A41" i="6"/>
  <c r="K40" i="6"/>
  <c r="C40" i="6"/>
  <c r="B40" i="6"/>
  <c r="A40" i="6"/>
  <c r="K39" i="6"/>
  <c r="C39" i="6"/>
  <c r="B39" i="6"/>
  <c r="A39" i="6"/>
  <c r="K38" i="6"/>
  <c r="C38" i="6"/>
  <c r="B38" i="6"/>
  <c r="A38" i="6"/>
  <c r="K37" i="6"/>
  <c r="C37" i="6"/>
  <c r="B37" i="6"/>
  <c r="A37" i="6"/>
  <c r="K36" i="6"/>
  <c r="C36" i="6"/>
  <c r="B36" i="6"/>
  <c r="A36" i="6"/>
  <c r="K35" i="6"/>
  <c r="C35" i="6"/>
  <c r="B35" i="6"/>
  <c r="A35" i="6"/>
  <c r="K34" i="6"/>
  <c r="C34" i="6"/>
  <c r="B34" i="6"/>
  <c r="A34" i="6"/>
  <c r="K33" i="6"/>
  <c r="C33" i="6"/>
  <c r="B33" i="6"/>
  <c r="A33" i="6"/>
  <c r="K32" i="6"/>
  <c r="C32" i="6"/>
  <c r="B32" i="6"/>
  <c r="A32" i="6"/>
  <c r="K31" i="6"/>
  <c r="C31" i="6"/>
  <c r="B31" i="6"/>
  <c r="A31" i="6"/>
  <c r="K30" i="6"/>
  <c r="C30" i="6"/>
  <c r="B30" i="6"/>
  <c r="A30" i="6"/>
  <c r="K29" i="6"/>
  <c r="C29" i="6"/>
  <c r="B29" i="6"/>
  <c r="A29" i="6"/>
  <c r="K28" i="6"/>
  <c r="K27" i="6"/>
  <c r="K26" i="6"/>
  <c r="C26" i="6"/>
  <c r="B26" i="6"/>
  <c r="A26" i="6"/>
  <c r="K25" i="6"/>
  <c r="C25" i="6"/>
  <c r="B25" i="6"/>
  <c r="A25" i="6"/>
  <c r="K24" i="6"/>
  <c r="C24" i="6"/>
  <c r="B24" i="6"/>
  <c r="A24" i="6"/>
  <c r="K23" i="6"/>
  <c r="C23" i="6"/>
  <c r="B23" i="6"/>
  <c r="A23" i="6"/>
  <c r="K22" i="6"/>
  <c r="C22" i="6"/>
  <c r="B22" i="6"/>
  <c r="A22" i="6"/>
  <c r="K21" i="6"/>
  <c r="C21" i="6"/>
  <c r="B21" i="6"/>
  <c r="A21" i="6"/>
  <c r="K20" i="6"/>
  <c r="C20" i="6"/>
  <c r="B20" i="6"/>
  <c r="A20" i="6"/>
  <c r="K19" i="6"/>
  <c r="C19" i="6"/>
  <c r="B19" i="6"/>
  <c r="A19" i="6"/>
  <c r="K18" i="6"/>
  <c r="C18" i="6"/>
  <c r="B18" i="6"/>
  <c r="A18" i="6"/>
  <c r="K17" i="6"/>
  <c r="C17" i="6"/>
  <c r="B17" i="6"/>
  <c r="A17" i="6"/>
  <c r="K16" i="6"/>
  <c r="C16" i="6"/>
  <c r="B16" i="6"/>
  <c r="A16" i="6"/>
  <c r="K15" i="6"/>
  <c r="C15" i="6"/>
  <c r="B15" i="6"/>
  <c r="A15" i="6"/>
  <c r="K14" i="6"/>
  <c r="C14" i="6"/>
  <c r="B14" i="6"/>
  <c r="A14" i="6"/>
  <c r="K13" i="6"/>
  <c r="C13" i="6"/>
  <c r="B13" i="6"/>
  <c r="A13" i="6"/>
  <c r="J11" i="6"/>
  <c r="F11" i="6"/>
  <c r="BG9" i="13" l="1"/>
  <c r="BG89" i="13"/>
  <c r="BG81" i="13"/>
  <c r="BG35" i="13"/>
  <c r="BG34" i="13" s="1"/>
  <c r="BG22" i="13"/>
  <c r="BG52" i="13"/>
  <c r="K12" i="12"/>
  <c r="BG39" i="13"/>
  <c r="BG44" i="13"/>
  <c r="BG50" i="13"/>
  <c r="BG63" i="13"/>
  <c r="BG15" i="13"/>
  <c r="BG18" i="13"/>
  <c r="BG48" i="13"/>
  <c r="BG96" i="13"/>
  <c r="BG78" i="13"/>
  <c r="BG77" i="13" s="1"/>
  <c r="BG49" i="13"/>
  <c r="BG61" i="13"/>
  <c r="BG62" i="13"/>
  <c r="BG73" i="13"/>
  <c r="BG29" i="13"/>
  <c r="BG28" i="13" s="1"/>
  <c r="BG27" i="13" s="1"/>
  <c r="BG21" i="13"/>
  <c r="BG65" i="13"/>
  <c r="BG80" i="13"/>
  <c r="BG86" i="13"/>
  <c r="BG85" i="13" s="1"/>
  <c r="BG7" i="13"/>
  <c r="BG66" i="13"/>
  <c r="BG94" i="13"/>
  <c r="BG16" i="13"/>
  <c r="BG6" i="13"/>
  <c r="BG72" i="13"/>
  <c r="BP49" i="13"/>
  <c r="BO49" i="13"/>
  <c r="BN49" i="13"/>
  <c r="BT49" i="13"/>
  <c r="BU49" i="13"/>
  <c r="BC49" i="13"/>
  <c r="AY49" i="13"/>
  <c r="AX49" i="13"/>
  <c r="BB49" i="13"/>
  <c r="BA49" i="13"/>
  <c r="AZ49" i="13"/>
  <c r="BQ49" i="13"/>
  <c r="BK49" i="13"/>
  <c r="BS49" i="13"/>
  <c r="BR49" i="13"/>
  <c r="BM49" i="13"/>
  <c r="BL49" i="13"/>
  <c r="BJ49" i="13"/>
  <c r="BH49" i="13"/>
  <c r="BF49" i="13"/>
  <c r="BD49" i="13"/>
  <c r="BE49" i="13"/>
  <c r="AZ81" i="13"/>
  <c r="AY81" i="13"/>
  <c r="AX81" i="13"/>
  <c r="BH81" i="13"/>
  <c r="BF81" i="13"/>
  <c r="BC81" i="13"/>
  <c r="BE81" i="13"/>
  <c r="BD81" i="13"/>
  <c r="BB81" i="13"/>
  <c r="BA81" i="13"/>
  <c r="BU81" i="13"/>
  <c r="BT81" i="13"/>
  <c r="BQ81" i="13"/>
  <c r="BO81" i="13"/>
  <c r="BN81" i="13"/>
  <c r="BM81" i="13"/>
  <c r="BS81" i="13"/>
  <c r="BR81" i="13"/>
  <c r="BP81" i="13"/>
  <c r="BL81" i="13"/>
  <c r="BK81" i="13"/>
  <c r="BJ81" i="13"/>
  <c r="BL18" i="13"/>
  <c r="BK18" i="13"/>
  <c r="BJ18" i="13"/>
  <c r="BF18" i="13"/>
  <c r="BE18" i="13"/>
  <c r="BU18" i="13"/>
  <c r="BC18" i="13"/>
  <c r="BD18" i="13"/>
  <c r="BM18" i="13"/>
  <c r="AY18" i="13"/>
  <c r="AX18" i="13"/>
  <c r="BT18" i="13"/>
  <c r="BS18" i="13"/>
  <c r="BR18" i="13"/>
  <c r="BO18" i="13"/>
  <c r="BQ18" i="13"/>
  <c r="BH18" i="13"/>
  <c r="BP18" i="13"/>
  <c r="BB18" i="13"/>
  <c r="BA18" i="13"/>
  <c r="BN18" i="13"/>
  <c r="AZ18" i="13"/>
  <c r="BB50" i="13"/>
  <c r="BA50" i="13"/>
  <c r="BK50" i="13"/>
  <c r="BF50" i="13"/>
  <c r="BE50" i="13"/>
  <c r="BD50" i="13"/>
  <c r="BC50" i="13"/>
  <c r="BJ50" i="13"/>
  <c r="BS50" i="13"/>
  <c r="BR50" i="13"/>
  <c r="BQ50" i="13"/>
  <c r="BP50" i="13"/>
  <c r="BO50" i="13"/>
  <c r="BN50" i="13"/>
  <c r="BM50" i="13"/>
  <c r="BL50" i="13"/>
  <c r="BU50" i="13"/>
  <c r="BT50" i="13"/>
  <c r="BH50" i="13"/>
  <c r="AY50" i="13"/>
  <c r="AX50" i="13"/>
  <c r="AZ50" i="13"/>
  <c r="BP82" i="13"/>
  <c r="BN82" i="13"/>
  <c r="BO82" i="13"/>
  <c r="BA82" i="13"/>
  <c r="AZ82" i="13"/>
  <c r="AY82" i="13"/>
  <c r="BU82" i="13"/>
  <c r="AX82" i="13"/>
  <c r="BR82" i="13"/>
  <c r="BM82" i="13"/>
  <c r="BL82" i="13"/>
  <c r="BK82" i="13"/>
  <c r="BT82" i="13"/>
  <c r="BS82" i="13"/>
  <c r="BQ82" i="13"/>
  <c r="BH82" i="13"/>
  <c r="BF82" i="13"/>
  <c r="BE82" i="13"/>
  <c r="BD82" i="13"/>
  <c r="BC82" i="13"/>
  <c r="BB82" i="13"/>
  <c r="BJ82" i="13"/>
  <c r="BH19" i="13"/>
  <c r="BL19" i="13"/>
  <c r="BK19" i="13"/>
  <c r="BJ19" i="13"/>
  <c r="BF19" i="13"/>
  <c r="BE19" i="13"/>
  <c r="BD19" i="13"/>
  <c r="AY19" i="13"/>
  <c r="BC19" i="13"/>
  <c r="BB19" i="13"/>
  <c r="BA19" i="13"/>
  <c r="AZ19" i="13"/>
  <c r="BU19" i="13"/>
  <c r="BT19" i="13"/>
  <c r="BS19" i="13"/>
  <c r="BR19" i="13"/>
  <c r="BQ19" i="13"/>
  <c r="BP19" i="13"/>
  <c r="BM19" i="13"/>
  <c r="BO19" i="13"/>
  <c r="BN19" i="13"/>
  <c r="AX19" i="13"/>
  <c r="BU51" i="13"/>
  <c r="BS51" i="13"/>
  <c r="BR51" i="13"/>
  <c r="BT51" i="13"/>
  <c r="BF51" i="13"/>
  <c r="BH51" i="13"/>
  <c r="BE51" i="13"/>
  <c r="BM51" i="13"/>
  <c r="BL51" i="13"/>
  <c r="BK51" i="13"/>
  <c r="BJ51" i="13"/>
  <c r="AZ51" i="13"/>
  <c r="AY51" i="13"/>
  <c r="BD51" i="13"/>
  <c r="BC51" i="13"/>
  <c r="BB51" i="13"/>
  <c r="BA51" i="13"/>
  <c r="AX51" i="13"/>
  <c r="BQ51" i="13"/>
  <c r="BP51" i="13"/>
  <c r="BO51" i="13"/>
  <c r="BN51" i="13"/>
  <c r="BC83" i="13"/>
  <c r="BB83" i="13"/>
  <c r="BL83" i="13"/>
  <c r="BK83" i="13"/>
  <c r="BJ83" i="13"/>
  <c r="BM83" i="13"/>
  <c r="BS83" i="13"/>
  <c r="BP83" i="13"/>
  <c r="BU83" i="13"/>
  <c r="BT83" i="13"/>
  <c r="BR83" i="13"/>
  <c r="BQ83" i="13"/>
  <c r="BF83" i="13"/>
  <c r="BD83" i="13"/>
  <c r="BA83" i="13"/>
  <c r="AZ83" i="13"/>
  <c r="BH83" i="13"/>
  <c r="BO83" i="13"/>
  <c r="BE83" i="13"/>
  <c r="BN83" i="13"/>
  <c r="AY83" i="13"/>
  <c r="AX83" i="13"/>
  <c r="BT20" i="13"/>
  <c r="AX20" i="13"/>
  <c r="BS20" i="13"/>
  <c r="BR20" i="13"/>
  <c r="BC20" i="13"/>
  <c r="BB20" i="13"/>
  <c r="BA20" i="13"/>
  <c r="AZ20" i="13"/>
  <c r="AY20" i="13"/>
  <c r="BU20" i="13"/>
  <c r="BQ20" i="13"/>
  <c r="BP20" i="13"/>
  <c r="BM20" i="13"/>
  <c r="BJ20" i="13"/>
  <c r="BO20" i="13"/>
  <c r="BN20" i="13"/>
  <c r="BL20" i="13"/>
  <c r="BK20" i="13"/>
  <c r="BF20" i="13"/>
  <c r="BE20" i="13"/>
  <c r="BD20" i="13"/>
  <c r="BH20" i="13"/>
  <c r="BT21" i="13"/>
  <c r="BH21" i="13"/>
  <c r="BU21" i="13"/>
  <c r="BP21" i="13"/>
  <c r="BF21" i="13"/>
  <c r="BC21" i="13"/>
  <c r="BK21" i="13"/>
  <c r="BB21" i="13"/>
  <c r="BJ21" i="13"/>
  <c r="BA21" i="13"/>
  <c r="BO21" i="13"/>
  <c r="BN21" i="13"/>
  <c r="BE21" i="13"/>
  <c r="BM21" i="13"/>
  <c r="BD21" i="13"/>
  <c r="BL21" i="13"/>
  <c r="BS21" i="13"/>
  <c r="BR21" i="13"/>
  <c r="BQ21" i="13"/>
  <c r="AZ21" i="13"/>
  <c r="AY21" i="13"/>
  <c r="AX21" i="13"/>
  <c r="BN53" i="13"/>
  <c r="BK53" i="13"/>
  <c r="BM53" i="13"/>
  <c r="BL53" i="13"/>
  <c r="BH53" i="13"/>
  <c r="BB53" i="13"/>
  <c r="BA53" i="13"/>
  <c r="BF53" i="13"/>
  <c r="BE53" i="13"/>
  <c r="BD53" i="13"/>
  <c r="BC53" i="13"/>
  <c r="AZ53" i="13"/>
  <c r="AY53" i="13"/>
  <c r="AX53" i="13"/>
  <c r="BT53" i="13"/>
  <c r="BU53" i="13"/>
  <c r="BS53" i="13"/>
  <c r="BR53" i="13"/>
  <c r="BQ53" i="13"/>
  <c r="BP53" i="13"/>
  <c r="BO53" i="13"/>
  <c r="BJ53" i="13"/>
  <c r="BK22" i="13"/>
  <c r="AZ22" i="13"/>
  <c r="AY22" i="13"/>
  <c r="BJ22" i="13"/>
  <c r="AX22" i="13"/>
  <c r="BA22" i="13"/>
  <c r="BM22" i="13"/>
  <c r="BL22" i="13"/>
  <c r="BN22" i="13"/>
  <c r="BF22" i="13"/>
  <c r="BE22" i="13"/>
  <c r="BD22" i="13"/>
  <c r="BC22" i="13"/>
  <c r="BB22" i="13"/>
  <c r="BU22" i="13"/>
  <c r="BT22" i="13"/>
  <c r="BS22" i="13"/>
  <c r="BR22" i="13"/>
  <c r="BQ22" i="13"/>
  <c r="BP22" i="13"/>
  <c r="BO22" i="13"/>
  <c r="BH22" i="13"/>
  <c r="AZ54" i="13"/>
  <c r="AY54" i="13"/>
  <c r="BF54" i="13"/>
  <c r="BE54" i="13"/>
  <c r="BC54" i="13"/>
  <c r="BD54" i="13"/>
  <c r="BU54" i="13"/>
  <c r="BB54" i="13"/>
  <c r="BT54" i="13"/>
  <c r="BA54" i="13"/>
  <c r="BS54" i="13"/>
  <c r="AX54" i="13"/>
  <c r="BR54" i="13"/>
  <c r="BQ54" i="13"/>
  <c r="BP54" i="13"/>
  <c r="BO54" i="13"/>
  <c r="BN54" i="13"/>
  <c r="BM54" i="13"/>
  <c r="BL54" i="13"/>
  <c r="BK54" i="13"/>
  <c r="BJ54" i="13"/>
  <c r="BH54" i="13"/>
  <c r="BB86" i="13"/>
  <c r="BH86" i="13"/>
  <c r="BF86" i="13"/>
  <c r="BE86" i="13"/>
  <c r="BD86" i="13"/>
  <c r="BC86" i="13"/>
  <c r="BQ86" i="13"/>
  <c r="BP86" i="13"/>
  <c r="BO86" i="13"/>
  <c r="BN86" i="13"/>
  <c r="BM86" i="13"/>
  <c r="BL86" i="13"/>
  <c r="BK86" i="13"/>
  <c r="BJ86" i="13"/>
  <c r="BA86" i="13"/>
  <c r="AZ86" i="13"/>
  <c r="BU86" i="13"/>
  <c r="AY86" i="13"/>
  <c r="BT86" i="13"/>
  <c r="AX86" i="13"/>
  <c r="BS86" i="13"/>
  <c r="BR86" i="13"/>
  <c r="BP23" i="13"/>
  <c r="AZ23" i="13"/>
  <c r="AY23" i="13"/>
  <c r="BO23" i="13"/>
  <c r="BN23" i="13"/>
  <c r="BH23" i="13"/>
  <c r="BF23" i="13"/>
  <c r="BU23" i="13"/>
  <c r="BT23" i="13"/>
  <c r="BS23" i="13"/>
  <c r="BR23" i="13"/>
  <c r="BQ23" i="13"/>
  <c r="BM23" i="13"/>
  <c r="BL23" i="13"/>
  <c r="BK23" i="13"/>
  <c r="BJ23" i="13"/>
  <c r="BE23" i="13"/>
  <c r="BD23" i="13"/>
  <c r="BC23" i="13"/>
  <c r="BB23" i="13"/>
  <c r="BA23" i="13"/>
  <c r="AX23" i="13"/>
  <c r="BL55" i="13"/>
  <c r="BK55" i="13"/>
  <c r="BJ55" i="13"/>
  <c r="BR55" i="13"/>
  <c r="BQ55" i="13"/>
  <c r="BP55" i="13"/>
  <c r="BU55" i="13"/>
  <c r="BT55" i="13"/>
  <c r="BS55" i="13"/>
  <c r="BH55" i="13"/>
  <c r="BF55" i="13"/>
  <c r="BE55" i="13"/>
  <c r="BD55" i="13"/>
  <c r="AZ55" i="13"/>
  <c r="AY55" i="13"/>
  <c r="AX55" i="13"/>
  <c r="BO55" i="13"/>
  <c r="BN55" i="13"/>
  <c r="BM55" i="13"/>
  <c r="BC55" i="13"/>
  <c r="BB55" i="13"/>
  <c r="BA55" i="13"/>
  <c r="BL87" i="13"/>
  <c r="BK87" i="13"/>
  <c r="BJ87" i="13"/>
  <c r="BE87" i="13"/>
  <c r="BT87" i="13"/>
  <c r="BD87" i="13"/>
  <c r="BU87" i="13"/>
  <c r="BC87" i="13"/>
  <c r="BB87" i="13"/>
  <c r="AX87" i="13"/>
  <c r="BS87" i="13"/>
  <c r="BR87" i="13"/>
  <c r="BQ87" i="13"/>
  <c r="BP87" i="13"/>
  <c r="AZ87" i="13"/>
  <c r="BO87" i="13"/>
  <c r="AY87" i="13"/>
  <c r="BN87" i="13"/>
  <c r="BM87" i="13"/>
  <c r="BH87" i="13"/>
  <c r="BF87" i="13"/>
  <c r="BA87" i="13"/>
  <c r="BU24" i="13"/>
  <c r="BT24" i="13"/>
  <c r="BS24" i="13"/>
  <c r="BO24" i="13"/>
  <c r="BN24" i="13"/>
  <c r="BM24" i="13"/>
  <c r="BR24" i="13"/>
  <c r="BQ24" i="13"/>
  <c r="BP24" i="13"/>
  <c r="BH24" i="13"/>
  <c r="BF24" i="13"/>
  <c r="BE24" i="13"/>
  <c r="BD24" i="13"/>
  <c r="BC24" i="13"/>
  <c r="BB24" i="13"/>
  <c r="BA24" i="13"/>
  <c r="BK24" i="13"/>
  <c r="AZ24" i="13"/>
  <c r="AY24" i="13"/>
  <c r="AX24" i="13"/>
  <c r="BL24" i="13"/>
  <c r="BJ24" i="13"/>
  <c r="BM56" i="13"/>
  <c r="BK56" i="13"/>
  <c r="BL56" i="13"/>
  <c r="BJ56" i="13"/>
  <c r="BN56" i="13"/>
  <c r="BH56" i="13"/>
  <c r="BF56" i="13"/>
  <c r="AY56" i="13"/>
  <c r="AX56" i="13"/>
  <c r="BU56" i="13"/>
  <c r="BT56" i="13"/>
  <c r="BS56" i="13"/>
  <c r="BR56" i="13"/>
  <c r="BQ56" i="13"/>
  <c r="BP56" i="13"/>
  <c r="BO56" i="13"/>
  <c r="BE56" i="13"/>
  <c r="BD56" i="13"/>
  <c r="BC56" i="13"/>
  <c r="BB56" i="13"/>
  <c r="BA56" i="13"/>
  <c r="AZ56" i="13"/>
  <c r="BE88" i="13"/>
  <c r="BD88" i="13"/>
  <c r="BK88" i="13"/>
  <c r="BJ88" i="13"/>
  <c r="BP88" i="13"/>
  <c r="BM88" i="13"/>
  <c r="BO88" i="13"/>
  <c r="BN88" i="13"/>
  <c r="BL88" i="13"/>
  <c r="BH88" i="13"/>
  <c r="BB88" i="13"/>
  <c r="BA88" i="13"/>
  <c r="BF88" i="13"/>
  <c r="BC88" i="13"/>
  <c r="AZ88" i="13"/>
  <c r="BT88" i="13"/>
  <c r="BS88" i="13"/>
  <c r="BR88" i="13"/>
  <c r="BQ88" i="13"/>
  <c r="AY88" i="13"/>
  <c r="AX88" i="13"/>
  <c r="BU88" i="13"/>
  <c r="BT57" i="13"/>
  <c r="BB57" i="13"/>
  <c r="BA57" i="13"/>
  <c r="BR57" i="13"/>
  <c r="BS57" i="13"/>
  <c r="BH57" i="13"/>
  <c r="BC57" i="13"/>
  <c r="AZ57" i="13"/>
  <c r="AY57" i="13"/>
  <c r="BF57" i="13"/>
  <c r="BE57" i="13"/>
  <c r="BD57" i="13"/>
  <c r="BU57" i="13"/>
  <c r="AX57" i="13"/>
  <c r="BQ57" i="13"/>
  <c r="BP57" i="13"/>
  <c r="BO57" i="13"/>
  <c r="BN57" i="13"/>
  <c r="BM57" i="13"/>
  <c r="BL57" i="13"/>
  <c r="BK57" i="13"/>
  <c r="BJ57" i="13"/>
  <c r="AZ58" i="13"/>
  <c r="BU58" i="13"/>
  <c r="AY58" i="13"/>
  <c r="AX58" i="13"/>
  <c r="BA58" i="13"/>
  <c r="BT58" i="13"/>
  <c r="BS58" i="13"/>
  <c r="BR58" i="13"/>
  <c r="BH58" i="13"/>
  <c r="BQ58" i="13"/>
  <c r="BF58" i="13"/>
  <c r="BP58" i="13"/>
  <c r="BE58" i="13"/>
  <c r="BO58" i="13"/>
  <c r="BD58" i="13"/>
  <c r="BL58" i="13"/>
  <c r="BN58" i="13"/>
  <c r="BC58" i="13"/>
  <c r="BM58" i="13"/>
  <c r="BB58" i="13"/>
  <c r="BK58" i="13"/>
  <c r="BJ58" i="13"/>
  <c r="BL90" i="13"/>
  <c r="BJ90" i="13"/>
  <c r="BK90" i="13"/>
  <c r="BD90" i="13"/>
  <c r="BC90" i="13"/>
  <c r="BU90" i="13"/>
  <c r="BB90" i="13"/>
  <c r="BT90" i="13"/>
  <c r="BA90" i="13"/>
  <c r="BS90" i="13"/>
  <c r="AZ90" i="13"/>
  <c r="BR90" i="13"/>
  <c r="AY90" i="13"/>
  <c r="BQ90" i="13"/>
  <c r="AX90" i="13"/>
  <c r="BP90" i="13"/>
  <c r="BM90" i="13"/>
  <c r="BO90" i="13"/>
  <c r="BN90" i="13"/>
  <c r="BH90" i="13"/>
  <c r="BF90" i="13"/>
  <c r="BE90" i="13"/>
  <c r="BN91" i="13"/>
  <c r="BK91" i="13"/>
  <c r="BF91" i="13"/>
  <c r="BM91" i="13"/>
  <c r="BL91" i="13"/>
  <c r="BH91" i="13"/>
  <c r="BT91" i="13"/>
  <c r="BB91" i="13"/>
  <c r="BR91" i="13"/>
  <c r="BA91" i="13"/>
  <c r="BP91" i="13"/>
  <c r="BE91" i="13"/>
  <c r="BU91" i="13"/>
  <c r="BD91" i="13"/>
  <c r="BC91" i="13"/>
  <c r="BS91" i="13"/>
  <c r="BQ91" i="13"/>
  <c r="AZ91" i="13"/>
  <c r="BO91" i="13"/>
  <c r="BJ91" i="13"/>
  <c r="AY91" i="13"/>
  <c r="AX91" i="13"/>
  <c r="BT92" i="13"/>
  <c r="BH92" i="13"/>
  <c r="BR92" i="13"/>
  <c r="BS92" i="13"/>
  <c r="BF92" i="13"/>
  <c r="BE92" i="13"/>
  <c r="AY92" i="13"/>
  <c r="AX92" i="13"/>
  <c r="BK92" i="13"/>
  <c r="AZ92" i="13"/>
  <c r="BJ92" i="13"/>
  <c r="BQ92" i="13"/>
  <c r="BD92" i="13"/>
  <c r="BM92" i="13"/>
  <c r="BB92" i="13"/>
  <c r="BU92" i="13"/>
  <c r="BP92" i="13"/>
  <c r="BO92" i="13"/>
  <c r="BN92" i="13"/>
  <c r="BC92" i="13"/>
  <c r="BA92" i="13"/>
  <c r="BL92" i="13"/>
  <c r="BP29" i="13"/>
  <c r="BO29" i="13"/>
  <c r="BN29" i="13"/>
  <c r="BD29" i="13"/>
  <c r="BA29" i="13"/>
  <c r="BC29" i="13"/>
  <c r="BB29" i="13"/>
  <c r="BH29" i="13"/>
  <c r="BF29" i="13"/>
  <c r="BE29" i="13"/>
  <c r="AZ29" i="13"/>
  <c r="AY29" i="13"/>
  <c r="BR29" i="13"/>
  <c r="AX29" i="13"/>
  <c r="BQ29" i="13"/>
  <c r="BM29" i="13"/>
  <c r="BL29" i="13"/>
  <c r="BK29" i="13"/>
  <c r="BJ29" i="13"/>
  <c r="BU29" i="13"/>
  <c r="BT29" i="13"/>
  <c r="BS29" i="13"/>
  <c r="BT61" i="13"/>
  <c r="BS61" i="13"/>
  <c r="BR61" i="13"/>
  <c r="BM61" i="13"/>
  <c r="BA61" i="13"/>
  <c r="BL61" i="13"/>
  <c r="AZ61" i="13"/>
  <c r="BK61" i="13"/>
  <c r="AY61" i="13"/>
  <c r="BJ61" i="13"/>
  <c r="AX61" i="13"/>
  <c r="BO61" i="13"/>
  <c r="BN61" i="13"/>
  <c r="BH61" i="13"/>
  <c r="BQ61" i="13"/>
  <c r="BP61" i="13"/>
  <c r="BF61" i="13"/>
  <c r="BE61" i="13"/>
  <c r="BD61" i="13"/>
  <c r="BC61" i="13"/>
  <c r="BB61" i="13"/>
  <c r="BU61" i="13"/>
  <c r="BB30" i="13"/>
  <c r="BA30" i="13"/>
  <c r="AY30" i="13"/>
  <c r="AX30" i="13"/>
  <c r="BU30" i="13"/>
  <c r="BT30" i="13"/>
  <c r="BS30" i="13"/>
  <c r="BR30" i="13"/>
  <c r="BQ30" i="13"/>
  <c r="BP30" i="13"/>
  <c r="BO30" i="13"/>
  <c r="BN30" i="13"/>
  <c r="BK30" i="13"/>
  <c r="BJ30" i="13"/>
  <c r="BH30" i="13"/>
  <c r="BF30" i="13"/>
  <c r="BM30" i="13"/>
  <c r="BL30" i="13"/>
  <c r="BE30" i="13"/>
  <c r="BD30" i="13"/>
  <c r="BC30" i="13"/>
  <c r="AZ30" i="13"/>
  <c r="BD62" i="13"/>
  <c r="BC62" i="13"/>
  <c r="BA62" i="13"/>
  <c r="BT62" i="13"/>
  <c r="AX62" i="13"/>
  <c r="BH62" i="13"/>
  <c r="BF62" i="13"/>
  <c r="BE62" i="13"/>
  <c r="BB62" i="13"/>
  <c r="BU62" i="13"/>
  <c r="AZ62" i="13"/>
  <c r="AY62" i="13"/>
  <c r="BS62" i="13"/>
  <c r="BR62" i="13"/>
  <c r="BQ62" i="13"/>
  <c r="BP62" i="13"/>
  <c r="BO62" i="13"/>
  <c r="BN62" i="13"/>
  <c r="BM62" i="13"/>
  <c r="BL62" i="13"/>
  <c r="BK62" i="13"/>
  <c r="BJ62" i="13"/>
  <c r="BH94" i="13"/>
  <c r="BU94" i="13"/>
  <c r="BD94" i="13"/>
  <c r="BF94" i="13"/>
  <c r="BE94" i="13"/>
  <c r="BT94" i="13"/>
  <c r="BS94" i="13"/>
  <c r="BR94" i="13"/>
  <c r="BC94" i="13"/>
  <c r="BN94" i="13"/>
  <c r="BB94" i="13"/>
  <c r="BM94" i="13"/>
  <c r="BA94" i="13"/>
  <c r="BL94" i="13"/>
  <c r="BQ94" i="13"/>
  <c r="BP94" i="13"/>
  <c r="BO94" i="13"/>
  <c r="AZ94" i="13"/>
  <c r="BK94" i="13"/>
  <c r="AY94" i="13"/>
  <c r="BJ94" i="13"/>
  <c r="AX94" i="13"/>
  <c r="BM31" i="13"/>
  <c r="BK31" i="13"/>
  <c r="BJ31" i="13"/>
  <c r="BL31" i="13"/>
  <c r="BR31" i="13"/>
  <c r="BQ31" i="13"/>
  <c r="BP31" i="13"/>
  <c r="BO31" i="13"/>
  <c r="BN31" i="13"/>
  <c r="BT31" i="13"/>
  <c r="BS31" i="13"/>
  <c r="BH31" i="13"/>
  <c r="BF31" i="13"/>
  <c r="BE31" i="13"/>
  <c r="BB31" i="13"/>
  <c r="AZ31" i="13"/>
  <c r="AY31" i="13"/>
  <c r="AX31" i="13"/>
  <c r="BD31" i="13"/>
  <c r="BC31" i="13"/>
  <c r="BA31" i="13"/>
  <c r="BU31" i="13"/>
  <c r="BO63" i="13"/>
  <c r="BD63" i="13"/>
  <c r="BC63" i="13"/>
  <c r="BL63" i="13"/>
  <c r="BA63" i="13"/>
  <c r="BN63" i="13"/>
  <c r="BM63" i="13"/>
  <c r="BB63" i="13"/>
  <c r="BS63" i="13"/>
  <c r="AZ63" i="13"/>
  <c r="BR63" i="13"/>
  <c r="AY63" i="13"/>
  <c r="BH63" i="13"/>
  <c r="BU63" i="13"/>
  <c r="BF63" i="13"/>
  <c r="BT63" i="13"/>
  <c r="BE63" i="13"/>
  <c r="BK63" i="13"/>
  <c r="BQ63" i="13"/>
  <c r="BP63" i="13"/>
  <c r="AX63" i="13"/>
  <c r="BJ63" i="13"/>
  <c r="BM95" i="13"/>
  <c r="BJ95" i="13"/>
  <c r="BL95" i="13"/>
  <c r="BK95" i="13"/>
  <c r="BU95" i="13"/>
  <c r="BH95" i="13"/>
  <c r="BT95" i="13"/>
  <c r="BF95" i="13"/>
  <c r="BS95" i="13"/>
  <c r="BE95" i="13"/>
  <c r="BD95" i="13"/>
  <c r="BC95" i="13"/>
  <c r="BB95" i="13"/>
  <c r="BA95" i="13"/>
  <c r="AZ95" i="13"/>
  <c r="AX95" i="13"/>
  <c r="BP95" i="13"/>
  <c r="BR95" i="13"/>
  <c r="AY95" i="13"/>
  <c r="BQ95" i="13"/>
  <c r="BO95" i="13"/>
  <c r="BN95" i="13"/>
  <c r="BL32" i="13"/>
  <c r="BJ32" i="13"/>
  <c r="BK32" i="13"/>
  <c r="BH32" i="13"/>
  <c r="BE32" i="13"/>
  <c r="BF32" i="13"/>
  <c r="BR32" i="13"/>
  <c r="BQ32" i="13"/>
  <c r="BB32" i="13"/>
  <c r="BO32" i="13"/>
  <c r="BU32" i="13"/>
  <c r="BT32" i="13"/>
  <c r="BS32" i="13"/>
  <c r="BD32" i="13"/>
  <c r="BC32" i="13"/>
  <c r="BP32" i="13"/>
  <c r="BA32" i="13"/>
  <c r="AZ32" i="13"/>
  <c r="AY32" i="13"/>
  <c r="AX32" i="13"/>
  <c r="BM32" i="13"/>
  <c r="BN32" i="13"/>
  <c r="BP96" i="13"/>
  <c r="BF96" i="13"/>
  <c r="BE96" i="13"/>
  <c r="BN96" i="13"/>
  <c r="BO96" i="13"/>
  <c r="BD96" i="13"/>
  <c r="BA96" i="13"/>
  <c r="AY96" i="13"/>
  <c r="AX96" i="13"/>
  <c r="AZ96" i="13"/>
  <c r="BQ96" i="13"/>
  <c r="BK96" i="13"/>
  <c r="BM96" i="13"/>
  <c r="BL96" i="13"/>
  <c r="BH96" i="13"/>
  <c r="BC96" i="13"/>
  <c r="BJ96" i="13"/>
  <c r="BB96" i="13"/>
  <c r="BU96" i="13"/>
  <c r="BT96" i="13"/>
  <c r="BS96" i="13"/>
  <c r="BR96" i="13"/>
  <c r="BD33" i="13"/>
  <c r="BC33" i="13"/>
  <c r="AX33" i="13"/>
  <c r="BU33" i="13"/>
  <c r="BH33" i="13"/>
  <c r="BB33" i="13"/>
  <c r="BA33" i="13"/>
  <c r="BF33" i="13"/>
  <c r="BE33" i="13"/>
  <c r="BP33" i="13"/>
  <c r="BO33" i="13"/>
  <c r="BN33" i="13"/>
  <c r="BM33" i="13"/>
  <c r="BL33" i="13"/>
  <c r="BK33" i="13"/>
  <c r="BJ33" i="13"/>
  <c r="AZ33" i="13"/>
  <c r="AY33" i="13"/>
  <c r="BT33" i="13"/>
  <c r="BS33" i="13"/>
  <c r="BQ33" i="13"/>
  <c r="BR33" i="13"/>
  <c r="BP98" i="13"/>
  <c r="BM98" i="13"/>
  <c r="BO98" i="13"/>
  <c r="BN98" i="13"/>
  <c r="BL98" i="13"/>
  <c r="BB98" i="13"/>
  <c r="BA98" i="13"/>
  <c r="AZ98" i="13"/>
  <c r="AY98" i="13"/>
  <c r="AX98" i="13"/>
  <c r="BD98" i="13"/>
  <c r="BC98" i="13"/>
  <c r="BU98" i="13"/>
  <c r="BT98" i="13"/>
  <c r="BS98" i="13"/>
  <c r="BR98" i="13"/>
  <c r="BQ98" i="13"/>
  <c r="BK98" i="13"/>
  <c r="BJ98" i="13"/>
  <c r="BH98" i="13"/>
  <c r="BF98" i="13"/>
  <c r="BE98" i="13"/>
  <c r="BT35" i="13"/>
  <c r="BS35" i="13"/>
  <c r="BR35" i="13"/>
  <c r="BL35" i="13"/>
  <c r="BK35" i="13"/>
  <c r="BJ35" i="13"/>
  <c r="AY35" i="13"/>
  <c r="BP35" i="13"/>
  <c r="BO35" i="13"/>
  <c r="AX35" i="13"/>
  <c r="BU35" i="13"/>
  <c r="BQ35" i="13"/>
  <c r="BF35" i="13"/>
  <c r="BE35" i="13"/>
  <c r="BD35" i="13"/>
  <c r="BC35" i="13"/>
  <c r="BB35" i="13"/>
  <c r="BA35" i="13"/>
  <c r="AZ35" i="13"/>
  <c r="BH35" i="13"/>
  <c r="BN35" i="13"/>
  <c r="BM35" i="13"/>
  <c r="BP99" i="13"/>
  <c r="BN99" i="13"/>
  <c r="BO99" i="13"/>
  <c r="BH99" i="13"/>
  <c r="BE99" i="13"/>
  <c r="BF99" i="13"/>
  <c r="BT99" i="13"/>
  <c r="BS99" i="13"/>
  <c r="BR99" i="13"/>
  <c r="BU99" i="13"/>
  <c r="BD99" i="13"/>
  <c r="BB99" i="13"/>
  <c r="BC99" i="13"/>
  <c r="BQ99" i="13"/>
  <c r="BM99" i="13"/>
  <c r="BL99" i="13"/>
  <c r="BK99" i="13"/>
  <c r="BJ99" i="13"/>
  <c r="BA99" i="13"/>
  <c r="AZ99" i="13"/>
  <c r="AY99" i="13"/>
  <c r="AX99" i="13"/>
  <c r="BL68" i="13"/>
  <c r="BK68" i="13"/>
  <c r="BJ68" i="13"/>
  <c r="AX68" i="13"/>
  <c r="BR68" i="13"/>
  <c r="BH68" i="13"/>
  <c r="BO68" i="13"/>
  <c r="BM68" i="13"/>
  <c r="BB68" i="13"/>
  <c r="BA68" i="13"/>
  <c r="BQ68" i="13"/>
  <c r="BF68" i="13"/>
  <c r="BP68" i="13"/>
  <c r="BE68" i="13"/>
  <c r="BD68" i="13"/>
  <c r="BN68" i="13"/>
  <c r="BC68" i="13"/>
  <c r="BT68" i="13"/>
  <c r="AY68" i="13"/>
  <c r="BS68" i="13"/>
  <c r="AZ68" i="13"/>
  <c r="BU68" i="13"/>
  <c r="BH69" i="13"/>
  <c r="BU69" i="13"/>
  <c r="BT69" i="13"/>
  <c r="BS69" i="13"/>
  <c r="BR69" i="13"/>
  <c r="BQ69" i="13"/>
  <c r="BN69" i="13"/>
  <c r="BK69" i="13"/>
  <c r="BP69" i="13"/>
  <c r="BO69" i="13"/>
  <c r="BM69" i="13"/>
  <c r="BL69" i="13"/>
  <c r="AY69" i="13"/>
  <c r="AX69" i="13"/>
  <c r="BF69" i="13"/>
  <c r="BE69" i="13"/>
  <c r="BD69" i="13"/>
  <c r="BC69" i="13"/>
  <c r="BA69" i="13"/>
  <c r="AZ69" i="13"/>
  <c r="BJ69" i="13"/>
  <c r="BB69" i="13"/>
  <c r="BF38" i="13"/>
  <c r="BE38" i="13"/>
  <c r="BB38" i="13"/>
  <c r="BA38" i="13"/>
  <c r="AZ38" i="13"/>
  <c r="BT38" i="13"/>
  <c r="BU38" i="13"/>
  <c r="AY38" i="13"/>
  <c r="BS38" i="13"/>
  <c r="BR38" i="13"/>
  <c r="BQ38" i="13"/>
  <c r="BP38" i="13"/>
  <c r="BO38" i="13"/>
  <c r="BN38" i="13"/>
  <c r="BM38" i="13"/>
  <c r="BL38" i="13"/>
  <c r="BK38" i="13"/>
  <c r="BJ38" i="13"/>
  <c r="BH38" i="13"/>
  <c r="BD38" i="13"/>
  <c r="BC38" i="13"/>
  <c r="AX38" i="13"/>
  <c r="BT70" i="13"/>
  <c r="AX70" i="13"/>
  <c r="BR70" i="13"/>
  <c r="BS70" i="13"/>
  <c r="BM70" i="13"/>
  <c r="BJ70" i="13"/>
  <c r="BL70" i="13"/>
  <c r="BK70" i="13"/>
  <c r="BP70" i="13"/>
  <c r="BO70" i="13"/>
  <c r="BN70" i="13"/>
  <c r="BH70" i="13"/>
  <c r="BB70" i="13"/>
  <c r="BA70" i="13"/>
  <c r="BF70" i="13"/>
  <c r="BE70" i="13"/>
  <c r="BD70" i="13"/>
  <c r="BC70" i="13"/>
  <c r="AZ70" i="13"/>
  <c r="AY70" i="13"/>
  <c r="BQ70" i="13"/>
  <c r="BU70" i="13"/>
  <c r="BU72" i="13"/>
  <c r="BE72" i="13"/>
  <c r="BA72" i="13"/>
  <c r="AZ72" i="13"/>
  <c r="AY72" i="13"/>
  <c r="BD72" i="13"/>
  <c r="BC72" i="13"/>
  <c r="BB72" i="13"/>
  <c r="BT72" i="13"/>
  <c r="BO72" i="13"/>
  <c r="BN72" i="13"/>
  <c r="BF72" i="13"/>
  <c r="BM72" i="13"/>
  <c r="BL72" i="13"/>
  <c r="BS72" i="13"/>
  <c r="BR72" i="13"/>
  <c r="BQ72" i="13"/>
  <c r="BP72" i="13"/>
  <c r="BH72" i="13"/>
  <c r="AX72" i="13"/>
  <c r="BK72" i="13"/>
  <c r="BJ72" i="13"/>
  <c r="BP73" i="13"/>
  <c r="AZ73" i="13"/>
  <c r="AY73" i="13"/>
  <c r="BN73" i="13"/>
  <c r="BO73" i="13"/>
  <c r="BL73" i="13"/>
  <c r="BK73" i="13"/>
  <c r="BJ73" i="13"/>
  <c r="BS73" i="13"/>
  <c r="BM73" i="13"/>
  <c r="BU73" i="13"/>
  <c r="BT73" i="13"/>
  <c r="BR73" i="13"/>
  <c r="BQ73" i="13"/>
  <c r="BH73" i="13"/>
  <c r="BF73" i="13"/>
  <c r="BE73" i="13"/>
  <c r="AX73" i="13"/>
  <c r="BD73" i="13"/>
  <c r="BC73" i="13"/>
  <c r="BB73" i="13"/>
  <c r="BA73" i="13"/>
  <c r="AX10" i="13"/>
  <c r="BQ10" i="13"/>
  <c r="BN10" i="13"/>
  <c r="BM10" i="13"/>
  <c r="BL10" i="13"/>
  <c r="BK10" i="13"/>
  <c r="BP10" i="13"/>
  <c r="BO10" i="13"/>
  <c r="BT10" i="13"/>
  <c r="BU10" i="13"/>
  <c r="BH10" i="13"/>
  <c r="BF10" i="13"/>
  <c r="BE10" i="13"/>
  <c r="BS10" i="13"/>
  <c r="BD10" i="13"/>
  <c r="AZ10" i="13"/>
  <c r="AY10" i="13"/>
  <c r="BR10" i="13"/>
  <c r="BC10" i="13"/>
  <c r="BJ10" i="13"/>
  <c r="BB10" i="13"/>
  <c r="BA10" i="13"/>
  <c r="BO42" i="13"/>
  <c r="BL42" i="13"/>
  <c r="BJ42" i="13"/>
  <c r="BN42" i="13"/>
  <c r="BM42" i="13"/>
  <c r="BK42" i="13"/>
  <c r="BP42" i="13"/>
  <c r="BH42" i="13"/>
  <c r="BF42" i="13"/>
  <c r="BE42" i="13"/>
  <c r="BD42" i="13"/>
  <c r="BC42" i="13"/>
  <c r="BB42" i="13"/>
  <c r="BA42" i="13"/>
  <c r="AZ42" i="13"/>
  <c r="AY42" i="13"/>
  <c r="BU42" i="13"/>
  <c r="BT42" i="13"/>
  <c r="BS42" i="13"/>
  <c r="BR42" i="13"/>
  <c r="BQ42" i="13"/>
  <c r="AX42" i="13"/>
  <c r="BT11" i="13"/>
  <c r="BD11" i="13"/>
  <c r="BC11" i="13"/>
  <c r="BS11" i="13"/>
  <c r="BH11" i="13"/>
  <c r="BF11" i="13"/>
  <c r="BE11" i="13"/>
  <c r="BU11" i="13"/>
  <c r="BR11" i="13"/>
  <c r="BQ11" i="13"/>
  <c r="BP11" i="13"/>
  <c r="BO11" i="13"/>
  <c r="BN11" i="13"/>
  <c r="BB11" i="13"/>
  <c r="BM11" i="13"/>
  <c r="BL11" i="13"/>
  <c r="BK11" i="13"/>
  <c r="BJ11" i="13"/>
  <c r="BA11" i="13"/>
  <c r="AY11" i="13"/>
  <c r="AX11" i="13"/>
  <c r="AZ11" i="13"/>
  <c r="BT75" i="13"/>
  <c r="BU75" i="13"/>
  <c r="BL75" i="13"/>
  <c r="BH75" i="13"/>
  <c r="BK75" i="13"/>
  <c r="BJ75" i="13"/>
  <c r="BM75" i="13"/>
  <c r="BF75" i="13"/>
  <c r="BE75" i="13"/>
  <c r="BC75" i="13"/>
  <c r="BB75" i="13"/>
  <c r="BA75" i="13"/>
  <c r="BD75" i="13"/>
  <c r="AZ75" i="13"/>
  <c r="AY75" i="13"/>
  <c r="AX75" i="13"/>
  <c r="BS75" i="13"/>
  <c r="BO75" i="13"/>
  <c r="BN75" i="13"/>
  <c r="BR75" i="13"/>
  <c r="BQ75" i="13"/>
  <c r="BP75" i="13"/>
  <c r="BL44" i="13"/>
  <c r="AX44" i="13"/>
  <c r="BJ44" i="13"/>
  <c r="BK44" i="13"/>
  <c r="BM44" i="13"/>
  <c r="BU44" i="13"/>
  <c r="BR44" i="13"/>
  <c r="BT44" i="13"/>
  <c r="BS44" i="13"/>
  <c r="BH44" i="13"/>
  <c r="BF44" i="13"/>
  <c r="BE44" i="13"/>
  <c r="BA44" i="13"/>
  <c r="AZ44" i="13"/>
  <c r="BD44" i="13"/>
  <c r="BC44" i="13"/>
  <c r="BB44" i="13"/>
  <c r="AY44" i="13"/>
  <c r="BP44" i="13"/>
  <c r="BO44" i="13"/>
  <c r="BN44" i="13"/>
  <c r="BQ44" i="13"/>
  <c r="BA13" i="13"/>
  <c r="AZ13" i="13"/>
  <c r="BU13" i="13"/>
  <c r="BR13" i="13"/>
  <c r="BQ13" i="13"/>
  <c r="AY13" i="13"/>
  <c r="BT13" i="13"/>
  <c r="AX13" i="13"/>
  <c r="BS13" i="13"/>
  <c r="BH13" i="13"/>
  <c r="BF13" i="13"/>
  <c r="BC13" i="13"/>
  <c r="BE13" i="13"/>
  <c r="BD13" i="13"/>
  <c r="BB13" i="13"/>
  <c r="BL13" i="13"/>
  <c r="BK13" i="13"/>
  <c r="BJ13" i="13"/>
  <c r="BP13" i="13"/>
  <c r="BN13" i="13"/>
  <c r="BM13" i="13"/>
  <c r="BO13" i="13"/>
  <c r="BT46" i="13"/>
  <c r="BS46" i="13"/>
  <c r="BR46" i="13"/>
  <c r="BU46" i="13"/>
  <c r="BH46" i="13"/>
  <c r="BN46" i="13"/>
  <c r="BM46" i="13"/>
  <c r="BL46" i="13"/>
  <c r="BK46" i="13"/>
  <c r="BJ46" i="13"/>
  <c r="BE46" i="13"/>
  <c r="BF46" i="13"/>
  <c r="BD46" i="13"/>
  <c r="BC46" i="13"/>
  <c r="BB46" i="13"/>
  <c r="BA46" i="13"/>
  <c r="AZ46" i="13"/>
  <c r="AY46" i="13"/>
  <c r="AX46" i="13"/>
  <c r="BQ46" i="13"/>
  <c r="BP46" i="13"/>
  <c r="BO46" i="13"/>
  <c r="BF15" i="13"/>
  <c r="BE15" i="13"/>
  <c r="BQ15" i="13"/>
  <c r="BN15" i="13"/>
  <c r="BP15" i="13"/>
  <c r="BO15" i="13"/>
  <c r="BT15" i="13"/>
  <c r="BS15" i="13"/>
  <c r="BR15" i="13"/>
  <c r="BL15" i="13"/>
  <c r="BU15" i="13"/>
  <c r="BM15" i="13"/>
  <c r="BK15" i="13"/>
  <c r="BJ15" i="13"/>
  <c r="BH15" i="13"/>
  <c r="AY15" i="13"/>
  <c r="AX15" i="13"/>
  <c r="BD15" i="13"/>
  <c r="BC15" i="13"/>
  <c r="BB15" i="13"/>
  <c r="BA15" i="13"/>
  <c r="AZ15" i="13"/>
  <c r="AZ47" i="13"/>
  <c r="AY47" i="13"/>
  <c r="BL47" i="13"/>
  <c r="BB47" i="13"/>
  <c r="BA47" i="13"/>
  <c r="BK47" i="13"/>
  <c r="BJ47" i="13"/>
  <c r="AX47" i="13"/>
  <c r="BH47" i="13"/>
  <c r="BF47" i="13"/>
  <c r="BE47" i="13"/>
  <c r="BC47" i="13"/>
  <c r="BD47" i="13"/>
  <c r="BU47" i="13"/>
  <c r="BR47" i="13"/>
  <c r="BQ47" i="13"/>
  <c r="BT47" i="13"/>
  <c r="BS47" i="13"/>
  <c r="BP47" i="13"/>
  <c r="BO47" i="13"/>
  <c r="BN47" i="13"/>
  <c r="BM47" i="13"/>
  <c r="BT79" i="13"/>
  <c r="BR79" i="13"/>
  <c r="BS79" i="13"/>
  <c r="BO79" i="13"/>
  <c r="BL79" i="13"/>
  <c r="BJ79" i="13"/>
  <c r="BN79" i="13"/>
  <c r="BM79" i="13"/>
  <c r="BK79" i="13"/>
  <c r="BU79" i="13"/>
  <c r="BQ79" i="13"/>
  <c r="BP79" i="13"/>
  <c r="BF79" i="13"/>
  <c r="BE79" i="13"/>
  <c r="BH79" i="13"/>
  <c r="BB79" i="13"/>
  <c r="BA79" i="13"/>
  <c r="BD79" i="13"/>
  <c r="BC79" i="13"/>
  <c r="AZ79" i="13"/>
  <c r="AY79" i="13"/>
  <c r="AX79" i="13"/>
  <c r="BP64" i="13"/>
  <c r="BN64" i="13"/>
  <c r="BO64" i="13"/>
  <c r="BL64" i="13"/>
  <c r="AY64" i="13"/>
  <c r="BK64" i="13"/>
  <c r="AX64" i="13"/>
  <c r="BJ64" i="13"/>
  <c r="BU64" i="13"/>
  <c r="BT64" i="13"/>
  <c r="BS64" i="13"/>
  <c r="BH64" i="13"/>
  <c r="BM64" i="13"/>
  <c r="BF64" i="13"/>
  <c r="BR64" i="13"/>
  <c r="BQ64" i="13"/>
  <c r="BE64" i="13"/>
  <c r="BD64" i="13"/>
  <c r="BA64" i="13"/>
  <c r="AZ64" i="13"/>
  <c r="BC64" i="13"/>
  <c r="BB64" i="13"/>
  <c r="BF65" i="13"/>
  <c r="BE65" i="13"/>
  <c r="BN65" i="13"/>
  <c r="BM65" i="13"/>
  <c r="BH65" i="13"/>
  <c r="BL65" i="13"/>
  <c r="BD65" i="13"/>
  <c r="BK65" i="13"/>
  <c r="BC65" i="13"/>
  <c r="BJ65" i="13"/>
  <c r="BB65" i="13"/>
  <c r="BA65" i="13"/>
  <c r="AZ65" i="13"/>
  <c r="AY65" i="13"/>
  <c r="AX65" i="13"/>
  <c r="BT65" i="13"/>
  <c r="BS65" i="13"/>
  <c r="BR65" i="13"/>
  <c r="BO65" i="13"/>
  <c r="BU65" i="13"/>
  <c r="BQ65" i="13"/>
  <c r="BP65" i="13"/>
  <c r="BN66" i="13"/>
  <c r="BH66" i="13"/>
  <c r="BF66" i="13"/>
  <c r="BK66" i="13"/>
  <c r="BE66" i="13"/>
  <c r="BM66" i="13"/>
  <c r="BL66" i="13"/>
  <c r="BU66" i="13"/>
  <c r="AX66" i="13"/>
  <c r="BD66" i="13"/>
  <c r="BT66" i="13"/>
  <c r="BC66" i="13"/>
  <c r="BS66" i="13"/>
  <c r="BB66" i="13"/>
  <c r="BR66" i="13"/>
  <c r="BA66" i="13"/>
  <c r="BQ66" i="13"/>
  <c r="AZ66" i="13"/>
  <c r="BP66" i="13"/>
  <c r="AY66" i="13"/>
  <c r="BO66" i="13"/>
  <c r="BJ66" i="13"/>
  <c r="BL36" i="13"/>
  <c r="BK36" i="13"/>
  <c r="BJ36" i="13"/>
  <c r="BB36" i="13"/>
  <c r="BA36" i="13"/>
  <c r="AZ36" i="13"/>
  <c r="AY36" i="13"/>
  <c r="AX36" i="13"/>
  <c r="BR36" i="13"/>
  <c r="BQ36" i="13"/>
  <c r="BP36" i="13"/>
  <c r="BO36" i="13"/>
  <c r="BU36" i="13"/>
  <c r="BT36" i="13"/>
  <c r="BS36" i="13"/>
  <c r="BF36" i="13"/>
  <c r="BE36" i="13"/>
  <c r="BD36" i="13"/>
  <c r="BC36" i="13"/>
  <c r="BN36" i="13"/>
  <c r="BM36" i="13"/>
  <c r="BH36" i="13"/>
  <c r="BL6" i="13"/>
  <c r="BK6" i="13"/>
  <c r="BJ6" i="13"/>
  <c r="BM6" i="13"/>
  <c r="BQ6" i="13"/>
  <c r="BF6" i="13"/>
  <c r="BP6" i="13"/>
  <c r="BE6" i="13"/>
  <c r="BU6" i="13"/>
  <c r="BT6" i="13"/>
  <c r="BS6" i="13"/>
  <c r="BR6" i="13"/>
  <c r="BH6" i="13"/>
  <c r="BD6" i="13"/>
  <c r="BC6" i="13"/>
  <c r="BB6" i="13"/>
  <c r="BA6" i="13"/>
  <c r="BN6" i="13"/>
  <c r="AX6" i="13"/>
  <c r="AZ6" i="13"/>
  <c r="BO6" i="13"/>
  <c r="AY6" i="13"/>
  <c r="BB7" i="13"/>
  <c r="BA7" i="13"/>
  <c r="BJ7" i="13"/>
  <c r="BC7" i="13"/>
  <c r="AZ7" i="13"/>
  <c r="AY7" i="13"/>
  <c r="AX7" i="13"/>
  <c r="BS7" i="13"/>
  <c r="BH7" i="13"/>
  <c r="BR7" i="13"/>
  <c r="BF7" i="13"/>
  <c r="BQ7" i="13"/>
  <c r="BE7" i="13"/>
  <c r="BP7" i="13"/>
  <c r="BD7" i="13"/>
  <c r="BO7" i="13"/>
  <c r="BN7" i="13"/>
  <c r="BM7" i="13"/>
  <c r="BL7" i="13"/>
  <c r="BK7" i="13"/>
  <c r="BU7" i="13"/>
  <c r="BT7" i="13"/>
  <c r="BP39" i="13"/>
  <c r="BO39" i="13"/>
  <c r="BN39" i="13"/>
  <c r="BK39" i="13"/>
  <c r="BJ39" i="13"/>
  <c r="BH39" i="13"/>
  <c r="BC39" i="13"/>
  <c r="BB39" i="13"/>
  <c r="BU39" i="13"/>
  <c r="BA39" i="13"/>
  <c r="BF39" i="13"/>
  <c r="BE39" i="13"/>
  <c r="BD39" i="13"/>
  <c r="BT39" i="13"/>
  <c r="BS39" i="13"/>
  <c r="BR39" i="13"/>
  <c r="BQ39" i="13"/>
  <c r="BM39" i="13"/>
  <c r="BL39" i="13"/>
  <c r="AZ39" i="13"/>
  <c r="AY39" i="13"/>
  <c r="AX39" i="13"/>
  <c r="BB71" i="13"/>
  <c r="BA71" i="13"/>
  <c r="AY71" i="13"/>
  <c r="AZ71" i="13"/>
  <c r="BU71" i="13"/>
  <c r="BR71" i="13"/>
  <c r="BP71" i="13"/>
  <c r="BO71" i="13"/>
  <c r="BT71" i="13"/>
  <c r="BS71" i="13"/>
  <c r="BQ71" i="13"/>
  <c r="BH71" i="13"/>
  <c r="BF71" i="13"/>
  <c r="BE71" i="13"/>
  <c r="BD71" i="13"/>
  <c r="BC71" i="13"/>
  <c r="AX71" i="13"/>
  <c r="BN71" i="13"/>
  <c r="BM71" i="13"/>
  <c r="BL71" i="13"/>
  <c r="BK71" i="13"/>
  <c r="BJ71" i="13"/>
  <c r="BT8" i="13"/>
  <c r="BS8" i="13"/>
  <c r="BR8" i="13"/>
  <c r="BF8" i="13"/>
  <c r="BU8" i="13"/>
  <c r="BE8" i="13"/>
  <c r="BH8" i="13"/>
  <c r="BD8" i="13"/>
  <c r="BA8" i="13"/>
  <c r="BN8" i="13"/>
  <c r="AY8" i="13"/>
  <c r="AX8" i="13"/>
  <c r="BC8" i="13"/>
  <c r="BQ8" i="13"/>
  <c r="BB8" i="13"/>
  <c r="BP8" i="13"/>
  <c r="BO8" i="13"/>
  <c r="AZ8" i="13"/>
  <c r="BM8" i="13"/>
  <c r="BL8" i="13"/>
  <c r="BK8" i="13"/>
  <c r="BJ8" i="13"/>
  <c r="BF74" i="13"/>
  <c r="BD74" i="13"/>
  <c r="BC74" i="13"/>
  <c r="BE74" i="13"/>
  <c r="BU74" i="13"/>
  <c r="BS74" i="13"/>
  <c r="BR74" i="13"/>
  <c r="BQ74" i="13"/>
  <c r="BT74" i="13"/>
  <c r="BP74" i="13"/>
  <c r="BO74" i="13"/>
  <c r="BN74" i="13"/>
  <c r="BM74" i="13"/>
  <c r="BL74" i="13"/>
  <c r="BK74" i="13"/>
  <c r="BJ74" i="13"/>
  <c r="BH74" i="13"/>
  <c r="BB74" i="13"/>
  <c r="BA74" i="13"/>
  <c r="AZ74" i="13"/>
  <c r="AY74" i="13"/>
  <c r="AX74" i="13"/>
  <c r="BH43" i="13"/>
  <c r="BF43" i="13"/>
  <c r="BS43" i="13"/>
  <c r="BC43" i="13"/>
  <c r="BU43" i="13"/>
  <c r="BE43" i="13"/>
  <c r="BT43" i="13"/>
  <c r="BD43" i="13"/>
  <c r="BA43" i="13"/>
  <c r="AZ43" i="13"/>
  <c r="AY43" i="13"/>
  <c r="AX43" i="13"/>
  <c r="BN43" i="13"/>
  <c r="BM43" i="13"/>
  <c r="BL43" i="13"/>
  <c r="BK43" i="13"/>
  <c r="BJ43" i="13"/>
  <c r="BB43" i="13"/>
  <c r="BO43" i="13"/>
  <c r="BR43" i="13"/>
  <c r="BQ43" i="13"/>
  <c r="BP43" i="13"/>
  <c r="BL76" i="13"/>
  <c r="BB76" i="13"/>
  <c r="BK76" i="13"/>
  <c r="BA76" i="13"/>
  <c r="BJ76" i="13"/>
  <c r="BN76" i="13"/>
  <c r="BM76" i="13"/>
  <c r="BE76" i="13"/>
  <c r="AX76" i="13"/>
  <c r="BD76" i="13"/>
  <c r="BC76" i="13"/>
  <c r="AZ76" i="13"/>
  <c r="AY76" i="13"/>
  <c r="BH76" i="13"/>
  <c r="BF76" i="13"/>
  <c r="BT76" i="13"/>
  <c r="BS76" i="13"/>
  <c r="BR76" i="13"/>
  <c r="BQ76" i="13"/>
  <c r="BP76" i="13"/>
  <c r="BO76" i="13"/>
  <c r="BU76" i="13"/>
  <c r="BR45" i="13"/>
  <c r="BE45" i="13"/>
  <c r="BB45" i="13"/>
  <c r="BM45" i="13"/>
  <c r="AZ45" i="13"/>
  <c r="BL45" i="13"/>
  <c r="AY45" i="13"/>
  <c r="BQ45" i="13"/>
  <c r="BD45" i="13"/>
  <c r="BP45" i="13"/>
  <c r="BC45" i="13"/>
  <c r="BO45" i="13"/>
  <c r="BN45" i="13"/>
  <c r="BA45" i="13"/>
  <c r="BU45" i="13"/>
  <c r="BT45" i="13"/>
  <c r="BS45" i="13"/>
  <c r="BJ45" i="13"/>
  <c r="BK45" i="13"/>
  <c r="BH45" i="13"/>
  <c r="BF45" i="13"/>
  <c r="AX45" i="13"/>
  <c r="BT14" i="13"/>
  <c r="BS14" i="13"/>
  <c r="BR14" i="13"/>
  <c r="BB14" i="13"/>
  <c r="BA14" i="13"/>
  <c r="AY14" i="13"/>
  <c r="AZ14" i="13"/>
  <c r="BK14" i="13"/>
  <c r="BJ14" i="13"/>
  <c r="BF14" i="13"/>
  <c r="BE14" i="13"/>
  <c r="BD14" i="13"/>
  <c r="BC14" i="13"/>
  <c r="AX14" i="13"/>
  <c r="BO14" i="13"/>
  <c r="BN14" i="13"/>
  <c r="BM14" i="13"/>
  <c r="BU14" i="13"/>
  <c r="BQ14" i="13"/>
  <c r="BH14" i="13"/>
  <c r="BP14" i="13"/>
  <c r="BL14" i="13"/>
  <c r="BH78" i="13"/>
  <c r="BF78" i="13"/>
  <c r="BD78" i="13"/>
  <c r="BE78" i="13"/>
  <c r="BE77" i="13" s="1"/>
  <c r="BU78" i="13"/>
  <c r="AX78" i="13"/>
  <c r="BR78" i="13"/>
  <c r="BO78" i="13"/>
  <c r="BT78" i="13"/>
  <c r="BS78" i="13"/>
  <c r="BQ78" i="13"/>
  <c r="BP78" i="13"/>
  <c r="AY78" i="13"/>
  <c r="BN78" i="13"/>
  <c r="BM78" i="13"/>
  <c r="BL78" i="13"/>
  <c r="BK78" i="13"/>
  <c r="BJ78" i="13"/>
  <c r="BA78" i="13"/>
  <c r="AZ78" i="13"/>
  <c r="BC78" i="13"/>
  <c r="BB78" i="13"/>
  <c r="BU16" i="13"/>
  <c r="BD16" i="13"/>
  <c r="BT16" i="13"/>
  <c r="BC16" i="13"/>
  <c r="BH16" i="13"/>
  <c r="BF16" i="13"/>
  <c r="BE16" i="13"/>
  <c r="BQ16" i="13"/>
  <c r="BP16" i="13"/>
  <c r="BO16" i="13"/>
  <c r="BN16" i="13"/>
  <c r="BM16" i="13"/>
  <c r="BL16" i="13"/>
  <c r="BK16" i="13"/>
  <c r="BJ16" i="13"/>
  <c r="BS16" i="13"/>
  <c r="BR16" i="13"/>
  <c r="BB16" i="13"/>
  <c r="BA16" i="13"/>
  <c r="AZ16" i="13"/>
  <c r="AY16" i="13"/>
  <c r="AX16" i="13"/>
  <c r="BU48" i="13"/>
  <c r="BP48" i="13"/>
  <c r="BO48" i="13"/>
  <c r="BH48" i="13"/>
  <c r="BT48" i="13"/>
  <c r="BS48" i="13"/>
  <c r="BR48" i="13"/>
  <c r="BQ48" i="13"/>
  <c r="BB48" i="13"/>
  <c r="BA48" i="13"/>
  <c r="AZ48" i="13"/>
  <c r="AY48" i="13"/>
  <c r="AX48" i="13"/>
  <c r="BK48" i="13"/>
  <c r="BJ48" i="13"/>
  <c r="BN48" i="13"/>
  <c r="BM48" i="13"/>
  <c r="BL48" i="13"/>
  <c r="BF48" i="13"/>
  <c r="BD48" i="13"/>
  <c r="BC48" i="13"/>
  <c r="BE48" i="13"/>
  <c r="BA80" i="13"/>
  <c r="AZ80" i="13"/>
  <c r="BM80" i="13"/>
  <c r="BJ80" i="13"/>
  <c r="BL80" i="13"/>
  <c r="BK80" i="13"/>
  <c r="BE80" i="13"/>
  <c r="BD80" i="13"/>
  <c r="BH80" i="13"/>
  <c r="BF80" i="13"/>
  <c r="BR80" i="13"/>
  <c r="BQ80" i="13"/>
  <c r="BP80" i="13"/>
  <c r="BO80" i="13"/>
  <c r="BN80" i="13"/>
  <c r="AY80" i="13"/>
  <c r="AX80" i="13"/>
  <c r="BC80" i="13"/>
  <c r="BB80" i="13"/>
  <c r="BU80" i="13"/>
  <c r="BT80" i="13"/>
  <c r="BS80" i="13"/>
  <c r="F99" i="13"/>
  <c r="B32" i="33" a="1"/>
  <c r="B32" i="33" s="1"/>
  <c r="A5" i="33" a="1"/>
  <c r="A5" i="33" s="1"/>
  <c r="BW35" i="13"/>
  <c r="AA35" i="13"/>
  <c r="Z35" i="13"/>
  <c r="Y35" i="13"/>
  <c r="K35" i="13"/>
  <c r="X35" i="13"/>
  <c r="W35" i="13"/>
  <c r="T35" i="13"/>
  <c r="U35" i="13"/>
  <c r="H35" i="13"/>
  <c r="S35" i="13"/>
  <c r="AB35" i="13"/>
  <c r="R35" i="13"/>
  <c r="Q35" i="13"/>
  <c r="AP35" i="13"/>
  <c r="P35" i="13"/>
  <c r="AW35" i="13"/>
  <c r="O35" i="13"/>
  <c r="AU35" i="13"/>
  <c r="N35" i="13"/>
  <c r="AT35" i="13"/>
  <c r="M35" i="13"/>
  <c r="L35" i="13"/>
  <c r="AR35" i="13"/>
  <c r="AQ35" i="13"/>
  <c r="AS35" i="13"/>
  <c r="J35" i="13"/>
  <c r="AO35" i="13"/>
  <c r="G35" i="13"/>
  <c r="AL35" i="13"/>
  <c r="AK35" i="13"/>
  <c r="AH35" i="13"/>
  <c r="AF35" i="13"/>
  <c r="AC35" i="13"/>
  <c r="AN35" i="13"/>
  <c r="F35" i="13"/>
  <c r="E35" i="13"/>
  <c r="AJ35" i="13"/>
  <c r="AG35" i="13"/>
  <c r="AD35" i="13"/>
  <c r="AM35" i="13"/>
  <c r="AE35" i="13"/>
  <c r="W6" i="13"/>
  <c r="AP8" i="13"/>
  <c r="J8" i="13"/>
  <c r="AH8" i="13"/>
  <c r="AR8" i="13"/>
  <c r="G8" i="13"/>
  <c r="AO8" i="13"/>
  <c r="W8" i="13"/>
  <c r="U8" i="13"/>
  <c r="T8" i="13"/>
  <c r="M8" i="13"/>
  <c r="AT8" i="13"/>
  <c r="F8" i="13"/>
  <c r="AB8" i="13"/>
  <c r="Z8" i="13"/>
  <c r="AA8" i="13"/>
  <c r="Y8" i="13"/>
  <c r="O8" i="13"/>
  <c r="H8" i="13"/>
  <c r="AS8" i="13"/>
  <c r="AU8" i="13"/>
  <c r="AQ8" i="13"/>
  <c r="AN8" i="13"/>
  <c r="AM8" i="13"/>
  <c r="K8" i="13"/>
  <c r="P8" i="13"/>
  <c r="N8" i="13"/>
  <c r="L8" i="13"/>
  <c r="AL8" i="13"/>
  <c r="AK8" i="13"/>
  <c r="AJ8" i="13"/>
  <c r="AE8" i="13"/>
  <c r="AC8" i="13"/>
  <c r="X8" i="13"/>
  <c r="S8" i="13"/>
  <c r="AD8" i="13"/>
  <c r="Q8" i="13"/>
  <c r="R8" i="13"/>
  <c r="AG8" i="13"/>
  <c r="AF8" i="13"/>
  <c r="BW8" i="13"/>
  <c r="AW8" i="13"/>
  <c r="R72" i="13"/>
  <c r="AH72" i="13"/>
  <c r="AE72" i="13"/>
  <c r="O72" i="13"/>
  <c r="U72" i="13"/>
  <c r="T72" i="13"/>
  <c r="AJ72" i="13"/>
  <c r="AW72" i="13"/>
  <c r="K72" i="13"/>
  <c r="J72" i="13"/>
  <c r="Y72" i="13"/>
  <c r="X72" i="13"/>
  <c r="AS72" i="13"/>
  <c r="AQ72" i="13"/>
  <c r="G72" i="13"/>
  <c r="L72" i="13"/>
  <c r="H72" i="13"/>
  <c r="F72" i="13"/>
  <c r="AT72" i="13"/>
  <c r="AR72" i="13"/>
  <c r="AD72" i="13"/>
  <c r="BW72" i="13"/>
  <c r="AU72" i="13"/>
  <c r="AL72" i="13"/>
  <c r="AK72" i="13"/>
  <c r="AC72" i="13"/>
  <c r="P72" i="13"/>
  <c r="N72" i="13"/>
  <c r="M72" i="13"/>
  <c r="AN72" i="13"/>
  <c r="AP72" i="13"/>
  <c r="AO72" i="13"/>
  <c r="AG72" i="13"/>
  <c r="AM72" i="13"/>
  <c r="AF72" i="13"/>
  <c r="W72" i="13"/>
  <c r="Q72" i="13"/>
  <c r="S72" i="13"/>
  <c r="AB72" i="13"/>
  <c r="AA72" i="13"/>
  <c r="Z72" i="13"/>
  <c r="AA73" i="13"/>
  <c r="AQ73" i="13"/>
  <c r="K73" i="13"/>
  <c r="AN73" i="13"/>
  <c r="G73" i="13"/>
  <c r="AE73" i="13"/>
  <c r="AL73" i="13"/>
  <c r="AK73" i="13"/>
  <c r="S73" i="13"/>
  <c r="AH73" i="13"/>
  <c r="AG73" i="13"/>
  <c r="M73" i="13"/>
  <c r="L73" i="13"/>
  <c r="AM73" i="13"/>
  <c r="AW73" i="13"/>
  <c r="N73" i="13"/>
  <c r="J73" i="13"/>
  <c r="H73" i="13"/>
  <c r="AU73" i="13"/>
  <c r="AB73" i="13"/>
  <c r="AP73" i="13"/>
  <c r="AR73" i="13"/>
  <c r="AD73" i="13"/>
  <c r="AO73" i="13"/>
  <c r="AJ73" i="13"/>
  <c r="AF73" i="13"/>
  <c r="W73" i="13"/>
  <c r="R73" i="13"/>
  <c r="Q73" i="13"/>
  <c r="AT73" i="13"/>
  <c r="AS73" i="13"/>
  <c r="P73" i="13"/>
  <c r="Z73" i="13"/>
  <c r="Y73" i="13"/>
  <c r="BW73" i="13"/>
  <c r="AC73" i="13"/>
  <c r="X73" i="13"/>
  <c r="U73" i="13"/>
  <c r="T73" i="13"/>
  <c r="O73" i="13"/>
  <c r="F73" i="13"/>
  <c r="AK10" i="13"/>
  <c r="AF10" i="13"/>
  <c r="AE10" i="13"/>
  <c r="AS10" i="13"/>
  <c r="J10" i="13"/>
  <c r="AQ10" i="13"/>
  <c r="G10" i="13"/>
  <c r="AB10" i="13"/>
  <c r="AA10" i="13"/>
  <c r="Z10" i="13"/>
  <c r="Y10" i="13"/>
  <c r="R10" i="13"/>
  <c r="N10" i="13"/>
  <c r="AW10" i="13"/>
  <c r="AU10" i="13"/>
  <c r="AM10" i="13"/>
  <c r="AH10" i="13"/>
  <c r="U10" i="13"/>
  <c r="AL10" i="13"/>
  <c r="AJ10" i="13"/>
  <c r="AD10" i="13"/>
  <c r="AG10" i="13"/>
  <c r="Q10" i="13"/>
  <c r="P10" i="13"/>
  <c r="K10" i="13"/>
  <c r="F10" i="13"/>
  <c r="M10" i="13"/>
  <c r="L10" i="13"/>
  <c r="O10" i="13"/>
  <c r="H10" i="13"/>
  <c r="AT10" i="13"/>
  <c r="AR10" i="13"/>
  <c r="BW10" i="13"/>
  <c r="AO10" i="13"/>
  <c r="AP10" i="13"/>
  <c r="W10" i="13"/>
  <c r="AN10" i="13"/>
  <c r="AC10" i="13"/>
  <c r="X10" i="13"/>
  <c r="T10" i="13"/>
  <c r="S10" i="13"/>
  <c r="AS42" i="13"/>
  <c r="M42" i="13"/>
  <c r="AL42" i="13"/>
  <c r="AP42" i="13"/>
  <c r="G42" i="13"/>
  <c r="AO42" i="13"/>
  <c r="F42" i="13"/>
  <c r="AW42" i="13"/>
  <c r="L42" i="13"/>
  <c r="AF42" i="13"/>
  <c r="AD42" i="13"/>
  <c r="AH42" i="13"/>
  <c r="AE42" i="13"/>
  <c r="AC42" i="13"/>
  <c r="AB42" i="13"/>
  <c r="AN42" i="13"/>
  <c r="AM42" i="13"/>
  <c r="AK42" i="13"/>
  <c r="W42" i="13"/>
  <c r="AG42" i="13"/>
  <c r="X42" i="13"/>
  <c r="AJ42" i="13"/>
  <c r="Y42" i="13"/>
  <c r="P42" i="13"/>
  <c r="AU42" i="13"/>
  <c r="AT42" i="13"/>
  <c r="AA42" i="13"/>
  <c r="J42" i="13"/>
  <c r="H42" i="13"/>
  <c r="Z42" i="13"/>
  <c r="U42" i="13"/>
  <c r="R42" i="13"/>
  <c r="O42" i="13"/>
  <c r="N42" i="13"/>
  <c r="Q42" i="13"/>
  <c r="K42" i="13"/>
  <c r="BW42" i="13"/>
  <c r="S42" i="13"/>
  <c r="AR42" i="13"/>
  <c r="AQ42" i="13"/>
  <c r="T42" i="13"/>
  <c r="AJ74" i="13"/>
  <c r="T74" i="13"/>
  <c r="AW74" i="13"/>
  <c r="Q74" i="13"/>
  <c r="AT74" i="13"/>
  <c r="K74" i="13"/>
  <c r="U74" i="13"/>
  <c r="S74" i="13"/>
  <c r="AO74" i="13"/>
  <c r="R74" i="13"/>
  <c r="P74" i="13"/>
  <c r="AP74" i="13"/>
  <c r="AN74" i="13"/>
  <c r="AC74" i="13"/>
  <c r="AA74" i="13"/>
  <c r="AS74" i="13"/>
  <c r="AU74" i="13"/>
  <c r="AR74" i="13"/>
  <c r="J74" i="13"/>
  <c r="H74" i="13"/>
  <c r="G74" i="13"/>
  <c r="AE74" i="13"/>
  <c r="O74" i="13"/>
  <c r="N74" i="13"/>
  <c r="M74" i="13"/>
  <c r="L74" i="13"/>
  <c r="AM74" i="13"/>
  <c r="AL74" i="13"/>
  <c r="AD74" i="13"/>
  <c r="AQ74" i="13"/>
  <c r="BW74" i="13"/>
  <c r="AG74" i="13"/>
  <c r="W74" i="13"/>
  <c r="F74" i="13"/>
  <c r="X74" i="13"/>
  <c r="AK74" i="13"/>
  <c r="AH74" i="13"/>
  <c r="Z74" i="13"/>
  <c r="Y74" i="13"/>
  <c r="AF74" i="13"/>
  <c r="AB74" i="13"/>
  <c r="AT11" i="13"/>
  <c r="N11" i="13"/>
  <c r="AQ11" i="13"/>
  <c r="J11" i="13"/>
  <c r="AP11" i="13"/>
  <c r="H11" i="13"/>
  <c r="Y11" i="13"/>
  <c r="W11" i="13"/>
  <c r="L11" i="13"/>
  <c r="AW11" i="13"/>
  <c r="K11" i="13"/>
  <c r="G11" i="13"/>
  <c r="AU11" i="13"/>
  <c r="F11" i="13"/>
  <c r="AK11" i="13"/>
  <c r="AG11" i="13"/>
  <c r="AN11" i="13"/>
  <c r="AM11" i="13"/>
  <c r="AL11" i="13"/>
  <c r="AJ11" i="13"/>
  <c r="AC11" i="13"/>
  <c r="X11" i="13"/>
  <c r="BW11" i="13"/>
  <c r="P11" i="13"/>
  <c r="AR11" i="13"/>
  <c r="AO11" i="13"/>
  <c r="AF11" i="13"/>
  <c r="AH11" i="13"/>
  <c r="AE11" i="13"/>
  <c r="AD11" i="13"/>
  <c r="AB11" i="13"/>
  <c r="AA11" i="13"/>
  <c r="Z11" i="13"/>
  <c r="U11" i="13"/>
  <c r="O11" i="13"/>
  <c r="T11" i="13"/>
  <c r="S11" i="13"/>
  <c r="R11" i="13"/>
  <c r="Q11" i="13"/>
  <c r="M11" i="13"/>
  <c r="AS11" i="13"/>
  <c r="AW43" i="13"/>
  <c r="P43" i="13"/>
  <c r="U43" i="13"/>
  <c r="T43" i="13"/>
  <c r="AD43" i="13"/>
  <c r="N43" i="13"/>
  <c r="L43" i="13"/>
  <c r="BW43" i="13"/>
  <c r="S43" i="13"/>
  <c r="R43" i="13"/>
  <c r="Q43" i="13"/>
  <c r="O43" i="13"/>
  <c r="AF43" i="13"/>
  <c r="AE43" i="13"/>
  <c r="AC43" i="13"/>
  <c r="K43" i="13"/>
  <c r="AR43" i="13"/>
  <c r="AQ43" i="13"/>
  <c r="AP43" i="13"/>
  <c r="AO43" i="13"/>
  <c r="AH43" i="13"/>
  <c r="Z43" i="13"/>
  <c r="AT43" i="13"/>
  <c r="AL43" i="13"/>
  <c r="Y43" i="13"/>
  <c r="AG43" i="13"/>
  <c r="AK43" i="13"/>
  <c r="AB43" i="13"/>
  <c r="AU43" i="13"/>
  <c r="AA43" i="13"/>
  <c r="AS43" i="13"/>
  <c r="AJ43" i="13"/>
  <c r="AN43" i="13"/>
  <c r="AM43" i="13"/>
  <c r="X43" i="13"/>
  <c r="W43" i="13"/>
  <c r="M43" i="13"/>
  <c r="H43" i="13"/>
  <c r="G43" i="13"/>
  <c r="J43" i="13"/>
  <c r="F43" i="13"/>
  <c r="AS75" i="13"/>
  <c r="M75" i="13"/>
  <c r="BW75" i="13"/>
  <c r="AC75" i="13"/>
  <c r="Z75" i="13"/>
  <c r="AA75" i="13"/>
  <c r="AL75" i="13"/>
  <c r="AK75" i="13"/>
  <c r="X75" i="13"/>
  <c r="AP75" i="13"/>
  <c r="AO75" i="13"/>
  <c r="AE75" i="13"/>
  <c r="AD75" i="13"/>
  <c r="R75" i="13"/>
  <c r="P75" i="13"/>
  <c r="AN75" i="13"/>
  <c r="AT75" i="13"/>
  <c r="AR75" i="13"/>
  <c r="AQ75" i="13"/>
  <c r="K75" i="13"/>
  <c r="J75" i="13"/>
  <c r="H75" i="13"/>
  <c r="AF75" i="13"/>
  <c r="AB75" i="13"/>
  <c r="Y75" i="13"/>
  <c r="W75" i="13"/>
  <c r="U75" i="13"/>
  <c r="N75" i="13"/>
  <c r="L75" i="13"/>
  <c r="AH75" i="13"/>
  <c r="T75" i="13"/>
  <c r="Q75" i="13"/>
  <c r="AG75" i="13"/>
  <c r="S75" i="13"/>
  <c r="G75" i="13"/>
  <c r="F75" i="13"/>
  <c r="AM75" i="13"/>
  <c r="AJ75" i="13"/>
  <c r="AW75" i="13"/>
  <c r="AU75" i="13"/>
  <c r="O75" i="13"/>
  <c r="AE44" i="13"/>
  <c r="AA44" i="13"/>
  <c r="AH44" i="13"/>
  <c r="AU44" i="13"/>
  <c r="K44" i="13"/>
  <c r="AK44" i="13"/>
  <c r="AG44" i="13"/>
  <c r="AS44" i="13"/>
  <c r="F44" i="13"/>
  <c r="AT44" i="13"/>
  <c r="AR44" i="13"/>
  <c r="T44" i="13"/>
  <c r="S44" i="13"/>
  <c r="R44" i="13"/>
  <c r="H44" i="13"/>
  <c r="AP44" i="13"/>
  <c r="AO44" i="13"/>
  <c r="AN44" i="13"/>
  <c r="AM44" i="13"/>
  <c r="Z44" i="13"/>
  <c r="L44" i="13"/>
  <c r="J44" i="13"/>
  <c r="G44" i="13"/>
  <c r="AD44" i="13"/>
  <c r="AB44" i="13"/>
  <c r="Y44" i="13"/>
  <c r="U44" i="13"/>
  <c r="X44" i="13"/>
  <c r="W44" i="13"/>
  <c r="Q44" i="13"/>
  <c r="M44" i="13"/>
  <c r="AW44" i="13"/>
  <c r="AQ44" i="13"/>
  <c r="AL44" i="13"/>
  <c r="AF44" i="13"/>
  <c r="BW44" i="13"/>
  <c r="AJ44" i="13"/>
  <c r="P44" i="13"/>
  <c r="AC44" i="13"/>
  <c r="O44" i="13"/>
  <c r="N44" i="13"/>
  <c r="AL76" i="13"/>
  <c r="AQ76" i="13"/>
  <c r="G76" i="13"/>
  <c r="S76" i="13"/>
  <c r="R76" i="13"/>
  <c r="J76" i="13"/>
  <c r="Z76" i="13"/>
  <c r="Y76" i="13"/>
  <c r="BW76" i="13"/>
  <c r="Q76" i="13"/>
  <c r="P76" i="13"/>
  <c r="H76" i="13"/>
  <c r="AG76" i="13"/>
  <c r="AM76" i="13"/>
  <c r="AK76" i="13"/>
  <c r="AJ76" i="13"/>
  <c r="L76" i="13"/>
  <c r="K76" i="13"/>
  <c r="F76" i="13"/>
  <c r="AW76" i="13"/>
  <c r="AE76" i="13"/>
  <c r="AR76" i="13"/>
  <c r="AP76" i="13"/>
  <c r="AO76" i="13"/>
  <c r="AN76" i="13"/>
  <c r="AH76" i="13"/>
  <c r="AA76" i="13"/>
  <c r="X76" i="13"/>
  <c r="O76" i="13"/>
  <c r="AS76" i="13"/>
  <c r="AB76" i="13"/>
  <c r="W76" i="13"/>
  <c r="AD76" i="13"/>
  <c r="M76" i="13"/>
  <c r="AT76" i="13"/>
  <c r="AC76" i="13"/>
  <c r="AU76" i="13"/>
  <c r="AF76" i="13"/>
  <c r="U76" i="13"/>
  <c r="T76" i="13"/>
  <c r="N76" i="13"/>
  <c r="AS13" i="13"/>
  <c r="M13" i="13"/>
  <c r="AR13" i="13"/>
  <c r="K13" i="13"/>
  <c r="AQ13" i="13"/>
  <c r="J13" i="13"/>
  <c r="AD13" i="13"/>
  <c r="AB13" i="13"/>
  <c r="U13" i="13"/>
  <c r="T13" i="13"/>
  <c r="S13" i="13"/>
  <c r="AW13" i="13"/>
  <c r="H13" i="13"/>
  <c r="AP13" i="13"/>
  <c r="Y13" i="13"/>
  <c r="X13" i="13"/>
  <c r="W13" i="13"/>
  <c r="R13" i="13"/>
  <c r="G13" i="13"/>
  <c r="AM13" i="13"/>
  <c r="AJ13" i="13"/>
  <c r="AF13" i="13"/>
  <c r="AH13" i="13"/>
  <c r="AG13" i="13"/>
  <c r="AU13" i="13"/>
  <c r="AT13" i="13"/>
  <c r="AE13" i="13"/>
  <c r="AC13" i="13"/>
  <c r="AA13" i="13"/>
  <c r="AO13" i="13"/>
  <c r="AL13" i="13"/>
  <c r="AK13" i="13"/>
  <c r="P13" i="13"/>
  <c r="AN13" i="13"/>
  <c r="Z13" i="13"/>
  <c r="Q13" i="13"/>
  <c r="BW13" i="13"/>
  <c r="N13" i="13"/>
  <c r="F13" i="13"/>
  <c r="O13" i="13"/>
  <c r="L13" i="13"/>
  <c r="AS45" i="13"/>
  <c r="AN45" i="13"/>
  <c r="G45" i="13"/>
  <c r="AL45" i="13"/>
  <c r="AW45" i="13"/>
  <c r="N45" i="13"/>
  <c r="M45" i="13"/>
  <c r="AB45" i="13"/>
  <c r="S45" i="13"/>
  <c r="Q45" i="13"/>
  <c r="AD45" i="13"/>
  <c r="AG45" i="13"/>
  <c r="AF45" i="13"/>
  <c r="AE45" i="13"/>
  <c r="J45" i="13"/>
  <c r="H45" i="13"/>
  <c r="F45" i="13"/>
  <c r="AQ45" i="13"/>
  <c r="AO45" i="13"/>
  <c r="AM45" i="13"/>
  <c r="AK45" i="13"/>
  <c r="AJ45" i="13"/>
  <c r="X45" i="13"/>
  <c r="T45" i="13"/>
  <c r="R45" i="13"/>
  <c r="P45" i="13"/>
  <c r="O45" i="13"/>
  <c r="L45" i="13"/>
  <c r="AT45" i="13"/>
  <c r="AU45" i="13"/>
  <c r="AH45" i="13"/>
  <c r="AC45" i="13"/>
  <c r="BW45" i="13"/>
  <c r="AP45" i="13"/>
  <c r="AA45" i="13"/>
  <c r="Z45" i="13"/>
  <c r="AR45" i="13"/>
  <c r="Y45" i="13"/>
  <c r="W45" i="13"/>
  <c r="K45" i="13"/>
  <c r="U45" i="13"/>
  <c r="W14" i="13"/>
  <c r="U14" i="13"/>
  <c r="AS14" i="13"/>
  <c r="J14" i="13"/>
  <c r="AR14" i="13"/>
  <c r="H14" i="13"/>
  <c r="AQ14" i="13"/>
  <c r="G14" i="13"/>
  <c r="AP14" i="13"/>
  <c r="AO14" i="13"/>
  <c r="AN14" i="13"/>
  <c r="AM14" i="13"/>
  <c r="AF14" i="13"/>
  <c r="AB14" i="13"/>
  <c r="P14" i="13"/>
  <c r="N14" i="13"/>
  <c r="O14" i="13"/>
  <c r="BW14" i="13"/>
  <c r="M14" i="13"/>
  <c r="AU14" i="13"/>
  <c r="AG14" i="13"/>
  <c r="AL14" i="13"/>
  <c r="AK14" i="13"/>
  <c r="AJ14" i="13"/>
  <c r="AH14" i="13"/>
  <c r="AT14" i="13"/>
  <c r="AW14" i="13"/>
  <c r="S14" i="13"/>
  <c r="R14" i="13"/>
  <c r="Q14" i="13"/>
  <c r="AE14" i="13"/>
  <c r="AD14" i="13"/>
  <c r="AC14" i="13"/>
  <c r="AA14" i="13"/>
  <c r="Z14" i="13"/>
  <c r="Y14" i="13"/>
  <c r="X14" i="13"/>
  <c r="L14" i="13"/>
  <c r="K14" i="13"/>
  <c r="F14" i="13"/>
  <c r="T14" i="13"/>
  <c r="R46" i="13"/>
  <c r="Q46" i="13"/>
  <c r="AC46" i="13"/>
  <c r="AB46" i="13"/>
  <c r="AU46" i="13"/>
  <c r="J46" i="13"/>
  <c r="AN46" i="13"/>
  <c r="AL46" i="13"/>
  <c r="O46" i="13"/>
  <c r="U46" i="13"/>
  <c r="T46" i="13"/>
  <c r="BW46" i="13"/>
  <c r="S46" i="13"/>
  <c r="AT46" i="13"/>
  <c r="AS46" i="13"/>
  <c r="AM46" i="13"/>
  <c r="AK46" i="13"/>
  <c r="AJ46" i="13"/>
  <c r="AH46" i="13"/>
  <c r="Y46" i="13"/>
  <c r="N46" i="13"/>
  <c r="AD46" i="13"/>
  <c r="AA46" i="13"/>
  <c r="Z46" i="13"/>
  <c r="X46" i="13"/>
  <c r="H46" i="13"/>
  <c r="AO46" i="13"/>
  <c r="AG46" i="13"/>
  <c r="G46" i="13"/>
  <c r="F46" i="13"/>
  <c r="AW46" i="13"/>
  <c r="AR46" i="13"/>
  <c r="AF46" i="13"/>
  <c r="M46" i="13"/>
  <c r="L46" i="13"/>
  <c r="AE46" i="13"/>
  <c r="W46" i="13"/>
  <c r="P46" i="13"/>
  <c r="K46" i="13"/>
  <c r="AQ46" i="13"/>
  <c r="AP46" i="13"/>
  <c r="AQ78" i="13"/>
  <c r="K78" i="13"/>
  <c r="AA78" i="13"/>
  <c r="X78" i="13"/>
  <c r="AL78" i="13"/>
  <c r="Q78" i="13"/>
  <c r="P78" i="13"/>
  <c r="L78" i="13"/>
  <c r="AC78" i="13"/>
  <c r="AB78" i="13"/>
  <c r="AE78" i="13"/>
  <c r="AD78" i="13"/>
  <c r="Y78" i="13"/>
  <c r="M78" i="13"/>
  <c r="J78" i="13"/>
  <c r="H78" i="13"/>
  <c r="BW78" i="13"/>
  <c r="AW78" i="13"/>
  <c r="AU78" i="13"/>
  <c r="AT78" i="13"/>
  <c r="AS78" i="13"/>
  <c r="AJ78" i="13"/>
  <c r="O78" i="13"/>
  <c r="AN78" i="13"/>
  <c r="AM78" i="13"/>
  <c r="AK78" i="13"/>
  <c r="AH78" i="13"/>
  <c r="T78" i="13"/>
  <c r="S78" i="13"/>
  <c r="F78" i="13"/>
  <c r="AR78" i="13"/>
  <c r="W78" i="13"/>
  <c r="G78" i="13"/>
  <c r="N78" i="13"/>
  <c r="R78" i="13"/>
  <c r="AP78" i="13"/>
  <c r="AO78" i="13"/>
  <c r="AG78" i="13"/>
  <c r="Z78" i="13"/>
  <c r="U78" i="13"/>
  <c r="AF78" i="13"/>
  <c r="AE15" i="13"/>
  <c r="AH15" i="13"/>
  <c r="AG15" i="13"/>
  <c r="Y15" i="13"/>
  <c r="X15" i="13"/>
  <c r="W15" i="13"/>
  <c r="AB15" i="13"/>
  <c r="AA15" i="13"/>
  <c r="Z15" i="13"/>
  <c r="O15" i="13"/>
  <c r="AW15" i="13"/>
  <c r="K15" i="13"/>
  <c r="G15" i="13"/>
  <c r="F15" i="13"/>
  <c r="AQ15" i="13"/>
  <c r="AM15" i="13"/>
  <c r="AC15" i="13"/>
  <c r="AT15" i="13"/>
  <c r="AS15" i="13"/>
  <c r="AO15" i="13"/>
  <c r="AR15" i="13"/>
  <c r="AP15" i="13"/>
  <c r="L15" i="13"/>
  <c r="J15" i="13"/>
  <c r="N15" i="13"/>
  <c r="H15" i="13"/>
  <c r="M15" i="13"/>
  <c r="AL15" i="13"/>
  <c r="AK15" i="13"/>
  <c r="AJ15" i="13"/>
  <c r="Q15" i="13"/>
  <c r="P15" i="13"/>
  <c r="BW15" i="13"/>
  <c r="AU15" i="13"/>
  <c r="AN15" i="13"/>
  <c r="S15" i="13"/>
  <c r="AF15" i="13"/>
  <c r="AD15" i="13"/>
  <c r="U15" i="13"/>
  <c r="R15" i="13"/>
  <c r="T15" i="13"/>
  <c r="AE47" i="13"/>
  <c r="AC47" i="13"/>
  <c r="AF47" i="13"/>
  <c r="AR47" i="13"/>
  <c r="H47" i="13"/>
  <c r="AQ47" i="13"/>
  <c r="G47" i="13"/>
  <c r="AD47" i="13"/>
  <c r="BW47" i="13"/>
  <c r="W47" i="13"/>
  <c r="U47" i="13"/>
  <c r="AS47" i="13"/>
  <c r="J47" i="13"/>
  <c r="F47" i="13"/>
  <c r="AW47" i="13"/>
  <c r="AN47" i="13"/>
  <c r="AM47" i="13"/>
  <c r="AL47" i="13"/>
  <c r="Z47" i="13"/>
  <c r="N47" i="13"/>
  <c r="AO47" i="13"/>
  <c r="AK47" i="13"/>
  <c r="AJ47" i="13"/>
  <c r="Q47" i="13"/>
  <c r="AU47" i="13"/>
  <c r="AT47" i="13"/>
  <c r="AP47" i="13"/>
  <c r="AH47" i="13"/>
  <c r="T47" i="13"/>
  <c r="O47" i="13"/>
  <c r="AB47" i="13"/>
  <c r="AA47" i="13"/>
  <c r="S47" i="13"/>
  <c r="Y47" i="13"/>
  <c r="R47" i="13"/>
  <c r="X47" i="13"/>
  <c r="K47" i="13"/>
  <c r="AG47" i="13"/>
  <c r="M47" i="13"/>
  <c r="P47" i="13"/>
  <c r="L47" i="13"/>
  <c r="T79" i="13"/>
  <c r="AJ79" i="13"/>
  <c r="AG79" i="13"/>
  <c r="R79" i="13"/>
  <c r="AH79" i="13"/>
  <c r="AL79" i="13"/>
  <c r="L79" i="13"/>
  <c r="K79" i="13"/>
  <c r="Q79" i="13"/>
  <c r="BW79" i="13"/>
  <c r="P79" i="13"/>
  <c r="S79" i="13"/>
  <c r="N79" i="13"/>
  <c r="G79" i="13"/>
  <c r="F79" i="13"/>
  <c r="AT79" i="13"/>
  <c r="AW79" i="13"/>
  <c r="AU79" i="13"/>
  <c r="AM79" i="13"/>
  <c r="AK79" i="13"/>
  <c r="W79" i="13"/>
  <c r="AS79" i="13"/>
  <c r="AR79" i="13"/>
  <c r="AF79" i="13"/>
  <c r="AE79" i="13"/>
  <c r="AA79" i="13"/>
  <c r="Z79" i="13"/>
  <c r="X79" i="13"/>
  <c r="O79" i="13"/>
  <c r="Y79" i="13"/>
  <c r="U79" i="13"/>
  <c r="AQ79" i="13"/>
  <c r="M79" i="13"/>
  <c r="J79" i="13"/>
  <c r="H79" i="13"/>
  <c r="AN79" i="13"/>
  <c r="AC79" i="13"/>
  <c r="AB79" i="13"/>
  <c r="AD79" i="13"/>
  <c r="AP79" i="13"/>
  <c r="AO79" i="13"/>
  <c r="AN16" i="13"/>
  <c r="G16" i="13"/>
  <c r="AS16" i="13"/>
  <c r="L16" i="13"/>
  <c r="AR16" i="13"/>
  <c r="K16" i="13"/>
  <c r="AO16" i="13"/>
  <c r="AM16" i="13"/>
  <c r="AL16" i="13"/>
  <c r="N16" i="13"/>
  <c r="M16" i="13"/>
  <c r="J16" i="13"/>
  <c r="AW16" i="13"/>
  <c r="H16" i="13"/>
  <c r="AJ16" i="13"/>
  <c r="AF16" i="13"/>
  <c r="AU16" i="13"/>
  <c r="AT16" i="13"/>
  <c r="AG16" i="13"/>
  <c r="AB16" i="13"/>
  <c r="U16" i="13"/>
  <c r="S16" i="13"/>
  <c r="R16" i="13"/>
  <c r="AD16" i="13"/>
  <c r="AC16" i="13"/>
  <c r="Y16" i="13"/>
  <c r="W16" i="13"/>
  <c r="O16" i="13"/>
  <c r="X16" i="13"/>
  <c r="AA16" i="13"/>
  <c r="T16" i="13"/>
  <c r="Z16" i="13"/>
  <c r="Q16" i="13"/>
  <c r="P16" i="13"/>
  <c r="AP16" i="13"/>
  <c r="BW16" i="13"/>
  <c r="AQ16" i="13"/>
  <c r="AK16" i="13"/>
  <c r="AH16" i="13"/>
  <c r="AE16" i="13"/>
  <c r="F16" i="13"/>
  <c r="AN48" i="13"/>
  <c r="G48" i="13"/>
  <c r="AO48" i="13"/>
  <c r="F48" i="13"/>
  <c r="AS48" i="13"/>
  <c r="K48" i="13"/>
  <c r="X48" i="13"/>
  <c r="W48" i="13"/>
  <c r="N48" i="13"/>
  <c r="AU48" i="13"/>
  <c r="AR48" i="13"/>
  <c r="AD48" i="13"/>
  <c r="AK48" i="13"/>
  <c r="AJ48" i="13"/>
  <c r="AF48" i="13"/>
  <c r="AE48" i="13"/>
  <c r="AC48" i="13"/>
  <c r="S48" i="13"/>
  <c r="AQ48" i="13"/>
  <c r="AP48" i="13"/>
  <c r="AM48" i="13"/>
  <c r="AL48" i="13"/>
  <c r="Q48" i="13"/>
  <c r="AH48" i="13"/>
  <c r="Z48" i="13"/>
  <c r="M48" i="13"/>
  <c r="BW48" i="13"/>
  <c r="L48" i="13"/>
  <c r="J48" i="13"/>
  <c r="P48" i="13"/>
  <c r="O48" i="13"/>
  <c r="H48" i="13"/>
  <c r="AW48" i="13"/>
  <c r="AT48" i="13"/>
  <c r="AG48" i="13"/>
  <c r="Y48" i="13"/>
  <c r="U48" i="13"/>
  <c r="AB48" i="13"/>
  <c r="T48" i="13"/>
  <c r="AA48" i="13"/>
  <c r="R48" i="13"/>
  <c r="BW80" i="13"/>
  <c r="AC80" i="13"/>
  <c r="AS80" i="13"/>
  <c r="M80" i="13"/>
  <c r="AP80" i="13"/>
  <c r="J80" i="13"/>
  <c r="AH80" i="13"/>
  <c r="AM80" i="13"/>
  <c r="Q80" i="13"/>
  <c r="P80" i="13"/>
  <c r="AK80" i="13"/>
  <c r="AJ80" i="13"/>
  <c r="F80" i="13"/>
  <c r="K80" i="13"/>
  <c r="G80" i="13"/>
  <c r="AT80" i="13"/>
  <c r="AR80" i="13"/>
  <c r="AN80" i="13"/>
  <c r="AL80" i="13"/>
  <c r="X80" i="13"/>
  <c r="H80" i="13"/>
  <c r="AW80" i="13"/>
  <c r="AO80" i="13"/>
  <c r="AG80" i="13"/>
  <c r="AB80" i="13"/>
  <c r="AA80" i="13"/>
  <c r="S80" i="13"/>
  <c r="AD80" i="13"/>
  <c r="Z80" i="13"/>
  <c r="U80" i="13"/>
  <c r="T80" i="13"/>
  <c r="Y80" i="13"/>
  <c r="W80" i="13"/>
  <c r="L80" i="13"/>
  <c r="AU80" i="13"/>
  <c r="AQ80" i="13"/>
  <c r="AF80" i="13"/>
  <c r="AE80" i="13"/>
  <c r="R80" i="13"/>
  <c r="O80" i="13"/>
  <c r="N80" i="13"/>
  <c r="AG7" i="13"/>
  <c r="X7" i="13"/>
  <c r="W7" i="13"/>
  <c r="AB7" i="13"/>
  <c r="BW7" i="13"/>
  <c r="Z7" i="13"/>
  <c r="AO7" i="13"/>
  <c r="AN7" i="13"/>
  <c r="AM7" i="13"/>
  <c r="AL7" i="13"/>
  <c r="AD7" i="13"/>
  <c r="AJ7" i="13"/>
  <c r="AH7" i="13"/>
  <c r="AF7" i="13"/>
  <c r="T7" i="13"/>
  <c r="P7" i="13"/>
  <c r="H7" i="13"/>
  <c r="AT7" i="13"/>
  <c r="AS7" i="13"/>
  <c r="AP7" i="13"/>
  <c r="AR7" i="13"/>
  <c r="AQ7" i="13"/>
  <c r="G7" i="13"/>
  <c r="AW7" i="13"/>
  <c r="S7" i="13"/>
  <c r="R7" i="13"/>
  <c r="Q7" i="13"/>
  <c r="U7" i="13"/>
  <c r="AU7" i="13"/>
  <c r="AK7" i="13"/>
  <c r="AE7" i="13"/>
  <c r="AC7" i="13"/>
  <c r="AA7" i="13"/>
  <c r="Y7" i="13"/>
  <c r="M7" i="13"/>
  <c r="J7" i="13"/>
  <c r="O7" i="13"/>
  <c r="K7" i="13"/>
  <c r="N7" i="13"/>
  <c r="L7" i="13"/>
  <c r="F7" i="13"/>
  <c r="AG58" i="13"/>
  <c r="AW58" i="13"/>
  <c r="Q58" i="13"/>
  <c r="AT58" i="13"/>
  <c r="N58" i="13"/>
  <c r="AL58" i="13"/>
  <c r="W58" i="13"/>
  <c r="AN58" i="13"/>
  <c r="R58" i="13"/>
  <c r="P58" i="13"/>
  <c r="G58" i="13"/>
  <c r="F58" i="13"/>
  <c r="AF58" i="13"/>
  <c r="AD58" i="13"/>
  <c r="AB58" i="13"/>
  <c r="AA58" i="13"/>
  <c r="Z58" i="13"/>
  <c r="X58" i="13"/>
  <c r="U58" i="13"/>
  <c r="H58" i="13"/>
  <c r="AR58" i="13"/>
  <c r="BW58" i="13"/>
  <c r="AP58" i="13"/>
  <c r="J58" i="13"/>
  <c r="AU58" i="13"/>
  <c r="AJ58" i="13"/>
  <c r="AS58" i="13"/>
  <c r="AK58" i="13"/>
  <c r="K58" i="13"/>
  <c r="AE58" i="13"/>
  <c r="O58" i="13"/>
  <c r="AC58" i="13"/>
  <c r="AQ58" i="13"/>
  <c r="AH58" i="13"/>
  <c r="AO58" i="13"/>
  <c r="AM58" i="13"/>
  <c r="Y58" i="13"/>
  <c r="T58" i="13"/>
  <c r="S58" i="13"/>
  <c r="M58" i="13"/>
  <c r="L58" i="13"/>
  <c r="AH90" i="13"/>
  <c r="AA90" i="13"/>
  <c r="Y90" i="13"/>
  <c r="R90" i="13"/>
  <c r="AU90" i="13"/>
  <c r="O90" i="13"/>
  <c r="AL90" i="13"/>
  <c r="T90" i="13"/>
  <c r="AG90" i="13"/>
  <c r="AW90" i="13"/>
  <c r="F90" i="13"/>
  <c r="W90" i="13"/>
  <c r="AO90" i="13"/>
  <c r="AN90" i="13"/>
  <c r="AB90" i="13"/>
  <c r="X90" i="13"/>
  <c r="AT90" i="13"/>
  <c r="P90" i="13"/>
  <c r="N90" i="13"/>
  <c r="M90" i="13"/>
  <c r="L90" i="13"/>
  <c r="BW90" i="13"/>
  <c r="AM90" i="13"/>
  <c r="AK90" i="13"/>
  <c r="AJ90" i="13"/>
  <c r="S90" i="13"/>
  <c r="Q90" i="13"/>
  <c r="AC90" i="13"/>
  <c r="J90" i="13"/>
  <c r="Z90" i="13"/>
  <c r="U90" i="13"/>
  <c r="K90" i="13"/>
  <c r="AF90" i="13"/>
  <c r="G90" i="13"/>
  <c r="AE90" i="13"/>
  <c r="AD90" i="13"/>
  <c r="H90" i="13"/>
  <c r="AS90" i="13"/>
  <c r="AR90" i="13"/>
  <c r="AP90" i="13"/>
  <c r="AQ90" i="13"/>
  <c r="AQ39" i="13"/>
  <c r="K39" i="13"/>
  <c r="AH39" i="13"/>
  <c r="AJ39" i="13"/>
  <c r="AL39" i="13"/>
  <c r="R39" i="13"/>
  <c r="Q39" i="13"/>
  <c r="M39" i="13"/>
  <c r="L39" i="13"/>
  <c r="J39" i="13"/>
  <c r="H39" i="13"/>
  <c r="G39" i="13"/>
  <c r="F39" i="13"/>
  <c r="AO39" i="13"/>
  <c r="BW39" i="13"/>
  <c r="AP39" i="13"/>
  <c r="AG39" i="13"/>
  <c r="AU39" i="13"/>
  <c r="AT39" i="13"/>
  <c r="AS39" i="13"/>
  <c r="AE39" i="13"/>
  <c r="AA39" i="13"/>
  <c r="T39" i="13"/>
  <c r="AF39" i="13"/>
  <c r="AD39" i="13"/>
  <c r="AC39" i="13"/>
  <c r="AB39" i="13"/>
  <c r="Z39" i="13"/>
  <c r="Y39" i="13"/>
  <c r="U39" i="13"/>
  <c r="AM39" i="13"/>
  <c r="AR39" i="13"/>
  <c r="AK39" i="13"/>
  <c r="X39" i="13"/>
  <c r="S39" i="13"/>
  <c r="AW39" i="13"/>
  <c r="AN39" i="13"/>
  <c r="W39" i="13"/>
  <c r="P39" i="13"/>
  <c r="O39" i="13"/>
  <c r="N39" i="13"/>
  <c r="F29" i="13"/>
  <c r="T29" i="13"/>
  <c r="AO29" i="13"/>
  <c r="Y29" i="13"/>
  <c r="X29" i="13"/>
  <c r="W29" i="13"/>
  <c r="P29" i="13"/>
  <c r="O29" i="13"/>
  <c r="N29" i="13"/>
  <c r="AR29" i="13"/>
  <c r="AP29" i="13"/>
  <c r="AN29" i="13"/>
  <c r="AM29" i="13"/>
  <c r="AL29" i="13"/>
  <c r="AE29" i="13"/>
  <c r="AA29" i="13"/>
  <c r="AT29" i="13"/>
  <c r="AS29" i="13"/>
  <c r="AQ29" i="13"/>
  <c r="AK29" i="13"/>
  <c r="AD29" i="13"/>
  <c r="U29" i="13"/>
  <c r="J29" i="13"/>
  <c r="AW29" i="13"/>
  <c r="AJ29" i="13"/>
  <c r="AU29" i="13"/>
  <c r="AC29" i="13"/>
  <c r="AF29" i="13"/>
  <c r="AB29" i="13"/>
  <c r="Z29" i="13"/>
  <c r="BW29" i="13"/>
  <c r="AG29" i="13"/>
  <c r="Q29" i="13"/>
  <c r="M29" i="13"/>
  <c r="K29" i="13"/>
  <c r="AH29" i="13"/>
  <c r="L29" i="13"/>
  <c r="G29" i="13"/>
  <c r="R29" i="13"/>
  <c r="S29" i="13"/>
  <c r="H29" i="13"/>
  <c r="X61" i="13"/>
  <c r="AN61" i="13"/>
  <c r="G61" i="13"/>
  <c r="AK61" i="13"/>
  <c r="AQ61" i="13"/>
  <c r="S61" i="13"/>
  <c r="R61" i="13"/>
  <c r="BW61" i="13"/>
  <c r="Q61" i="13"/>
  <c r="P61" i="13"/>
  <c r="AT61" i="13"/>
  <c r="Z61" i="13"/>
  <c r="H61" i="13"/>
  <c r="F61" i="13"/>
  <c r="AP61" i="13"/>
  <c r="AO61" i="13"/>
  <c r="AB61" i="13"/>
  <c r="AM61" i="13"/>
  <c r="AL61" i="13"/>
  <c r="AF61" i="13"/>
  <c r="T61" i="13"/>
  <c r="O61" i="13"/>
  <c r="N61" i="13"/>
  <c r="M61" i="13"/>
  <c r="AS61" i="13"/>
  <c r="AH61" i="13"/>
  <c r="AG61" i="13"/>
  <c r="K61" i="13"/>
  <c r="J61" i="13"/>
  <c r="AW61" i="13"/>
  <c r="AU61" i="13"/>
  <c r="AR61" i="13"/>
  <c r="AJ61" i="13"/>
  <c r="AE61" i="13"/>
  <c r="W61" i="13"/>
  <c r="L61" i="13"/>
  <c r="AD61" i="13"/>
  <c r="AC61" i="13"/>
  <c r="Y61" i="13"/>
  <c r="AA61" i="13"/>
  <c r="U61" i="13"/>
  <c r="T92" i="13"/>
  <c r="AS92" i="13"/>
  <c r="M92" i="13"/>
  <c r="AQ92" i="13"/>
  <c r="K92" i="13"/>
  <c r="AJ92" i="13"/>
  <c r="AG92" i="13"/>
  <c r="AO92" i="13"/>
  <c r="AA92" i="13"/>
  <c r="AP92" i="13"/>
  <c r="AN92" i="13"/>
  <c r="Y92" i="13"/>
  <c r="AT92" i="13"/>
  <c r="AR92" i="13"/>
  <c r="X92" i="13"/>
  <c r="W92" i="13"/>
  <c r="R92" i="13"/>
  <c r="P92" i="13"/>
  <c r="U92" i="13"/>
  <c r="S92" i="13"/>
  <c r="Q92" i="13"/>
  <c r="O92" i="13"/>
  <c r="G92" i="13"/>
  <c r="BW92" i="13"/>
  <c r="AW92" i="13"/>
  <c r="AU92" i="13"/>
  <c r="AB92" i="13"/>
  <c r="AH92" i="13"/>
  <c r="AF92" i="13"/>
  <c r="AE92" i="13"/>
  <c r="Z92" i="13"/>
  <c r="AD92" i="13"/>
  <c r="AC92" i="13"/>
  <c r="N92" i="13"/>
  <c r="AK92" i="13"/>
  <c r="AM92" i="13"/>
  <c r="AL92" i="13"/>
  <c r="F92" i="13"/>
  <c r="L92" i="13"/>
  <c r="J92" i="13"/>
  <c r="H92" i="13"/>
  <c r="F30" i="13"/>
  <c r="AD30" i="13"/>
  <c r="AH30" i="13"/>
  <c r="U30" i="13"/>
  <c r="AO30" i="13"/>
  <c r="AN30" i="13"/>
  <c r="AM30" i="13"/>
  <c r="AQ30" i="13"/>
  <c r="AP30" i="13"/>
  <c r="AL30" i="13"/>
  <c r="AB30" i="13"/>
  <c r="AF30" i="13"/>
  <c r="AE30" i="13"/>
  <c r="AC30" i="13"/>
  <c r="AA30" i="13"/>
  <c r="S30" i="13"/>
  <c r="O30" i="13"/>
  <c r="AU30" i="13"/>
  <c r="AT30" i="13"/>
  <c r="AS30" i="13"/>
  <c r="Z30" i="13"/>
  <c r="L30" i="13"/>
  <c r="BW30" i="13"/>
  <c r="R30" i="13"/>
  <c r="Q30" i="13"/>
  <c r="AK30" i="13"/>
  <c r="X30" i="13"/>
  <c r="AJ30" i="13"/>
  <c r="P30" i="13"/>
  <c r="Y30" i="13"/>
  <c r="W30" i="13"/>
  <c r="T30" i="13"/>
  <c r="AG30" i="13"/>
  <c r="N30" i="13"/>
  <c r="M30" i="13"/>
  <c r="K30" i="13"/>
  <c r="H30" i="13"/>
  <c r="AR30" i="13"/>
  <c r="J30" i="13"/>
  <c r="AW30" i="13"/>
  <c r="G30" i="13"/>
  <c r="AG62" i="13"/>
  <c r="AW62" i="13"/>
  <c r="Q62" i="13"/>
  <c r="AT62" i="13"/>
  <c r="N62" i="13"/>
  <c r="P62" i="13"/>
  <c r="AO62" i="13"/>
  <c r="AN62" i="13"/>
  <c r="Y62" i="13"/>
  <c r="AM62" i="13"/>
  <c r="AL62" i="13"/>
  <c r="AU62" i="13"/>
  <c r="AJ62" i="13"/>
  <c r="AH62" i="13"/>
  <c r="R62" i="13"/>
  <c r="AS62" i="13"/>
  <c r="G62" i="13"/>
  <c r="F62" i="13"/>
  <c r="AQ62" i="13"/>
  <c r="AP62" i="13"/>
  <c r="X62" i="13"/>
  <c r="K62" i="13"/>
  <c r="J62" i="13"/>
  <c r="H62" i="13"/>
  <c r="AR62" i="13"/>
  <c r="AK62" i="13"/>
  <c r="AF62" i="13"/>
  <c r="Z62" i="13"/>
  <c r="T62" i="13"/>
  <c r="S62" i="13"/>
  <c r="AE62" i="13"/>
  <c r="BW62" i="13"/>
  <c r="AA62" i="13"/>
  <c r="AD62" i="13"/>
  <c r="AC62" i="13"/>
  <c r="AB62" i="13"/>
  <c r="W62" i="13"/>
  <c r="U62" i="13"/>
  <c r="O62" i="13"/>
  <c r="M62" i="13"/>
  <c r="L62" i="13"/>
  <c r="F31" i="13"/>
  <c r="AN31" i="13"/>
  <c r="G31" i="13"/>
  <c r="AT31" i="13"/>
  <c r="M31" i="13"/>
  <c r="U31" i="13"/>
  <c r="T31" i="13"/>
  <c r="AA31" i="13"/>
  <c r="Z31" i="13"/>
  <c r="Y31" i="13"/>
  <c r="N31" i="13"/>
  <c r="X31" i="13"/>
  <c r="W31" i="13"/>
  <c r="S31" i="13"/>
  <c r="R31" i="13"/>
  <c r="H31" i="13"/>
  <c r="AR31" i="13"/>
  <c r="AP31" i="13"/>
  <c r="AQ31" i="13"/>
  <c r="AO31" i="13"/>
  <c r="AG31" i="13"/>
  <c r="AC31" i="13"/>
  <c r="J31" i="13"/>
  <c r="AK31" i="13"/>
  <c r="AJ31" i="13"/>
  <c r="BW31" i="13"/>
  <c r="AD31" i="13"/>
  <c r="AB31" i="13"/>
  <c r="Q31" i="13"/>
  <c r="AF31" i="13"/>
  <c r="P31" i="13"/>
  <c r="O31" i="13"/>
  <c r="K31" i="13"/>
  <c r="AE31" i="13"/>
  <c r="L31" i="13"/>
  <c r="AW31" i="13"/>
  <c r="AS31" i="13"/>
  <c r="AM31" i="13"/>
  <c r="AH31" i="13"/>
  <c r="AU31" i="13"/>
  <c r="AL31" i="13"/>
  <c r="AP63" i="13"/>
  <c r="J63" i="13"/>
  <c r="Z63" i="13"/>
  <c r="W63" i="13"/>
  <c r="AF63" i="13"/>
  <c r="U63" i="13"/>
  <c r="AU63" i="13"/>
  <c r="G63" i="13"/>
  <c r="Y63" i="13"/>
  <c r="X63" i="13"/>
  <c r="AJ63" i="13"/>
  <c r="AD63" i="13"/>
  <c r="AB63" i="13"/>
  <c r="H63" i="13"/>
  <c r="AR63" i="13"/>
  <c r="AQ63" i="13"/>
  <c r="AO63" i="13"/>
  <c r="BW63" i="13"/>
  <c r="AT63" i="13"/>
  <c r="AS63" i="13"/>
  <c r="T63" i="13"/>
  <c r="Q63" i="13"/>
  <c r="P63" i="13"/>
  <c r="O63" i="13"/>
  <c r="N63" i="13"/>
  <c r="M63" i="13"/>
  <c r="AW63" i="13"/>
  <c r="AG63" i="13"/>
  <c r="K63" i="13"/>
  <c r="F63" i="13"/>
  <c r="AN63" i="13"/>
  <c r="AC63" i="13"/>
  <c r="AM63" i="13"/>
  <c r="AE63" i="13"/>
  <c r="AA63" i="13"/>
  <c r="AL63" i="13"/>
  <c r="AH63" i="13"/>
  <c r="S63" i="13"/>
  <c r="AK63" i="13"/>
  <c r="R63" i="13"/>
  <c r="L63" i="13"/>
  <c r="AQ94" i="13"/>
  <c r="K94" i="13"/>
  <c r="AJ94" i="13"/>
  <c r="AH94" i="13"/>
  <c r="AA94" i="13"/>
  <c r="X94" i="13"/>
  <c r="AS94" i="13"/>
  <c r="F94" i="13"/>
  <c r="AF94" i="13"/>
  <c r="H94" i="13"/>
  <c r="AU94" i="13"/>
  <c r="G94" i="13"/>
  <c r="AM94" i="13"/>
  <c r="O94" i="13"/>
  <c r="N94" i="13"/>
  <c r="AW94" i="13"/>
  <c r="AT94" i="13"/>
  <c r="AR94" i="13"/>
  <c r="Y94" i="13"/>
  <c r="BW94" i="13"/>
  <c r="AK94" i="13"/>
  <c r="AN94" i="13"/>
  <c r="AL94" i="13"/>
  <c r="T94" i="13"/>
  <c r="AP94" i="13"/>
  <c r="AO94" i="13"/>
  <c r="AG94" i="13"/>
  <c r="AC94" i="13"/>
  <c r="AE94" i="13"/>
  <c r="W94" i="13"/>
  <c r="M94" i="13"/>
  <c r="AB94" i="13"/>
  <c r="Z94" i="13"/>
  <c r="S94" i="13"/>
  <c r="U94" i="13"/>
  <c r="R94" i="13"/>
  <c r="Q94" i="13"/>
  <c r="P94" i="13"/>
  <c r="AD94" i="13"/>
  <c r="L94" i="13"/>
  <c r="J94" i="13"/>
  <c r="F32" i="13"/>
  <c r="AF32" i="13"/>
  <c r="R32" i="13"/>
  <c r="Y32" i="13"/>
  <c r="O32" i="13"/>
  <c r="AM32" i="13"/>
  <c r="AL32" i="13"/>
  <c r="AK32" i="13"/>
  <c r="K32" i="13"/>
  <c r="AW32" i="13"/>
  <c r="J32" i="13"/>
  <c r="H32" i="13"/>
  <c r="AN32" i="13"/>
  <c r="BW32" i="13"/>
  <c r="P32" i="13"/>
  <c r="N32" i="13"/>
  <c r="M32" i="13"/>
  <c r="L32" i="13"/>
  <c r="AS32" i="13"/>
  <c r="AO32" i="13"/>
  <c r="AT32" i="13"/>
  <c r="AR32" i="13"/>
  <c r="AQ32" i="13"/>
  <c r="AP32" i="13"/>
  <c r="AD32" i="13"/>
  <c r="Z32" i="13"/>
  <c r="Q32" i="13"/>
  <c r="AA32" i="13"/>
  <c r="X32" i="13"/>
  <c r="W32" i="13"/>
  <c r="U32" i="13"/>
  <c r="T32" i="13"/>
  <c r="AG32" i="13"/>
  <c r="AE32" i="13"/>
  <c r="S32" i="13"/>
  <c r="AC32" i="13"/>
  <c r="G32" i="13"/>
  <c r="AB32" i="13"/>
  <c r="AU32" i="13"/>
  <c r="AH32" i="13"/>
  <c r="AJ32" i="13"/>
  <c r="S64" i="13"/>
  <c r="AF64" i="13"/>
  <c r="AU64" i="13"/>
  <c r="L64" i="13"/>
  <c r="AO64" i="13"/>
  <c r="AN64" i="13"/>
  <c r="AD64" i="13"/>
  <c r="H64" i="13"/>
  <c r="AT64" i="13"/>
  <c r="G64" i="13"/>
  <c r="W64" i="13"/>
  <c r="T64" i="13"/>
  <c r="BW64" i="13"/>
  <c r="Q64" i="13"/>
  <c r="AL64" i="13"/>
  <c r="AK64" i="13"/>
  <c r="AJ64" i="13"/>
  <c r="AS64" i="13"/>
  <c r="AR64" i="13"/>
  <c r="Z64" i="13"/>
  <c r="AE64" i="13"/>
  <c r="AC64" i="13"/>
  <c r="AB64" i="13"/>
  <c r="AA64" i="13"/>
  <c r="Y64" i="13"/>
  <c r="O64" i="13"/>
  <c r="N64" i="13"/>
  <c r="F64" i="13"/>
  <c r="AH64" i="13"/>
  <c r="AG64" i="13"/>
  <c r="X64" i="13"/>
  <c r="U64" i="13"/>
  <c r="AW64" i="13"/>
  <c r="AQ64" i="13"/>
  <c r="M64" i="13"/>
  <c r="K64" i="13"/>
  <c r="AP64" i="13"/>
  <c r="R64" i="13"/>
  <c r="P64" i="13"/>
  <c r="AM64" i="13"/>
  <c r="J64" i="13"/>
  <c r="T95" i="13"/>
  <c r="AS95" i="13"/>
  <c r="M95" i="13"/>
  <c r="AQ95" i="13"/>
  <c r="K95" i="13"/>
  <c r="AJ95" i="13"/>
  <c r="AG95" i="13"/>
  <c r="AA95" i="13"/>
  <c r="Q95" i="13"/>
  <c r="AE95" i="13"/>
  <c r="AD95" i="13"/>
  <c r="Z95" i="13"/>
  <c r="AT95" i="13"/>
  <c r="AR95" i="13"/>
  <c r="AN95" i="13"/>
  <c r="AM95" i="13"/>
  <c r="AB95" i="13"/>
  <c r="AW95" i="13"/>
  <c r="AU95" i="13"/>
  <c r="X95" i="13"/>
  <c r="G95" i="13"/>
  <c r="BW95" i="13"/>
  <c r="F95" i="13"/>
  <c r="AO95" i="13"/>
  <c r="L95" i="13"/>
  <c r="J95" i="13"/>
  <c r="H95" i="13"/>
  <c r="AH95" i="13"/>
  <c r="S95" i="13"/>
  <c r="R95" i="13"/>
  <c r="P95" i="13"/>
  <c r="O95" i="13"/>
  <c r="N95" i="13"/>
  <c r="AC95" i="13"/>
  <c r="Y95" i="13"/>
  <c r="W95" i="13"/>
  <c r="AP95" i="13"/>
  <c r="AF95" i="13"/>
  <c r="AK95" i="13"/>
  <c r="AL95" i="13"/>
  <c r="U95" i="13"/>
  <c r="F33" i="13"/>
  <c r="AP33" i="13"/>
  <c r="J33" i="13"/>
  <c r="AD33" i="13"/>
  <c r="AM33" i="13"/>
  <c r="AF33" i="13"/>
  <c r="U33" i="13"/>
  <c r="T33" i="13"/>
  <c r="S33" i="13"/>
  <c r="AK33" i="13"/>
  <c r="AJ33" i="13"/>
  <c r="Y33" i="13"/>
  <c r="AW33" i="13"/>
  <c r="AN33" i="13"/>
  <c r="AE33" i="13"/>
  <c r="AU33" i="13"/>
  <c r="AT33" i="13"/>
  <c r="AS33" i="13"/>
  <c r="AG33" i="13"/>
  <c r="Z33" i="13"/>
  <c r="O33" i="13"/>
  <c r="AR33" i="13"/>
  <c r="AQ33" i="13"/>
  <c r="AH33" i="13"/>
  <c r="AC33" i="13"/>
  <c r="AO33" i="13"/>
  <c r="AL33" i="13"/>
  <c r="W33" i="13"/>
  <c r="BW33" i="13"/>
  <c r="N33" i="13"/>
  <c r="M33" i="13"/>
  <c r="L33" i="13"/>
  <c r="AB33" i="13"/>
  <c r="X33" i="13"/>
  <c r="Q33" i="13"/>
  <c r="AA33" i="13"/>
  <c r="R33" i="13"/>
  <c r="K33" i="13"/>
  <c r="P33" i="13"/>
  <c r="H33" i="13"/>
  <c r="G33" i="13"/>
  <c r="AB65" i="13"/>
  <c r="AR65" i="13"/>
  <c r="L65" i="13"/>
  <c r="AO65" i="13"/>
  <c r="H65" i="13"/>
  <c r="AA65" i="13"/>
  <c r="U65" i="13"/>
  <c r="O65" i="13"/>
  <c r="AF65" i="13"/>
  <c r="AE65" i="13"/>
  <c r="J65" i="13"/>
  <c r="G65" i="13"/>
  <c r="K65" i="13"/>
  <c r="AS65" i="13"/>
  <c r="AH65" i="13"/>
  <c r="AG65" i="13"/>
  <c r="BW65" i="13"/>
  <c r="AT65" i="13"/>
  <c r="AQ65" i="13"/>
  <c r="Y65" i="13"/>
  <c r="AU65" i="13"/>
  <c r="AP65" i="13"/>
  <c r="AN65" i="13"/>
  <c r="AM65" i="13"/>
  <c r="AL65" i="13"/>
  <c r="Z65" i="13"/>
  <c r="X65" i="13"/>
  <c r="R65" i="13"/>
  <c r="AC65" i="13"/>
  <c r="W65" i="13"/>
  <c r="M65" i="13"/>
  <c r="P65" i="13"/>
  <c r="N65" i="13"/>
  <c r="F65" i="13"/>
  <c r="AW65" i="13"/>
  <c r="T65" i="13"/>
  <c r="Q65" i="13"/>
  <c r="AJ65" i="13"/>
  <c r="AK65" i="13"/>
  <c r="S65" i="13"/>
  <c r="AD65" i="13"/>
  <c r="BW96" i="13"/>
  <c r="AC96" i="13"/>
  <c r="T96" i="13"/>
  <c r="AS96" i="13"/>
  <c r="M96" i="13"/>
  <c r="AP96" i="13"/>
  <c r="J96" i="13"/>
  <c r="H96" i="13"/>
  <c r="AM96" i="13"/>
  <c r="P96" i="13"/>
  <c r="O96" i="13"/>
  <c r="Q96" i="13"/>
  <c r="AG96" i="13"/>
  <c r="AF96" i="13"/>
  <c r="AH96" i="13"/>
  <c r="AE96" i="13"/>
  <c r="W96" i="13"/>
  <c r="AT96" i="13"/>
  <c r="AQ96" i="13"/>
  <c r="AA96" i="13"/>
  <c r="F96" i="13"/>
  <c r="AU96" i="13"/>
  <c r="Y96" i="13"/>
  <c r="X96" i="13"/>
  <c r="U96" i="13"/>
  <c r="AW96" i="13"/>
  <c r="AR96" i="13"/>
  <c r="AO96" i="13"/>
  <c r="AN96" i="13"/>
  <c r="AB96" i="13"/>
  <c r="Z96" i="13"/>
  <c r="S96" i="13"/>
  <c r="L96" i="13"/>
  <c r="AL96" i="13"/>
  <c r="K96" i="13"/>
  <c r="AD96" i="13"/>
  <c r="R96" i="13"/>
  <c r="N96" i="13"/>
  <c r="G96" i="13"/>
  <c r="AK96" i="13"/>
  <c r="AJ96" i="13"/>
  <c r="X6" i="13"/>
  <c r="AT6" i="13"/>
  <c r="M6" i="13"/>
  <c r="AS6" i="13"/>
  <c r="L6" i="13"/>
  <c r="K6" i="13"/>
  <c r="AR6" i="13"/>
  <c r="H6" i="13"/>
  <c r="U6" i="13"/>
  <c r="T6" i="13"/>
  <c r="S6" i="13"/>
  <c r="R6" i="13"/>
  <c r="AU6" i="13"/>
  <c r="F6" i="13"/>
  <c r="AN6" i="13"/>
  <c r="AP6" i="13"/>
  <c r="AO6" i="13"/>
  <c r="AM6" i="13"/>
  <c r="AL6" i="13"/>
  <c r="AF6" i="13"/>
  <c r="AB6" i="13"/>
  <c r="P6" i="13"/>
  <c r="AJ6" i="13"/>
  <c r="AG6" i="13"/>
  <c r="AE6" i="13"/>
  <c r="AH6" i="13"/>
  <c r="AK6" i="13"/>
  <c r="AD6" i="13"/>
  <c r="AQ6" i="13"/>
  <c r="AW6" i="13"/>
  <c r="AC6" i="13"/>
  <c r="AA6" i="13"/>
  <c r="Z6" i="13"/>
  <c r="Y6" i="13"/>
  <c r="J6" i="13"/>
  <c r="Q6" i="13"/>
  <c r="N6" i="13"/>
  <c r="O6" i="13"/>
  <c r="BW6" i="13"/>
  <c r="G6" i="13"/>
  <c r="X38" i="13"/>
  <c r="W38" i="13"/>
  <c r="S38" i="13"/>
  <c r="AJ38" i="13"/>
  <c r="AH38" i="13"/>
  <c r="AC38" i="13"/>
  <c r="AB38" i="13"/>
  <c r="AA38" i="13"/>
  <c r="T38" i="13"/>
  <c r="R38" i="13"/>
  <c r="Q38" i="13"/>
  <c r="H38" i="13"/>
  <c r="BW38" i="13"/>
  <c r="L38" i="13"/>
  <c r="K38" i="13"/>
  <c r="J38" i="13"/>
  <c r="G38" i="13"/>
  <c r="AT38" i="13"/>
  <c r="AP38" i="13"/>
  <c r="AR38" i="13"/>
  <c r="AQ38" i="13"/>
  <c r="AO38" i="13"/>
  <c r="AN38" i="13"/>
  <c r="AF38" i="13"/>
  <c r="Y38" i="13"/>
  <c r="N38" i="13"/>
  <c r="M38" i="13"/>
  <c r="F38" i="13"/>
  <c r="AS38" i="13"/>
  <c r="AM38" i="13"/>
  <c r="AU38" i="13"/>
  <c r="AL38" i="13"/>
  <c r="AK38" i="13"/>
  <c r="AW38" i="13"/>
  <c r="AG38" i="13"/>
  <c r="U38" i="13"/>
  <c r="AE38" i="13"/>
  <c r="Z38" i="13"/>
  <c r="P38" i="13"/>
  <c r="O38" i="13"/>
  <c r="AD38" i="13"/>
  <c r="AO71" i="13"/>
  <c r="H71" i="13"/>
  <c r="Y71" i="13"/>
  <c r="AM71" i="13"/>
  <c r="AL71" i="13"/>
  <c r="M71" i="13"/>
  <c r="AB71" i="13"/>
  <c r="AA71" i="13"/>
  <c r="AJ71" i="13"/>
  <c r="AH71" i="13"/>
  <c r="K71" i="13"/>
  <c r="G71" i="13"/>
  <c r="P71" i="13"/>
  <c r="BW71" i="13"/>
  <c r="L71" i="13"/>
  <c r="J71" i="13"/>
  <c r="F71" i="13"/>
  <c r="AU71" i="13"/>
  <c r="AT71" i="13"/>
  <c r="AD71" i="13"/>
  <c r="AR71" i="13"/>
  <c r="AQ71" i="13"/>
  <c r="AP71" i="13"/>
  <c r="AN71" i="13"/>
  <c r="AK71" i="13"/>
  <c r="Z71" i="13"/>
  <c r="X71" i="13"/>
  <c r="S71" i="13"/>
  <c r="AS71" i="13"/>
  <c r="AC71" i="13"/>
  <c r="W71" i="13"/>
  <c r="N71" i="13"/>
  <c r="AE71" i="13"/>
  <c r="U71" i="13"/>
  <c r="AW71" i="13"/>
  <c r="AG71" i="13"/>
  <c r="AF71" i="13"/>
  <c r="T71" i="13"/>
  <c r="R71" i="13"/>
  <c r="Q71" i="13"/>
  <c r="O71" i="13"/>
  <c r="AW49" i="13"/>
  <c r="Q49" i="13"/>
  <c r="S49" i="13"/>
  <c r="X49" i="13"/>
  <c r="AM49" i="13"/>
  <c r="AL49" i="13"/>
  <c r="AG49" i="13"/>
  <c r="AD49" i="13"/>
  <c r="AB49" i="13"/>
  <c r="O49" i="13"/>
  <c r="Z49" i="13"/>
  <c r="Y49" i="13"/>
  <c r="W49" i="13"/>
  <c r="AA49" i="13"/>
  <c r="U49" i="13"/>
  <c r="J49" i="13"/>
  <c r="AR49" i="13"/>
  <c r="AQ49" i="13"/>
  <c r="AP49" i="13"/>
  <c r="AO49" i="13"/>
  <c r="AN49" i="13"/>
  <c r="AK49" i="13"/>
  <c r="AC49" i="13"/>
  <c r="N49" i="13"/>
  <c r="AU49" i="13"/>
  <c r="AE49" i="13"/>
  <c r="K49" i="13"/>
  <c r="H49" i="13"/>
  <c r="G49" i="13"/>
  <c r="F49" i="13"/>
  <c r="AT49" i="13"/>
  <c r="BW49" i="13"/>
  <c r="AS49" i="13"/>
  <c r="L49" i="13"/>
  <c r="AJ49" i="13"/>
  <c r="AH49" i="13"/>
  <c r="AF49" i="13"/>
  <c r="T49" i="13"/>
  <c r="R49" i="13"/>
  <c r="P49" i="13"/>
  <c r="M49" i="13"/>
  <c r="Z50" i="13"/>
  <c r="AD50" i="13"/>
  <c r="AK50" i="13"/>
  <c r="S50" i="13"/>
  <c r="R50" i="13"/>
  <c r="O50" i="13"/>
  <c r="N50" i="13"/>
  <c r="M50" i="13"/>
  <c r="K50" i="13"/>
  <c r="AR50" i="13"/>
  <c r="BW50" i="13"/>
  <c r="P50" i="13"/>
  <c r="L50" i="13"/>
  <c r="J50" i="13"/>
  <c r="U50" i="13"/>
  <c r="T50" i="13"/>
  <c r="AJ50" i="13"/>
  <c r="AP50" i="13"/>
  <c r="AO50" i="13"/>
  <c r="AN50" i="13"/>
  <c r="AM50" i="13"/>
  <c r="AL50" i="13"/>
  <c r="AC50" i="13"/>
  <c r="X50" i="13"/>
  <c r="Q50" i="13"/>
  <c r="H50" i="13"/>
  <c r="G50" i="13"/>
  <c r="F50" i="13"/>
  <c r="AT50" i="13"/>
  <c r="AW50" i="13"/>
  <c r="AU50" i="13"/>
  <c r="AH50" i="13"/>
  <c r="AS50" i="13"/>
  <c r="AQ50" i="13"/>
  <c r="AB50" i="13"/>
  <c r="AE50" i="13"/>
  <c r="AA50" i="13"/>
  <c r="Y50" i="13"/>
  <c r="W50" i="13"/>
  <c r="AF50" i="13"/>
  <c r="AG50" i="13"/>
  <c r="AJ53" i="13"/>
  <c r="AR53" i="13"/>
  <c r="K53" i="13"/>
  <c r="U53" i="13"/>
  <c r="AP53" i="13"/>
  <c r="F53" i="13"/>
  <c r="AO53" i="13"/>
  <c r="AW53" i="13"/>
  <c r="L53" i="13"/>
  <c r="J53" i="13"/>
  <c r="R53" i="13"/>
  <c r="P53" i="13"/>
  <c r="N53" i="13"/>
  <c r="AC53" i="13"/>
  <c r="AA53" i="13"/>
  <c r="AB53" i="13"/>
  <c r="AT53" i="13"/>
  <c r="AS53" i="13"/>
  <c r="AQ53" i="13"/>
  <c r="AF53" i="13"/>
  <c r="Q53" i="13"/>
  <c r="AM53" i="13"/>
  <c r="AL53" i="13"/>
  <c r="AK53" i="13"/>
  <c r="AH53" i="13"/>
  <c r="X53" i="13"/>
  <c r="S53" i="13"/>
  <c r="AU53" i="13"/>
  <c r="Y53" i="13"/>
  <c r="O53" i="13"/>
  <c r="M53" i="13"/>
  <c r="AD53" i="13"/>
  <c r="Z53" i="13"/>
  <c r="W53" i="13"/>
  <c r="T53" i="13"/>
  <c r="H53" i="13"/>
  <c r="AN53" i="13"/>
  <c r="AG53" i="13"/>
  <c r="AE53" i="13"/>
  <c r="G53" i="13"/>
  <c r="BW53" i="13"/>
  <c r="AS54" i="13"/>
  <c r="M54" i="13"/>
  <c r="AH54" i="13"/>
  <c r="AQ54" i="13"/>
  <c r="W54" i="13"/>
  <c r="U54" i="13"/>
  <c r="AE54" i="13"/>
  <c r="AO54" i="13"/>
  <c r="AM54" i="13"/>
  <c r="AR54" i="13"/>
  <c r="Q54" i="13"/>
  <c r="BW54" i="13"/>
  <c r="P54" i="13"/>
  <c r="O54" i="13"/>
  <c r="AL54" i="13"/>
  <c r="AK54" i="13"/>
  <c r="AJ54" i="13"/>
  <c r="Z54" i="13"/>
  <c r="H54" i="13"/>
  <c r="AU54" i="13"/>
  <c r="AT54" i="13"/>
  <c r="AP54" i="13"/>
  <c r="AN54" i="13"/>
  <c r="AA54" i="13"/>
  <c r="S54" i="13"/>
  <c r="AF54" i="13"/>
  <c r="AD54" i="13"/>
  <c r="R54" i="13"/>
  <c r="K54" i="13"/>
  <c r="J54" i="13"/>
  <c r="AG54" i="13"/>
  <c r="AC54" i="13"/>
  <c r="AB54" i="13"/>
  <c r="Y54" i="13"/>
  <c r="AW54" i="13"/>
  <c r="G54" i="13"/>
  <c r="N54" i="13"/>
  <c r="L54" i="13"/>
  <c r="F54" i="13"/>
  <c r="X54" i="13"/>
  <c r="T54" i="13"/>
  <c r="S23" i="13"/>
  <c r="M23" i="13"/>
  <c r="AU23" i="13"/>
  <c r="L23" i="13"/>
  <c r="AT23" i="13"/>
  <c r="K23" i="13"/>
  <c r="AF23" i="13"/>
  <c r="AE23" i="13"/>
  <c r="AD23" i="13"/>
  <c r="U23" i="13"/>
  <c r="AO23" i="13"/>
  <c r="AN23" i="13"/>
  <c r="AM23" i="13"/>
  <c r="AL23" i="13"/>
  <c r="AA23" i="13"/>
  <c r="W23" i="13"/>
  <c r="J23" i="13"/>
  <c r="H23" i="13"/>
  <c r="G23" i="13"/>
  <c r="BW23" i="13"/>
  <c r="F23" i="13"/>
  <c r="AS23" i="13"/>
  <c r="AG23" i="13"/>
  <c r="AP23" i="13"/>
  <c r="AK23" i="13"/>
  <c r="AB23" i="13"/>
  <c r="AJ23" i="13"/>
  <c r="AH23" i="13"/>
  <c r="AC23" i="13"/>
  <c r="Z23" i="13"/>
  <c r="Y23" i="13"/>
  <c r="O23" i="13"/>
  <c r="Q23" i="13"/>
  <c r="P23" i="13"/>
  <c r="X23" i="13"/>
  <c r="N23" i="13"/>
  <c r="T23" i="13"/>
  <c r="R23" i="13"/>
  <c r="AR23" i="13"/>
  <c r="AW23" i="13"/>
  <c r="AQ23" i="13"/>
  <c r="X86" i="13"/>
  <c r="E86" i="13"/>
  <c r="AW86" i="13"/>
  <c r="Q86" i="13"/>
  <c r="AU86" i="13"/>
  <c r="O86" i="13"/>
  <c r="AN86" i="13"/>
  <c r="G86" i="13"/>
  <c r="AK86" i="13"/>
  <c r="AD86" i="13"/>
  <c r="AS86" i="13"/>
  <c r="U86" i="13"/>
  <c r="T86" i="13"/>
  <c r="N86" i="13"/>
  <c r="AG86" i="13"/>
  <c r="AF86" i="13"/>
  <c r="AE86" i="13"/>
  <c r="AC86" i="13"/>
  <c r="K86" i="13"/>
  <c r="AH86" i="13"/>
  <c r="AB86" i="13"/>
  <c r="S86" i="13"/>
  <c r="J86" i="13"/>
  <c r="P86" i="13"/>
  <c r="M86" i="13"/>
  <c r="L86" i="13"/>
  <c r="AQ86" i="13"/>
  <c r="R86" i="13"/>
  <c r="H86" i="13"/>
  <c r="F86" i="13"/>
  <c r="AR86" i="13"/>
  <c r="AP86" i="13"/>
  <c r="Z86" i="13"/>
  <c r="AA86" i="13"/>
  <c r="Y86" i="13"/>
  <c r="W86" i="13"/>
  <c r="BW86" i="13"/>
  <c r="AT86" i="13"/>
  <c r="AO86" i="13"/>
  <c r="AM86" i="13"/>
  <c r="AL86" i="13"/>
  <c r="AJ86" i="13"/>
  <c r="AE56" i="13"/>
  <c r="AR56" i="13"/>
  <c r="K56" i="13"/>
  <c r="Z56" i="13"/>
  <c r="AM56" i="13"/>
  <c r="R56" i="13"/>
  <c r="Q56" i="13"/>
  <c r="AK56" i="13"/>
  <c r="AJ56" i="13"/>
  <c r="N56" i="13"/>
  <c r="L56" i="13"/>
  <c r="AQ56" i="13"/>
  <c r="AP56" i="13"/>
  <c r="AO56" i="13"/>
  <c r="AC56" i="13"/>
  <c r="AB56" i="13"/>
  <c r="AA56" i="13"/>
  <c r="O56" i="13"/>
  <c r="AW56" i="13"/>
  <c r="AU56" i="13"/>
  <c r="AH56" i="13"/>
  <c r="Y56" i="13"/>
  <c r="AF56" i="13"/>
  <c r="AD56" i="13"/>
  <c r="X56" i="13"/>
  <c r="W56" i="13"/>
  <c r="J56" i="13"/>
  <c r="BW56" i="13"/>
  <c r="AN56" i="13"/>
  <c r="F56" i="13"/>
  <c r="T56" i="13"/>
  <c r="H56" i="13"/>
  <c r="S56" i="13"/>
  <c r="P56" i="13"/>
  <c r="G56" i="13"/>
  <c r="M56" i="13"/>
  <c r="AL56" i="13"/>
  <c r="AG56" i="13"/>
  <c r="AT56" i="13"/>
  <c r="AS56" i="13"/>
  <c r="U56" i="13"/>
  <c r="X57" i="13"/>
  <c r="AN57" i="13"/>
  <c r="G57" i="13"/>
  <c r="AK57" i="13"/>
  <c r="AP57" i="13"/>
  <c r="S57" i="13"/>
  <c r="AH57" i="13"/>
  <c r="AG57" i="13"/>
  <c r="U57" i="13"/>
  <c r="T57" i="13"/>
  <c r="AS57" i="13"/>
  <c r="AQ57" i="13"/>
  <c r="K57" i="13"/>
  <c r="AF57" i="13"/>
  <c r="AE57" i="13"/>
  <c r="Z57" i="13"/>
  <c r="Y57" i="13"/>
  <c r="W57" i="13"/>
  <c r="J57" i="13"/>
  <c r="AT57" i="13"/>
  <c r="AR57" i="13"/>
  <c r="AJ57" i="13"/>
  <c r="BW57" i="13"/>
  <c r="AD57" i="13"/>
  <c r="R57" i="13"/>
  <c r="Q57" i="13"/>
  <c r="H57" i="13"/>
  <c r="M57" i="13"/>
  <c r="L57" i="13"/>
  <c r="F57" i="13"/>
  <c r="AW57" i="13"/>
  <c r="AB57" i="13"/>
  <c r="AA57" i="13"/>
  <c r="P57" i="13"/>
  <c r="AM57" i="13"/>
  <c r="AL57" i="13"/>
  <c r="AC57" i="13"/>
  <c r="O57" i="13"/>
  <c r="AU57" i="13"/>
  <c r="AO57" i="13"/>
  <c r="N57" i="13"/>
  <c r="AQ91" i="13"/>
  <c r="K91" i="13"/>
  <c r="AJ91" i="13"/>
  <c r="AH91" i="13"/>
  <c r="AA91" i="13"/>
  <c r="X91" i="13"/>
  <c r="T91" i="13"/>
  <c r="AR91" i="13"/>
  <c r="R91" i="13"/>
  <c r="Q91" i="13"/>
  <c r="AL91" i="13"/>
  <c r="L91" i="13"/>
  <c r="J91" i="13"/>
  <c r="AF91" i="13"/>
  <c r="AE91" i="13"/>
  <c r="W91" i="13"/>
  <c r="U91" i="13"/>
  <c r="AT91" i="13"/>
  <c r="S91" i="13"/>
  <c r="P91" i="13"/>
  <c r="O91" i="13"/>
  <c r="N91" i="13"/>
  <c r="AW91" i="13"/>
  <c r="AU91" i="13"/>
  <c r="AG91" i="13"/>
  <c r="F91" i="13"/>
  <c r="AC91" i="13"/>
  <c r="AB91" i="13"/>
  <c r="Z91" i="13"/>
  <c r="Y91" i="13"/>
  <c r="AP91" i="13"/>
  <c r="AO91" i="13"/>
  <c r="H91" i="13"/>
  <c r="AS91" i="13"/>
  <c r="AN91" i="13"/>
  <c r="AM91" i="13"/>
  <c r="AD91" i="13"/>
  <c r="G91" i="13"/>
  <c r="BW91" i="13"/>
  <c r="AK91" i="13"/>
  <c r="M91" i="13"/>
  <c r="AK66" i="13"/>
  <c r="U66" i="13"/>
  <c r="R66" i="13"/>
  <c r="AQ66" i="13"/>
  <c r="G66" i="13"/>
  <c r="AN66" i="13"/>
  <c r="AM66" i="13"/>
  <c r="AJ66" i="13"/>
  <c r="O66" i="13"/>
  <c r="N66" i="13"/>
  <c r="AP66" i="13"/>
  <c r="AO66" i="13"/>
  <c r="AT66" i="13"/>
  <c r="AB66" i="13"/>
  <c r="AA66" i="13"/>
  <c r="Z66" i="13"/>
  <c r="H66" i="13"/>
  <c r="BW66" i="13"/>
  <c r="F66" i="13"/>
  <c r="AW66" i="13"/>
  <c r="AU66" i="13"/>
  <c r="Y66" i="13"/>
  <c r="AL66" i="13"/>
  <c r="AH66" i="13"/>
  <c r="AD66" i="13"/>
  <c r="P66" i="13"/>
  <c r="M66" i="13"/>
  <c r="L66" i="13"/>
  <c r="K66" i="13"/>
  <c r="AS66" i="13"/>
  <c r="Q66" i="13"/>
  <c r="J66" i="13"/>
  <c r="AR66" i="13"/>
  <c r="AC66" i="13"/>
  <c r="AG66" i="13"/>
  <c r="T66" i="13"/>
  <c r="AF66" i="13"/>
  <c r="X66" i="13"/>
  <c r="W66" i="13"/>
  <c r="AE66" i="13"/>
  <c r="S66" i="13"/>
  <c r="U98" i="13"/>
  <c r="AT98" i="13"/>
  <c r="N98" i="13"/>
  <c r="AR98" i="13"/>
  <c r="L98" i="13"/>
  <c r="AK98" i="13"/>
  <c r="AH98" i="13"/>
  <c r="O98" i="13"/>
  <c r="AU98" i="13"/>
  <c r="F98" i="13"/>
  <c r="BW98" i="13"/>
  <c r="W98" i="13"/>
  <c r="AD98" i="13"/>
  <c r="AS98" i="13"/>
  <c r="J98" i="13"/>
  <c r="H98" i="13"/>
  <c r="G98" i="13"/>
  <c r="AP98" i="13"/>
  <c r="AB98" i="13"/>
  <c r="AC98" i="13"/>
  <c r="Z98" i="13"/>
  <c r="Q98" i="13"/>
  <c r="AQ98" i="13"/>
  <c r="AJ98" i="13"/>
  <c r="AE98" i="13"/>
  <c r="AA98" i="13"/>
  <c r="Y98" i="13"/>
  <c r="X98" i="13"/>
  <c r="K98" i="13"/>
  <c r="AW98" i="13"/>
  <c r="AO98" i="13"/>
  <c r="AL98" i="13"/>
  <c r="T98" i="13"/>
  <c r="M98" i="13"/>
  <c r="S98" i="13"/>
  <c r="R98" i="13"/>
  <c r="P98" i="13"/>
  <c r="AG98" i="13"/>
  <c r="AM98" i="13"/>
  <c r="AN98" i="13"/>
  <c r="AF98" i="13"/>
  <c r="W69" i="13"/>
  <c r="AM69" i="13"/>
  <c r="F69" i="13"/>
  <c r="AJ69" i="13"/>
  <c r="AN69" i="13"/>
  <c r="AO69" i="13"/>
  <c r="AL69" i="13"/>
  <c r="AT69" i="13"/>
  <c r="G69" i="13"/>
  <c r="U69" i="13"/>
  <c r="T69" i="13"/>
  <c r="BW69" i="13"/>
  <c r="Q69" i="13"/>
  <c r="P69" i="13"/>
  <c r="AC69" i="13"/>
  <c r="AA69" i="13"/>
  <c r="AB69" i="13"/>
  <c r="S69" i="13"/>
  <c r="R69" i="13"/>
  <c r="O69" i="13"/>
  <c r="AU69" i="13"/>
  <c r="AE69" i="13"/>
  <c r="N69" i="13"/>
  <c r="M69" i="13"/>
  <c r="L69" i="13"/>
  <c r="K69" i="13"/>
  <c r="AS69" i="13"/>
  <c r="AR69" i="13"/>
  <c r="AG69" i="13"/>
  <c r="Z69" i="13"/>
  <c r="Y69" i="13"/>
  <c r="AQ69" i="13"/>
  <c r="AW69" i="13"/>
  <c r="AP69" i="13"/>
  <c r="J69" i="13"/>
  <c r="H69" i="13"/>
  <c r="AD69" i="13"/>
  <c r="AK69" i="13"/>
  <c r="AH69" i="13"/>
  <c r="AF69" i="13"/>
  <c r="X69" i="13"/>
  <c r="AF70" i="13"/>
  <c r="P70" i="13"/>
  <c r="AS70" i="13"/>
  <c r="M70" i="13"/>
  <c r="T70" i="13"/>
  <c r="U70" i="13"/>
  <c r="AC70" i="13"/>
  <c r="AQ70" i="13"/>
  <c r="AP70" i="13"/>
  <c r="AW70" i="13"/>
  <c r="AU70" i="13"/>
  <c r="S70" i="13"/>
  <c r="Q70" i="13"/>
  <c r="X70" i="13"/>
  <c r="N70" i="13"/>
  <c r="L70" i="13"/>
  <c r="K70" i="13"/>
  <c r="BW70" i="13"/>
  <c r="F70" i="13"/>
  <c r="AT70" i="13"/>
  <c r="AR70" i="13"/>
  <c r="AE70" i="13"/>
  <c r="AH70" i="13"/>
  <c r="AG70" i="13"/>
  <c r="AD70" i="13"/>
  <c r="AB70" i="13"/>
  <c r="AA70" i="13"/>
  <c r="O70" i="13"/>
  <c r="J70" i="13"/>
  <c r="AJ70" i="13"/>
  <c r="Z70" i="13"/>
  <c r="Y70" i="13"/>
  <c r="AO70" i="13"/>
  <c r="AN70" i="13"/>
  <c r="AK70" i="13"/>
  <c r="W70" i="13"/>
  <c r="AM70" i="13"/>
  <c r="AL70" i="13"/>
  <c r="R70" i="13"/>
  <c r="H70" i="13"/>
  <c r="G70" i="13"/>
  <c r="AL81" i="13"/>
  <c r="S81" i="13"/>
  <c r="AW81" i="13"/>
  <c r="N81" i="13"/>
  <c r="U81" i="13"/>
  <c r="AH81" i="13"/>
  <c r="AG81" i="13"/>
  <c r="AT81" i="13"/>
  <c r="F81" i="13"/>
  <c r="X81" i="13"/>
  <c r="W81" i="13"/>
  <c r="AO81" i="13"/>
  <c r="AN81" i="13"/>
  <c r="AU81" i="13"/>
  <c r="AP81" i="13"/>
  <c r="AQ81" i="13"/>
  <c r="H81" i="13"/>
  <c r="G81" i="13"/>
  <c r="AS81" i="13"/>
  <c r="AR81" i="13"/>
  <c r="AA81" i="13"/>
  <c r="T81" i="13"/>
  <c r="R81" i="13"/>
  <c r="Q81" i="13"/>
  <c r="P81" i="13"/>
  <c r="O81" i="13"/>
  <c r="Y81" i="13"/>
  <c r="J81" i="13"/>
  <c r="M81" i="13"/>
  <c r="L81" i="13"/>
  <c r="K81" i="13"/>
  <c r="AF81" i="13"/>
  <c r="AE81" i="13"/>
  <c r="AD81" i="13"/>
  <c r="AC81" i="13"/>
  <c r="AB81" i="13"/>
  <c r="Z81" i="13"/>
  <c r="AJ81" i="13"/>
  <c r="AK81" i="13"/>
  <c r="BW81" i="13"/>
  <c r="AM81" i="13"/>
  <c r="AO18" i="13"/>
  <c r="H18" i="13"/>
  <c r="O18" i="13"/>
  <c r="AU18" i="13"/>
  <c r="N18" i="13"/>
  <c r="M18" i="13"/>
  <c r="AW18" i="13"/>
  <c r="L18" i="13"/>
  <c r="AT18" i="13"/>
  <c r="K18" i="13"/>
  <c r="AA18" i="13"/>
  <c r="Z18" i="13"/>
  <c r="Y18" i="13"/>
  <c r="X18" i="13"/>
  <c r="Q18" i="13"/>
  <c r="F18" i="13"/>
  <c r="AH18" i="13"/>
  <c r="AG18" i="13"/>
  <c r="AF18" i="13"/>
  <c r="AE18" i="13"/>
  <c r="U18" i="13"/>
  <c r="BW18" i="13"/>
  <c r="P18" i="13"/>
  <c r="AQ18" i="13"/>
  <c r="AS18" i="13"/>
  <c r="AR18" i="13"/>
  <c r="J18" i="13"/>
  <c r="G18" i="13"/>
  <c r="AP18" i="13"/>
  <c r="AD18" i="13"/>
  <c r="AL18" i="13"/>
  <c r="AJ18" i="13"/>
  <c r="AN18" i="13"/>
  <c r="AK18" i="13"/>
  <c r="W18" i="13"/>
  <c r="AM18" i="13"/>
  <c r="AC18" i="13"/>
  <c r="AB18" i="13"/>
  <c r="S18" i="13"/>
  <c r="T18" i="13"/>
  <c r="R18" i="13"/>
  <c r="AU82" i="13"/>
  <c r="O82" i="13"/>
  <c r="AE82" i="13"/>
  <c r="AB82" i="13"/>
  <c r="AD82" i="13"/>
  <c r="AM82" i="13"/>
  <c r="P82" i="13"/>
  <c r="N82" i="13"/>
  <c r="AG82" i="13"/>
  <c r="G82" i="13"/>
  <c r="AT82" i="13"/>
  <c r="F82" i="13"/>
  <c r="AC82" i="13"/>
  <c r="AA82" i="13"/>
  <c r="AP82" i="13"/>
  <c r="AN82" i="13"/>
  <c r="AK82" i="13"/>
  <c r="AO82" i="13"/>
  <c r="AF82" i="13"/>
  <c r="K82" i="13"/>
  <c r="J82" i="13"/>
  <c r="H82" i="13"/>
  <c r="Z82" i="13"/>
  <c r="AL82" i="13"/>
  <c r="AJ82" i="13"/>
  <c r="AH82" i="13"/>
  <c r="Y82" i="13"/>
  <c r="T82" i="13"/>
  <c r="S82" i="13"/>
  <c r="L82" i="13"/>
  <c r="BW82" i="13"/>
  <c r="X82" i="13"/>
  <c r="R82" i="13"/>
  <c r="Q82" i="13"/>
  <c r="AS82" i="13"/>
  <c r="AR82" i="13"/>
  <c r="AW82" i="13"/>
  <c r="U82" i="13"/>
  <c r="W82" i="13"/>
  <c r="M82" i="13"/>
  <c r="AQ82" i="13"/>
  <c r="R19" i="13"/>
  <c r="U19" i="13"/>
  <c r="BW19" i="13"/>
  <c r="AA19" i="13"/>
  <c r="Z19" i="13"/>
  <c r="AE19" i="13"/>
  <c r="AD19" i="13"/>
  <c r="AC19" i="13"/>
  <c r="AW19" i="13"/>
  <c r="J19" i="13"/>
  <c r="H19" i="13"/>
  <c r="AU19" i="13"/>
  <c r="G19" i="13"/>
  <c r="AT19" i="13"/>
  <c r="F19" i="13"/>
  <c r="AM19" i="13"/>
  <c r="Y19" i="13"/>
  <c r="X19" i="13"/>
  <c r="W19" i="13"/>
  <c r="N19" i="13"/>
  <c r="AR19" i="13"/>
  <c r="S19" i="13"/>
  <c r="Q19" i="13"/>
  <c r="AS19" i="13"/>
  <c r="AQ19" i="13"/>
  <c r="AF19" i="13"/>
  <c r="AB19" i="13"/>
  <c r="T19" i="13"/>
  <c r="AP19" i="13"/>
  <c r="AO19" i="13"/>
  <c r="M19" i="13"/>
  <c r="AN19" i="13"/>
  <c r="AK19" i="13"/>
  <c r="AJ19" i="13"/>
  <c r="AH19" i="13"/>
  <c r="O19" i="13"/>
  <c r="K19" i="13"/>
  <c r="AL19" i="13"/>
  <c r="AG19" i="13"/>
  <c r="L19" i="13"/>
  <c r="P19" i="13"/>
  <c r="AO51" i="13"/>
  <c r="G51" i="13"/>
  <c r="P51" i="13"/>
  <c r="AH51" i="13"/>
  <c r="AG51" i="13"/>
  <c r="AK51" i="13"/>
  <c r="AJ51" i="13"/>
  <c r="AP51" i="13"/>
  <c r="AM51" i="13"/>
  <c r="AD51" i="13"/>
  <c r="AW51" i="13"/>
  <c r="AU51" i="13"/>
  <c r="N51" i="13"/>
  <c r="M51" i="13"/>
  <c r="L51" i="13"/>
  <c r="AT51" i="13"/>
  <c r="AA51" i="13"/>
  <c r="AS51" i="13"/>
  <c r="AR51" i="13"/>
  <c r="AQ51" i="13"/>
  <c r="AN51" i="13"/>
  <c r="Z51" i="13"/>
  <c r="AE51" i="13"/>
  <c r="AC51" i="13"/>
  <c r="AB51" i="13"/>
  <c r="Y51" i="13"/>
  <c r="R51" i="13"/>
  <c r="J51" i="13"/>
  <c r="H51" i="13"/>
  <c r="AF51" i="13"/>
  <c r="X51" i="13"/>
  <c r="W51" i="13"/>
  <c r="U51" i="13"/>
  <c r="T51" i="13"/>
  <c r="O51" i="13"/>
  <c r="F51" i="13"/>
  <c r="K51" i="13"/>
  <c r="S51" i="13"/>
  <c r="BW51" i="13"/>
  <c r="AL51" i="13"/>
  <c r="Q51" i="13"/>
  <c r="AA20" i="13"/>
  <c r="AF20" i="13"/>
  <c r="AN20" i="13"/>
  <c r="AM20" i="13"/>
  <c r="L20" i="13"/>
  <c r="AU20" i="13"/>
  <c r="K20" i="13"/>
  <c r="AT20" i="13"/>
  <c r="J20" i="13"/>
  <c r="AH20" i="13"/>
  <c r="AG20" i="13"/>
  <c r="AE20" i="13"/>
  <c r="W20" i="13"/>
  <c r="S20" i="13"/>
  <c r="U20" i="13"/>
  <c r="T20" i="13"/>
  <c r="R20" i="13"/>
  <c r="Q20" i="13"/>
  <c r="G20" i="13"/>
  <c r="AP20" i="13"/>
  <c r="BW20" i="13"/>
  <c r="AC20" i="13"/>
  <c r="AB20" i="13"/>
  <c r="Y20" i="13"/>
  <c r="X20" i="13"/>
  <c r="N20" i="13"/>
  <c r="H20" i="13"/>
  <c r="F20" i="13"/>
  <c r="O20" i="13"/>
  <c r="M20" i="13"/>
  <c r="P20" i="13"/>
  <c r="AW20" i="13"/>
  <c r="AS20" i="13"/>
  <c r="AR20" i="13"/>
  <c r="AQ20" i="13"/>
  <c r="AL20" i="13"/>
  <c r="AK20" i="13"/>
  <c r="Z20" i="13"/>
  <c r="AO20" i="13"/>
  <c r="AJ20" i="13"/>
  <c r="AD20" i="13"/>
  <c r="AG83" i="13"/>
  <c r="Z83" i="13"/>
  <c r="AW83" i="13"/>
  <c r="Q83" i="13"/>
  <c r="AT83" i="13"/>
  <c r="N83" i="13"/>
  <c r="AB83" i="13"/>
  <c r="AN83" i="13"/>
  <c r="P83" i="13"/>
  <c r="O83" i="13"/>
  <c r="AR83" i="13"/>
  <c r="U83" i="13"/>
  <c r="T83" i="13"/>
  <c r="H83" i="13"/>
  <c r="G83" i="13"/>
  <c r="AD83" i="13"/>
  <c r="AA83" i="13"/>
  <c r="AF83" i="13"/>
  <c r="AU83" i="13"/>
  <c r="AS83" i="13"/>
  <c r="AK83" i="13"/>
  <c r="AC83" i="13"/>
  <c r="W83" i="13"/>
  <c r="S83" i="13"/>
  <c r="F83" i="13"/>
  <c r="AQ83" i="13"/>
  <c r="AL83" i="13"/>
  <c r="AP83" i="13"/>
  <c r="AO83" i="13"/>
  <c r="AM83" i="13"/>
  <c r="Y83" i="13"/>
  <c r="L83" i="13"/>
  <c r="K83" i="13"/>
  <c r="M83" i="13"/>
  <c r="AJ83" i="13"/>
  <c r="J83" i="13"/>
  <c r="R83" i="13"/>
  <c r="AH83" i="13"/>
  <c r="AE83" i="13"/>
  <c r="X83" i="13"/>
  <c r="BW83" i="13"/>
  <c r="AJ21" i="13"/>
  <c r="AQ21" i="13"/>
  <c r="J21" i="13"/>
  <c r="S21" i="13"/>
  <c r="R21" i="13"/>
  <c r="AC21" i="13"/>
  <c r="AB21" i="13"/>
  <c r="AA21" i="13"/>
  <c r="Q21" i="13"/>
  <c r="BW21" i="13"/>
  <c r="U21" i="13"/>
  <c r="T21" i="13"/>
  <c r="P21" i="13"/>
  <c r="AW21" i="13"/>
  <c r="G21" i="13"/>
  <c r="AS21" i="13"/>
  <c r="N21" i="13"/>
  <c r="M21" i="13"/>
  <c r="L21" i="13"/>
  <c r="K21" i="13"/>
  <c r="AT21" i="13"/>
  <c r="AK21" i="13"/>
  <c r="O21" i="13"/>
  <c r="H21" i="13"/>
  <c r="F21" i="13"/>
  <c r="AM21" i="13"/>
  <c r="AL21" i="13"/>
  <c r="AU21" i="13"/>
  <c r="AO21" i="13"/>
  <c r="AG21" i="13"/>
  <c r="AD21" i="13"/>
  <c r="AR21" i="13"/>
  <c r="AN21" i="13"/>
  <c r="AH21" i="13"/>
  <c r="AP21" i="13"/>
  <c r="AF21" i="13"/>
  <c r="AE21" i="13"/>
  <c r="X21" i="13"/>
  <c r="W21" i="13"/>
  <c r="Z21" i="13"/>
  <c r="Y21" i="13"/>
  <c r="AS22" i="13"/>
  <c r="M22" i="13"/>
  <c r="AO22" i="13"/>
  <c r="G22" i="13"/>
  <c r="AG22" i="13"/>
  <c r="AF22" i="13"/>
  <c r="AW22" i="13"/>
  <c r="K22" i="13"/>
  <c r="J22" i="13"/>
  <c r="AU22" i="13"/>
  <c r="H22" i="13"/>
  <c r="AK22" i="13"/>
  <c r="F22" i="13"/>
  <c r="AL22" i="13"/>
  <c r="AE22" i="13"/>
  <c r="Q22" i="13"/>
  <c r="P22" i="13"/>
  <c r="O22" i="13"/>
  <c r="N22" i="13"/>
  <c r="AQ22" i="13"/>
  <c r="AD22" i="13"/>
  <c r="Z22" i="13"/>
  <c r="Y22" i="13"/>
  <c r="U22" i="13"/>
  <c r="T22" i="13"/>
  <c r="X22" i="13"/>
  <c r="W22" i="13"/>
  <c r="AT22" i="13"/>
  <c r="BW22" i="13"/>
  <c r="AH22" i="13"/>
  <c r="AC22" i="13"/>
  <c r="AB22" i="13"/>
  <c r="AR22" i="13"/>
  <c r="AM22" i="13"/>
  <c r="R22" i="13"/>
  <c r="AJ22" i="13"/>
  <c r="AP22" i="13"/>
  <c r="AN22" i="13"/>
  <c r="AA22" i="13"/>
  <c r="S22" i="13"/>
  <c r="L22" i="13"/>
  <c r="AG55" i="13"/>
  <c r="AU55" i="13"/>
  <c r="M55" i="13"/>
  <c r="X55" i="13"/>
  <c r="AL55" i="13"/>
  <c r="AK55" i="13"/>
  <c r="O55" i="13"/>
  <c r="N55" i="13"/>
  <c r="AB55" i="13"/>
  <c r="Z55" i="13"/>
  <c r="AF55" i="13"/>
  <c r="F55" i="13"/>
  <c r="AW55" i="13"/>
  <c r="AH55" i="13"/>
  <c r="AE55" i="13"/>
  <c r="S55" i="13"/>
  <c r="AT55" i="13"/>
  <c r="AS55" i="13"/>
  <c r="AR55" i="13"/>
  <c r="AQ55" i="13"/>
  <c r="AP55" i="13"/>
  <c r="AC55" i="13"/>
  <c r="U55" i="13"/>
  <c r="K55" i="13"/>
  <c r="J55" i="13"/>
  <c r="H55" i="13"/>
  <c r="G55" i="13"/>
  <c r="BW55" i="13"/>
  <c r="AN55" i="13"/>
  <c r="T55" i="13"/>
  <c r="R55" i="13"/>
  <c r="L55" i="13"/>
  <c r="Q55" i="13"/>
  <c r="P55" i="13"/>
  <c r="AJ55" i="13"/>
  <c r="AO55" i="13"/>
  <c r="AM55" i="13"/>
  <c r="AA55" i="13"/>
  <c r="AD55" i="13"/>
  <c r="Y55" i="13"/>
  <c r="W55" i="13"/>
  <c r="AE24" i="13"/>
  <c r="AD24" i="13"/>
  <c r="N24" i="13"/>
  <c r="AB24" i="13"/>
  <c r="AA24" i="13"/>
  <c r="Z24" i="13"/>
  <c r="P24" i="13"/>
  <c r="O24" i="13"/>
  <c r="M24" i="13"/>
  <c r="AQ24" i="13"/>
  <c r="AG24" i="13"/>
  <c r="AF24" i="13"/>
  <c r="AC24" i="13"/>
  <c r="Y24" i="13"/>
  <c r="R24" i="13"/>
  <c r="J24" i="13"/>
  <c r="H24" i="13"/>
  <c r="G24" i="13"/>
  <c r="BW24" i="13"/>
  <c r="F24" i="13"/>
  <c r="AW24" i="13"/>
  <c r="AR24" i="13"/>
  <c r="AJ24" i="13"/>
  <c r="AS24" i="13"/>
  <c r="AP24" i="13"/>
  <c r="AU24" i="13"/>
  <c r="AT24" i="13"/>
  <c r="AL24" i="13"/>
  <c r="L24" i="13"/>
  <c r="K24" i="13"/>
  <c r="AM24" i="13"/>
  <c r="AO24" i="13"/>
  <c r="AN24" i="13"/>
  <c r="S24" i="13"/>
  <c r="Q24" i="13"/>
  <c r="W24" i="13"/>
  <c r="U24" i="13"/>
  <c r="T24" i="13"/>
  <c r="AK24" i="13"/>
  <c r="AH24" i="13"/>
  <c r="X24" i="13"/>
  <c r="AG87" i="13"/>
  <c r="Z87" i="13"/>
  <c r="X87" i="13"/>
  <c r="AW87" i="13"/>
  <c r="Q87" i="13"/>
  <c r="AT87" i="13"/>
  <c r="N87" i="13"/>
  <c r="L87" i="13"/>
  <c r="AD87" i="13"/>
  <c r="AQ87" i="13"/>
  <c r="AP87" i="13"/>
  <c r="AU87" i="13"/>
  <c r="U87" i="13"/>
  <c r="T87" i="13"/>
  <c r="Y87" i="13"/>
  <c r="W87" i="13"/>
  <c r="J87" i="13"/>
  <c r="AH87" i="13"/>
  <c r="AF87" i="13"/>
  <c r="S87" i="13"/>
  <c r="K87" i="13"/>
  <c r="AC87" i="13"/>
  <c r="AB87" i="13"/>
  <c r="AA87" i="13"/>
  <c r="G87" i="13"/>
  <c r="F87" i="13"/>
  <c r="AO87" i="13"/>
  <c r="AL87" i="13"/>
  <c r="AN87" i="13"/>
  <c r="AM87" i="13"/>
  <c r="AK87" i="13"/>
  <c r="P87" i="13"/>
  <c r="O87" i="13"/>
  <c r="M87" i="13"/>
  <c r="AR87" i="13"/>
  <c r="AE87" i="13"/>
  <c r="R87" i="13"/>
  <c r="AJ87" i="13"/>
  <c r="AS87" i="13"/>
  <c r="H87" i="13"/>
  <c r="BW87" i="13"/>
  <c r="AP88" i="13"/>
  <c r="J88" i="13"/>
  <c r="AG88" i="13"/>
  <c r="Z88" i="13"/>
  <c r="W88" i="13"/>
  <c r="AH88" i="13"/>
  <c r="N88" i="13"/>
  <c r="AB88" i="13"/>
  <c r="AA88" i="13"/>
  <c r="AK88" i="13"/>
  <c r="H88" i="13"/>
  <c r="G88" i="13"/>
  <c r="Q88" i="13"/>
  <c r="P88" i="13"/>
  <c r="AU88" i="13"/>
  <c r="AS88" i="13"/>
  <c r="K88" i="13"/>
  <c r="AJ88" i="13"/>
  <c r="AF88" i="13"/>
  <c r="AE88" i="13"/>
  <c r="AD88" i="13"/>
  <c r="U88" i="13"/>
  <c r="M88" i="13"/>
  <c r="AQ88" i="13"/>
  <c r="AO88" i="13"/>
  <c r="AN88" i="13"/>
  <c r="T88" i="13"/>
  <c r="S88" i="13"/>
  <c r="BW88" i="13"/>
  <c r="AW88" i="13"/>
  <c r="AT88" i="13"/>
  <c r="AL88" i="13"/>
  <c r="AR88" i="13"/>
  <c r="R88" i="13"/>
  <c r="AM88" i="13"/>
  <c r="Y88" i="13"/>
  <c r="X88" i="13"/>
  <c r="O88" i="13"/>
  <c r="AC88" i="13"/>
  <c r="L88" i="13"/>
  <c r="F88" i="13"/>
  <c r="AU36" i="13"/>
  <c r="O36" i="13"/>
  <c r="AS36" i="13"/>
  <c r="L36" i="13"/>
  <c r="AR36" i="13"/>
  <c r="K36" i="13"/>
  <c r="AM36" i="13"/>
  <c r="S36" i="13"/>
  <c r="N36" i="13"/>
  <c r="AQ36" i="13"/>
  <c r="AP36" i="13"/>
  <c r="AO36" i="13"/>
  <c r="AG36" i="13"/>
  <c r="AF36" i="13"/>
  <c r="AE36" i="13"/>
  <c r="W36" i="13"/>
  <c r="U36" i="13"/>
  <c r="T36" i="13"/>
  <c r="R36" i="13"/>
  <c r="Q36" i="13"/>
  <c r="AL36" i="13"/>
  <c r="AK36" i="13"/>
  <c r="AJ36" i="13"/>
  <c r="Z36" i="13"/>
  <c r="P36" i="13"/>
  <c r="BW36" i="13"/>
  <c r="X36" i="13"/>
  <c r="AT36" i="13"/>
  <c r="AC36" i="13"/>
  <c r="AW36" i="13"/>
  <c r="AN36" i="13"/>
  <c r="AH36" i="13"/>
  <c r="AD36" i="13"/>
  <c r="AB36" i="13"/>
  <c r="AA36" i="13"/>
  <c r="Y36" i="13"/>
  <c r="G36" i="13"/>
  <c r="J36" i="13"/>
  <c r="F36" i="13"/>
  <c r="M36" i="13"/>
  <c r="H36" i="13"/>
  <c r="AT68" i="13"/>
  <c r="N68" i="13"/>
  <c r="AD68" i="13"/>
  <c r="AA68" i="13"/>
  <c r="W68" i="13"/>
  <c r="U68" i="13"/>
  <c r="T68" i="13"/>
  <c r="AL68" i="13"/>
  <c r="AK68" i="13"/>
  <c r="AE68" i="13"/>
  <c r="AC68" i="13"/>
  <c r="AN68" i="13"/>
  <c r="AJ68" i="13"/>
  <c r="AH68" i="13"/>
  <c r="X68" i="13"/>
  <c r="S68" i="13"/>
  <c r="R68" i="13"/>
  <c r="BW68" i="13"/>
  <c r="F68" i="13"/>
  <c r="AU68" i="13"/>
  <c r="AB68" i="13"/>
  <c r="G68" i="13"/>
  <c r="AR68" i="13"/>
  <c r="AS68" i="13"/>
  <c r="AQ68" i="13"/>
  <c r="AP68" i="13"/>
  <c r="AO68" i="13"/>
  <c r="Y68" i="13"/>
  <c r="M68" i="13"/>
  <c r="L68" i="13"/>
  <c r="AF68" i="13"/>
  <c r="Z68" i="13"/>
  <c r="O68" i="13"/>
  <c r="Q68" i="13"/>
  <c r="K68" i="13"/>
  <c r="P68" i="13"/>
  <c r="AG68" i="13"/>
  <c r="J68" i="13"/>
  <c r="H68" i="13"/>
  <c r="AM68" i="13"/>
  <c r="AW68" i="13"/>
  <c r="AE99" i="13"/>
  <c r="AD99" i="13"/>
  <c r="W99" i="13"/>
  <c r="U99" i="13"/>
  <c r="AT99" i="13"/>
  <c r="N99" i="13"/>
  <c r="AQ99" i="13"/>
  <c r="K99" i="13"/>
  <c r="AJ99" i="13"/>
  <c r="AF99" i="13"/>
  <c r="AU99" i="13"/>
  <c r="AS99" i="13"/>
  <c r="R99" i="13"/>
  <c r="AK99" i="13"/>
  <c r="AM99" i="13"/>
  <c r="T99" i="13"/>
  <c r="AB99" i="13"/>
  <c r="Z99" i="13"/>
  <c r="S99" i="13"/>
  <c r="M99" i="13"/>
  <c r="G99" i="13"/>
  <c r="AW99" i="13"/>
  <c r="AR99" i="13"/>
  <c r="AG99" i="13"/>
  <c r="AC99" i="13"/>
  <c r="H99" i="13"/>
  <c r="X99" i="13"/>
  <c r="P99" i="13"/>
  <c r="Q99" i="13"/>
  <c r="O99" i="13"/>
  <c r="AH99" i="13"/>
  <c r="AO99" i="13"/>
  <c r="BW99" i="13"/>
  <c r="AA99" i="13"/>
  <c r="Y99" i="13"/>
  <c r="L99" i="13"/>
  <c r="J99" i="13"/>
  <c r="AL99" i="13"/>
  <c r="AP99" i="13"/>
  <c r="AN99" i="13"/>
  <c r="E92" i="13"/>
  <c r="E90" i="13"/>
  <c r="E91" i="13"/>
  <c r="E94" i="13"/>
  <c r="E11" i="13"/>
  <c r="E16" i="13"/>
  <c r="E8" i="13"/>
  <c r="E7" i="13"/>
  <c r="E15" i="13"/>
  <c r="E24" i="13"/>
  <c r="E14" i="13"/>
  <c r="E20" i="13"/>
  <c r="E21" i="13"/>
  <c r="E64" i="13"/>
  <c r="E23" i="13"/>
  <c r="E33" i="13"/>
  <c r="E22" i="13"/>
  <c r="H61" i="15"/>
  <c r="F76" i="15"/>
  <c r="E89" i="15"/>
  <c r="F89" i="15"/>
  <c r="G89" i="15"/>
  <c r="I89" i="15"/>
  <c r="H66" i="15"/>
  <c r="E76" i="15"/>
  <c r="F66" i="15"/>
  <c r="H73" i="15"/>
  <c r="H36" i="15"/>
  <c r="G41" i="15"/>
  <c r="E99" i="13"/>
  <c r="I50" i="15"/>
  <c r="G50" i="15"/>
  <c r="H21" i="15"/>
  <c r="E50" i="15"/>
  <c r="H54" i="15"/>
  <c r="G29" i="15"/>
  <c r="H29" i="15"/>
  <c r="G54" i="15"/>
  <c r="E32" i="13"/>
  <c r="E79" i="13"/>
  <c r="E30" i="15"/>
  <c r="I54" i="15"/>
  <c r="G76" i="15"/>
  <c r="H30" i="15"/>
  <c r="G9" i="15"/>
  <c r="E77" i="15"/>
  <c r="H77" i="15"/>
  <c r="F32" i="15"/>
  <c r="F31" i="15" s="1"/>
  <c r="I77" i="15"/>
  <c r="I33" i="15"/>
  <c r="E69" i="13"/>
  <c r="E61" i="15"/>
  <c r="F16" i="15"/>
  <c r="H86" i="15"/>
  <c r="I86" i="15"/>
  <c r="I83" i="15" s="1"/>
  <c r="G66" i="15"/>
  <c r="I21" i="15"/>
  <c r="G73" i="15"/>
  <c r="E82" i="13"/>
  <c r="G8" i="15"/>
  <c r="G39" i="15"/>
  <c r="E47" i="15"/>
  <c r="H8" i="15"/>
  <c r="H7" i="15" s="1"/>
  <c r="H39" i="15"/>
  <c r="I8" i="15"/>
  <c r="F39" i="15"/>
  <c r="E83" i="13"/>
  <c r="E9" i="15"/>
  <c r="I29" i="15"/>
  <c r="E29" i="15"/>
  <c r="E39" i="15"/>
  <c r="I9" i="15"/>
  <c r="G77" i="15"/>
  <c r="G30" i="15"/>
  <c r="I30" i="15"/>
  <c r="E98" i="13"/>
  <c r="E82" i="15"/>
  <c r="G82" i="15"/>
  <c r="E51" i="15"/>
  <c r="I66" i="15"/>
  <c r="F51" i="15"/>
  <c r="E53" i="13"/>
  <c r="G33" i="15"/>
  <c r="G31" i="15" s="1"/>
  <c r="H51" i="15"/>
  <c r="G67" i="15"/>
  <c r="H33" i="15"/>
  <c r="I51" i="15"/>
  <c r="E47" i="13"/>
  <c r="E20" i="15"/>
  <c r="E35" i="15"/>
  <c r="F35" i="15"/>
  <c r="G52" i="15"/>
  <c r="G85" i="15"/>
  <c r="F74" i="15"/>
  <c r="H46" i="15"/>
  <c r="G35" i="15"/>
  <c r="H69" i="15"/>
  <c r="H6" i="15"/>
  <c r="E21" i="15"/>
  <c r="I35" i="15"/>
  <c r="F86" i="15"/>
  <c r="I52" i="15"/>
  <c r="E52" i="15"/>
  <c r="F52" i="15"/>
  <c r="H35" i="15"/>
  <c r="I69" i="15"/>
  <c r="I5" i="15"/>
  <c r="G21" i="15"/>
  <c r="F54" i="15"/>
  <c r="G86" i="15"/>
  <c r="I76" i="15"/>
  <c r="E5" i="15"/>
  <c r="F62" i="15"/>
  <c r="G74" i="15"/>
  <c r="I58" i="15"/>
  <c r="I74" i="15"/>
  <c r="I63" i="15"/>
  <c r="H5" i="15"/>
  <c r="F5" i="15"/>
  <c r="I46" i="15"/>
  <c r="I26" i="15"/>
  <c r="I47" i="15"/>
  <c r="H13" i="15"/>
  <c r="E71" i="15"/>
  <c r="G72" i="15"/>
  <c r="E27" i="15"/>
  <c r="G47" i="15"/>
  <c r="F47" i="15"/>
  <c r="H47" i="15"/>
  <c r="F72" i="15"/>
  <c r="E72" i="15"/>
  <c r="H72" i="15"/>
  <c r="E38" i="13"/>
  <c r="E68" i="13"/>
  <c r="E66" i="13"/>
  <c r="E45" i="13"/>
  <c r="H63" i="15"/>
  <c r="E75" i="13"/>
  <c r="E48" i="13"/>
  <c r="I42" i="15"/>
  <c r="G42" i="15"/>
  <c r="F42" i="15"/>
  <c r="G40" i="15"/>
  <c r="H40" i="15"/>
  <c r="F40" i="15"/>
  <c r="I43" i="15"/>
  <c r="E43" i="15"/>
  <c r="E46" i="13"/>
  <c r="E80" i="13"/>
  <c r="H59" i="15"/>
  <c r="H65" i="15"/>
  <c r="F65" i="15"/>
  <c r="E49" i="13"/>
  <c r="E55" i="13"/>
  <c r="H90" i="15"/>
  <c r="I90" i="15"/>
  <c r="G90" i="15"/>
  <c r="F90" i="15"/>
  <c r="E90" i="15"/>
  <c r="I13" i="15"/>
  <c r="H14" i="15"/>
  <c r="G14" i="15"/>
  <c r="E95" i="13"/>
  <c r="E14" i="15"/>
  <c r="I80" i="15"/>
  <c r="H80" i="15"/>
  <c r="G80" i="15"/>
  <c r="E80" i="15"/>
  <c r="I92" i="15"/>
  <c r="E92" i="15"/>
  <c r="H92" i="15"/>
  <c r="G92" i="15"/>
  <c r="F92" i="15"/>
  <c r="F91" i="15" s="1"/>
  <c r="G6" i="15"/>
  <c r="I6" i="15"/>
  <c r="F6" i="15"/>
  <c r="E57" i="13"/>
  <c r="E81" i="13"/>
  <c r="F14" i="15"/>
  <c r="F80" i="15"/>
  <c r="K11" i="6"/>
  <c r="F26" i="15"/>
  <c r="I14" i="15"/>
  <c r="F41" i="15"/>
  <c r="E41" i="15"/>
  <c r="I41" i="15"/>
  <c r="H41" i="15"/>
  <c r="I81" i="15"/>
  <c r="H81" i="15"/>
  <c r="G81" i="15"/>
  <c r="E81" i="15"/>
  <c r="F81" i="15"/>
  <c r="H55" i="15"/>
  <c r="F55" i="15"/>
  <c r="I55" i="15"/>
  <c r="E55" i="15"/>
  <c r="G55" i="15"/>
  <c r="E61" i="13"/>
  <c r="I14" i="12"/>
  <c r="E45" i="15"/>
  <c r="H45" i="15"/>
  <c r="G45" i="15"/>
  <c r="F45" i="15"/>
  <c r="G71" i="15"/>
  <c r="G46" i="15"/>
  <c r="I71" i="15"/>
  <c r="I70" i="15" s="1"/>
  <c r="E6" i="15"/>
  <c r="I48" i="15"/>
  <c r="H48" i="15"/>
  <c r="F48" i="15"/>
  <c r="G48" i="15"/>
  <c r="I65" i="15"/>
  <c r="G65" i="15"/>
  <c r="I73" i="15"/>
  <c r="E73" i="15"/>
  <c r="E43" i="13"/>
  <c r="E40" i="15"/>
  <c r="E48" i="15"/>
  <c r="E65" i="15"/>
  <c r="F73" i="15"/>
  <c r="I88" i="15"/>
  <c r="H88" i="15"/>
  <c r="F88" i="15"/>
  <c r="E70" i="13"/>
  <c r="E8" i="15"/>
  <c r="E33" i="15"/>
  <c r="H74" i="15"/>
  <c r="E30" i="13"/>
  <c r="E50" i="13"/>
  <c r="E72" i="13"/>
  <c r="I40" i="15"/>
  <c r="E74" i="15"/>
  <c r="E96" i="13"/>
  <c r="H26" i="15"/>
  <c r="E58" i="15"/>
  <c r="I67" i="15"/>
  <c r="E67" i="15"/>
  <c r="H84" i="15"/>
  <c r="G84" i="15"/>
  <c r="I17" i="15"/>
  <c r="F17" i="15"/>
  <c r="G63" i="15"/>
  <c r="F63" i="15"/>
  <c r="E63" i="15"/>
  <c r="E19" i="13"/>
  <c r="E54" i="13"/>
  <c r="E63" i="13"/>
  <c r="E87" i="13"/>
  <c r="G17" i="15"/>
  <c r="H42" i="15"/>
  <c r="E42" i="15"/>
  <c r="F58" i="15"/>
  <c r="F67" i="15"/>
  <c r="E84" i="15"/>
  <c r="H17" i="15"/>
  <c r="G27" i="15"/>
  <c r="F27" i="15"/>
  <c r="G58" i="15"/>
  <c r="F84" i="15"/>
  <c r="I93" i="15"/>
  <c r="G93" i="15"/>
  <c r="H93" i="15"/>
  <c r="E93" i="15"/>
  <c r="I18" i="15"/>
  <c r="E18" i="15"/>
  <c r="H58" i="15"/>
  <c r="E56" i="13"/>
  <c r="E65" i="13"/>
  <c r="F18" i="15"/>
  <c r="H27" i="15"/>
  <c r="F68" i="15"/>
  <c r="H68" i="15"/>
  <c r="E68" i="15"/>
  <c r="E85" i="15"/>
  <c r="H85" i="15"/>
  <c r="E76" i="13"/>
  <c r="G18" i="15"/>
  <c r="I27" i="15"/>
  <c r="G68" i="15"/>
  <c r="F85" i="15"/>
  <c r="I28" i="15"/>
  <c r="H28" i="15"/>
  <c r="I19" i="15"/>
  <c r="H19" i="15"/>
  <c r="G19" i="15"/>
  <c r="F19" i="15"/>
  <c r="E19" i="15"/>
  <c r="E28" i="15"/>
  <c r="I44" i="15"/>
  <c r="H44" i="15"/>
  <c r="G44" i="15"/>
  <c r="E44" i="15"/>
  <c r="G60" i="15"/>
  <c r="E60" i="15"/>
  <c r="I60" i="15"/>
  <c r="H20" i="15"/>
  <c r="F20" i="15"/>
  <c r="F28" i="15"/>
  <c r="F44" i="15"/>
  <c r="F60" i="15"/>
  <c r="G11" i="15"/>
  <c r="F11" i="15"/>
  <c r="I11" i="15"/>
  <c r="G28" i="15"/>
  <c r="H60" i="15"/>
  <c r="E11" i="15"/>
  <c r="G20" i="15"/>
  <c r="I61" i="15"/>
  <c r="G61" i="15"/>
  <c r="E36" i="15"/>
  <c r="H53" i="15"/>
  <c r="G53" i="15"/>
  <c r="E71" i="13"/>
  <c r="E12" i="15"/>
  <c r="H12" i="15"/>
  <c r="F36" i="15"/>
  <c r="E53" i="15"/>
  <c r="E51" i="13"/>
  <c r="G36" i="15"/>
  <c r="F53" i="15"/>
  <c r="E18" i="13"/>
  <c r="E31" i="13"/>
  <c r="E36" i="13"/>
  <c r="E73" i="13"/>
  <c r="G12" i="15"/>
  <c r="I36" i="15"/>
  <c r="E46" i="15"/>
  <c r="I53" i="15"/>
  <c r="H62" i="15"/>
  <c r="I62" i="15"/>
  <c r="G62" i="15"/>
  <c r="E62" i="15"/>
  <c r="E39" i="13"/>
  <c r="E29" i="13"/>
  <c r="E10" i="13"/>
  <c r="E13" i="13"/>
  <c r="E62" i="13"/>
  <c r="I12" i="15"/>
  <c r="F46" i="15"/>
  <c r="H71" i="15"/>
  <c r="E44" i="13"/>
  <c r="E6" i="13"/>
  <c r="G5" i="15"/>
  <c r="G13" i="15"/>
  <c r="I16" i="15"/>
  <c r="H16" i="15"/>
  <c r="G59" i="15"/>
  <c r="F59" i="15"/>
  <c r="I59" i="15"/>
  <c r="E16" i="15"/>
  <c r="E59" i="15"/>
  <c r="F50" i="15"/>
  <c r="H50" i="15"/>
  <c r="G75" i="15"/>
  <c r="F75" i="15"/>
  <c r="E88" i="13"/>
  <c r="E13" i="15"/>
  <c r="E69" i="15"/>
  <c r="E75" i="15"/>
  <c r="E78" i="13"/>
  <c r="F13" i="15"/>
  <c r="I32" i="15"/>
  <c r="H32" i="15"/>
  <c r="E32" i="15"/>
  <c r="F69" i="15"/>
  <c r="H75" i="15"/>
  <c r="G88" i="15"/>
  <c r="E88" i="15"/>
  <c r="I45" i="15"/>
  <c r="I75" i="15"/>
  <c r="H82" i="15"/>
  <c r="F82" i="15"/>
  <c r="G26" i="15"/>
  <c r="E26" i="15"/>
  <c r="F9" i="15"/>
  <c r="F7" i="15" s="1"/>
  <c r="G43" i="15"/>
  <c r="F43" i="15"/>
  <c r="F71" i="15"/>
  <c r="H43" i="15"/>
  <c r="E42" i="13"/>
  <c r="E58" i="13"/>
  <c r="E74" i="13"/>
  <c r="AY9" i="13" l="1"/>
  <c r="BB97" i="13"/>
  <c r="BG12" i="13"/>
  <c r="AX28" i="13"/>
  <c r="AX27" i="13" s="1"/>
  <c r="AX9" i="13"/>
  <c r="AZ9" i="13"/>
  <c r="BP12" i="13"/>
  <c r="BG41" i="13"/>
  <c r="BG40" i="13" s="1"/>
  <c r="BG37" i="13" s="1"/>
  <c r="AY28" i="13"/>
  <c r="AY27" i="13" s="1"/>
  <c r="BB34" i="13"/>
  <c r="BQ9" i="13"/>
  <c r="BG67" i="13"/>
  <c r="BC9" i="13"/>
  <c r="BP93" i="13"/>
  <c r="BG17" i="13"/>
  <c r="BD28" i="13"/>
  <c r="BD27" i="13" s="1"/>
  <c r="BQ97" i="13"/>
  <c r="BH60" i="13"/>
  <c r="BO34" i="13"/>
  <c r="BU9" i="13"/>
  <c r="BM52" i="13"/>
  <c r="BG93" i="13"/>
  <c r="BG84" i="13" s="1"/>
  <c r="BO9" i="13"/>
  <c r="BD85" i="13"/>
  <c r="BP9" i="13"/>
  <c r="BO77" i="13"/>
  <c r="BO67" i="13" s="1"/>
  <c r="BR93" i="13"/>
  <c r="BB77" i="13"/>
  <c r="BB67" i="13" s="1"/>
  <c r="BE85" i="13"/>
  <c r="BV46" i="13"/>
  <c r="BS9" i="13"/>
  <c r="BH97" i="13"/>
  <c r="BV81" i="13"/>
  <c r="BA93" i="13"/>
  <c r="BK97" i="13"/>
  <c r="BV8" i="13"/>
  <c r="BN12" i="13"/>
  <c r="BA34" i="13"/>
  <c r="BU93" i="13"/>
  <c r="BM60" i="13"/>
  <c r="BM59" i="13" s="1"/>
  <c r="BL52" i="13"/>
  <c r="AZ12" i="13"/>
  <c r="BD41" i="13"/>
  <c r="BL77" i="13"/>
  <c r="BL67" i="13" s="1"/>
  <c r="BK34" i="13"/>
  <c r="BE41" i="13"/>
  <c r="BV62" i="13"/>
  <c r="BK52" i="13"/>
  <c r="AW41" i="13"/>
  <c r="BV78" i="13"/>
  <c r="AZ41" i="13"/>
  <c r="BC41" i="13"/>
  <c r="AZ97" i="13"/>
  <c r="BV63" i="13"/>
  <c r="BV30" i="13"/>
  <c r="BA41" i="13"/>
  <c r="BH93" i="13"/>
  <c r="BB85" i="13"/>
  <c r="BG5" i="13"/>
  <c r="AY12" i="13"/>
  <c r="BR5" i="13"/>
  <c r="BM77" i="13"/>
  <c r="BM67" i="13" s="1"/>
  <c r="BA12" i="13"/>
  <c r="BS5" i="13"/>
  <c r="BL34" i="13"/>
  <c r="BA9" i="13"/>
  <c r="BF41" i="13"/>
  <c r="BL97" i="13"/>
  <c r="BV54" i="13"/>
  <c r="BN52" i="13"/>
  <c r="BB12" i="13"/>
  <c r="BV66" i="13"/>
  <c r="BL12" i="13"/>
  <c r="BV11" i="13"/>
  <c r="BN97" i="13"/>
  <c r="AY77" i="13"/>
  <c r="AY67" i="13" s="1"/>
  <c r="BR12" i="13"/>
  <c r="BO97" i="13"/>
  <c r="BD12" i="13"/>
  <c r="BQ34" i="13"/>
  <c r="BM97" i="13"/>
  <c r="BR28" i="13"/>
  <c r="BR27" i="13" s="1"/>
  <c r="BE89" i="13"/>
  <c r="BD77" i="13"/>
  <c r="BD67" i="13" s="1"/>
  <c r="BM34" i="13"/>
  <c r="BB60" i="13"/>
  <c r="BB59" i="13" s="1"/>
  <c r="BT85" i="13"/>
  <c r="BT52" i="13"/>
  <c r="BV74" i="13"/>
  <c r="BN34" i="13"/>
  <c r="BR9" i="13"/>
  <c r="AZ93" i="13"/>
  <c r="BE28" i="13"/>
  <c r="BE27" i="13" s="1"/>
  <c r="AX89" i="13"/>
  <c r="BR89" i="13"/>
  <c r="BO85" i="13"/>
  <c r="BG60" i="13"/>
  <c r="BG59" i="13" s="1"/>
  <c r="BS77" i="13"/>
  <c r="BS67" i="13" s="1"/>
  <c r="BT77" i="13"/>
  <c r="BT67" i="13" s="1"/>
  <c r="BL28" i="13"/>
  <c r="BL27" i="13" s="1"/>
  <c r="BH77" i="13"/>
  <c r="BH67" i="13" s="1"/>
  <c r="BF60" i="13"/>
  <c r="BF59" i="13" s="1"/>
  <c r="BD60" i="13"/>
  <c r="BD59" i="13" s="1"/>
  <c r="BF28" i="13"/>
  <c r="BF27" i="13" s="1"/>
  <c r="BU85" i="13"/>
  <c r="BQ41" i="13"/>
  <c r="BP97" i="13"/>
  <c r="BM28" i="13"/>
  <c r="BM27" i="13" s="1"/>
  <c r="AY34" i="13"/>
  <c r="BH34" i="13"/>
  <c r="BE97" i="13"/>
  <c r="BH28" i="13"/>
  <c r="BH27" i="13" s="1"/>
  <c r="BP85" i="13"/>
  <c r="BN5" i="13"/>
  <c r="AW77" i="13"/>
  <c r="AW67" i="13" s="1"/>
  <c r="BD9" i="13"/>
  <c r="BF97" i="13"/>
  <c r="BQ85" i="13"/>
  <c r="BA85" i="13"/>
  <c r="BV83" i="13"/>
  <c r="BT12" i="13"/>
  <c r="BE12" i="13"/>
  <c r="BS28" i="13"/>
  <c r="BS27" i="13" s="1"/>
  <c r="AY17" i="13"/>
  <c r="BO5" i="13"/>
  <c r="BK28" i="13"/>
  <c r="BK27" i="13" s="1"/>
  <c r="BH89" i="13"/>
  <c r="BD5" i="13"/>
  <c r="BF12" i="13"/>
  <c r="BJ41" i="13"/>
  <c r="BV42" i="13"/>
  <c r="BV31" i="13"/>
  <c r="BN89" i="13"/>
  <c r="AX85" i="13"/>
  <c r="BD52" i="13"/>
  <c r="BA17" i="13"/>
  <c r="AX5" i="13"/>
  <c r="BM5" i="13"/>
  <c r="BH12" i="13"/>
  <c r="BP34" i="13"/>
  <c r="BN93" i="13"/>
  <c r="BE52" i="13"/>
  <c r="AZ17" i="13"/>
  <c r="BV22" i="13"/>
  <c r="AY5" i="13"/>
  <c r="BV6" i="13"/>
  <c r="BV47" i="13"/>
  <c r="BS60" i="13"/>
  <c r="BS59" i="13" s="1"/>
  <c r="BQ28" i="13"/>
  <c r="BQ27" i="13" s="1"/>
  <c r="BM89" i="13"/>
  <c r="BF85" i="13"/>
  <c r="BF52" i="13"/>
  <c r="BR52" i="13"/>
  <c r="BC17" i="13"/>
  <c r="BM17" i="13"/>
  <c r="BV80" i="13"/>
  <c r="AX77" i="13"/>
  <c r="AX67" i="13" s="1"/>
  <c r="BV45" i="13"/>
  <c r="BQ5" i="13"/>
  <c r="BV35" i="13"/>
  <c r="BQ93" i="13"/>
  <c r="AX93" i="13"/>
  <c r="AY60" i="13"/>
  <c r="AY59" i="13" s="1"/>
  <c r="BA28" i="13"/>
  <c r="BA27" i="13" s="1"/>
  <c r="BP89" i="13"/>
  <c r="BH85" i="13"/>
  <c r="BH52" i="13"/>
  <c r="BR85" i="13"/>
  <c r="BV16" i="13"/>
  <c r="BU77" i="13"/>
  <c r="BU67" i="13" s="1"/>
  <c r="BF5" i="13"/>
  <c r="BL5" i="13"/>
  <c r="BB9" i="13"/>
  <c r="BV94" i="13"/>
  <c r="AZ60" i="13"/>
  <c r="AZ59" i="13" s="1"/>
  <c r="BB28" i="13"/>
  <c r="BB27" i="13" s="1"/>
  <c r="BS85" i="13"/>
  <c r="BS52" i="13"/>
  <c r="BQ17" i="13"/>
  <c r="BV44" i="13"/>
  <c r="BM41" i="13"/>
  <c r="BJ28" i="13"/>
  <c r="BJ27" i="13" s="1"/>
  <c r="BV29" i="13"/>
  <c r="BF89" i="13"/>
  <c r="BV38" i="13"/>
  <c r="BV32" i="13"/>
  <c r="BT28" i="13"/>
  <c r="BT27" i="13" s="1"/>
  <c r="BU28" i="13"/>
  <c r="BU27" i="13" s="1"/>
  <c r="BP5" i="13"/>
  <c r="BL41" i="13"/>
  <c r="BV99" i="13"/>
  <c r="BR60" i="13"/>
  <c r="BR59" i="13" s="1"/>
  <c r="BO89" i="13"/>
  <c r="BB17" i="13"/>
  <c r="BR77" i="13"/>
  <c r="BR67" i="13" s="1"/>
  <c r="BE5" i="13"/>
  <c r="BO93" i="13"/>
  <c r="BJ9" i="13"/>
  <c r="BV10" i="13"/>
  <c r="BV33" i="13"/>
  <c r="AY93" i="13"/>
  <c r="BU60" i="13"/>
  <c r="BU59" i="13" s="1"/>
  <c r="BQ89" i="13"/>
  <c r="BN85" i="13"/>
  <c r="BJ52" i="13"/>
  <c r="BV53" i="13"/>
  <c r="AX17" i="13"/>
  <c r="BV19" i="13"/>
  <c r="BV49" i="13"/>
  <c r="BV96" i="13"/>
  <c r="BT5" i="13"/>
  <c r="BO52" i="13"/>
  <c r="BP77" i="13"/>
  <c r="BP67" i="13" s="1"/>
  <c r="BJ17" i="13"/>
  <c r="BV18" i="13"/>
  <c r="BD34" i="13"/>
  <c r="BE60" i="13"/>
  <c r="BE59" i="13" s="1"/>
  <c r="BV91" i="13"/>
  <c r="BS89" i="13"/>
  <c r="BV57" i="13"/>
  <c r="AZ85" i="13"/>
  <c r="BV82" i="13"/>
  <c r="BK17" i="13"/>
  <c r="BK5" i="13"/>
  <c r="BU5" i="13"/>
  <c r="BO17" i="13"/>
  <c r="BQ12" i="13"/>
  <c r="AZ89" i="13"/>
  <c r="BV24" i="13"/>
  <c r="BJ5" i="13"/>
  <c r="BV7" i="13"/>
  <c r="BS34" i="13"/>
  <c r="BN77" i="13"/>
  <c r="BN67" i="13" s="1"/>
  <c r="BE9" i="13"/>
  <c r="BJ97" i="13"/>
  <c r="BV98" i="13"/>
  <c r="BA60" i="13"/>
  <c r="BA59" i="13" s="1"/>
  <c r="BQ60" i="13"/>
  <c r="BQ59" i="13" s="1"/>
  <c r="BB89" i="13"/>
  <c r="BS12" i="13"/>
  <c r="BU52" i="13"/>
  <c r="BT89" i="13"/>
  <c r="BU12" i="13"/>
  <c r="BV71" i="13"/>
  <c r="BT34" i="13"/>
  <c r="BJ77" i="13"/>
  <c r="BJ67" i="13" s="1"/>
  <c r="BV79" i="13"/>
  <c r="BF9" i="13"/>
  <c r="BM93" i="13"/>
  <c r="BC60" i="13"/>
  <c r="BC59" i="13" s="1"/>
  <c r="BH59" i="13"/>
  <c r="BU89" i="13"/>
  <c r="BL85" i="13"/>
  <c r="AX52" i="13"/>
  <c r="BV50" i="13"/>
  <c r="BV76" i="13"/>
  <c r="BP52" i="13"/>
  <c r="BC34" i="13"/>
  <c r="BV48" i="13"/>
  <c r="BU34" i="13"/>
  <c r="BH9" i="13"/>
  <c r="BB93" i="13"/>
  <c r="BN60" i="13"/>
  <c r="BN59" i="13" s="1"/>
  <c r="BN28" i="13"/>
  <c r="BN27" i="13" s="1"/>
  <c r="BC89" i="13"/>
  <c r="BM85" i="13"/>
  <c r="AY52" i="13"/>
  <c r="BQ77" i="13"/>
  <c r="BQ67" i="13" s="1"/>
  <c r="BV51" i="13"/>
  <c r="BV20" i="13"/>
  <c r="BV56" i="13"/>
  <c r="BV21" i="13"/>
  <c r="BP60" i="13"/>
  <c r="BP59" i="13" s="1"/>
  <c r="BD89" i="13"/>
  <c r="BJ34" i="13"/>
  <c r="BV36" i="13"/>
  <c r="BA97" i="13"/>
  <c r="BV65" i="13"/>
  <c r="BF77" i="13"/>
  <c r="BF67" i="13" s="1"/>
  <c r="BQ52" i="13"/>
  <c r="AZ28" i="13"/>
  <c r="AZ27" i="13" s="1"/>
  <c r="BV73" i="13"/>
  <c r="BF34" i="13"/>
  <c r="BV86" i="13"/>
  <c r="AW52" i="13"/>
  <c r="BK77" i="13"/>
  <c r="BK67" i="13" s="1"/>
  <c r="BV55" i="13"/>
  <c r="BO28" i="13"/>
  <c r="BO27" i="13" s="1"/>
  <c r="BJ12" i="13"/>
  <c r="BV13" i="13"/>
  <c r="BP17" i="13"/>
  <c r="BH41" i="13"/>
  <c r="BV92" i="13"/>
  <c r="BK41" i="13"/>
  <c r="AZ5" i="13"/>
  <c r="AX60" i="13"/>
  <c r="AX59" i="13" s="1"/>
  <c r="BL93" i="13"/>
  <c r="BE67" i="13"/>
  <c r="BR97" i="13"/>
  <c r="BO60" i="13"/>
  <c r="BO59" i="13" s="1"/>
  <c r="BT9" i="13"/>
  <c r="BC28" i="13"/>
  <c r="BC27" i="13" s="1"/>
  <c r="BC52" i="13"/>
  <c r="AY85" i="13"/>
  <c r="BE34" i="13"/>
  <c r="BL17" i="13"/>
  <c r="BT60" i="13"/>
  <c r="BT59" i="13" s="1"/>
  <c r="BP28" i="13"/>
  <c r="BP27" i="13" s="1"/>
  <c r="BK89" i="13"/>
  <c r="AX12" i="13"/>
  <c r="BU41" i="13"/>
  <c r="BV61" i="13"/>
  <c r="BJ60" i="13"/>
  <c r="BJ59" i="13" s="1"/>
  <c r="BH17" i="13"/>
  <c r="BC12" i="13"/>
  <c r="BR41" i="13"/>
  <c r="BV69" i="13"/>
  <c r="BU97" i="13"/>
  <c r="BL89" i="13"/>
  <c r="AX34" i="13"/>
  <c r="BC97" i="13"/>
  <c r="BT93" i="13"/>
  <c r="BV58" i="13"/>
  <c r="BC85" i="13"/>
  <c r="BV39" i="13"/>
  <c r="BL9" i="13"/>
  <c r="BD97" i="13"/>
  <c r="BJ85" i="13"/>
  <c r="BV87" i="13"/>
  <c r="BS17" i="13"/>
  <c r="BF17" i="13"/>
  <c r="BN41" i="13"/>
  <c r="AZ77" i="13"/>
  <c r="AZ67" i="13" s="1"/>
  <c r="AX41" i="13"/>
  <c r="BB5" i="13"/>
  <c r="BV64" i="13"/>
  <c r="BO12" i="13"/>
  <c r="BM9" i="13"/>
  <c r="BV70" i="13"/>
  <c r="AX97" i="13"/>
  <c r="BJ93" i="13"/>
  <c r="BV95" i="13"/>
  <c r="BF93" i="13"/>
  <c r="BL60" i="13"/>
  <c r="BL59" i="13" s="1"/>
  <c r="BK85" i="13"/>
  <c r="BT17" i="13"/>
  <c r="BB52" i="13"/>
  <c r="BO41" i="13"/>
  <c r="BK12" i="13"/>
  <c r="BV68" i="13"/>
  <c r="AW34" i="13"/>
  <c r="BH5" i="13"/>
  <c r="AY89" i="13"/>
  <c r="BV72" i="13"/>
  <c r="AZ52" i="13"/>
  <c r="BV43" i="13"/>
  <c r="BS97" i="13"/>
  <c r="BC93" i="13"/>
  <c r="BV15" i="13"/>
  <c r="BV75" i="13"/>
  <c r="BT97" i="13"/>
  <c r="BJ89" i="13"/>
  <c r="BV90" i="13"/>
  <c r="BV88" i="13"/>
  <c r="AW60" i="13"/>
  <c r="AW59" i="13" s="1"/>
  <c r="BR34" i="13"/>
  <c r="BS93" i="13"/>
  <c r="BD17" i="13"/>
  <c r="BS41" i="13"/>
  <c r="BK9" i="13"/>
  <c r="BK93" i="13"/>
  <c r="BK60" i="13"/>
  <c r="BK59" i="13" s="1"/>
  <c r="BA89" i="13"/>
  <c r="BV23" i="13"/>
  <c r="BR17" i="13"/>
  <c r="BE17" i="13"/>
  <c r="BC77" i="13"/>
  <c r="BC67" i="13" s="1"/>
  <c r="BA5" i="13"/>
  <c r="BT41" i="13"/>
  <c r="BE93" i="13"/>
  <c r="BA52" i="13"/>
  <c r="BA77" i="13"/>
  <c r="BA67" i="13" s="1"/>
  <c r="BV14" i="13"/>
  <c r="AY41" i="13"/>
  <c r="BC5" i="13"/>
  <c r="BM12" i="13"/>
  <c r="BB41" i="13"/>
  <c r="BN9" i="13"/>
  <c r="AZ34" i="13"/>
  <c r="AY97" i="13"/>
  <c r="BD93" i="13"/>
  <c r="BU17" i="13"/>
  <c r="BN17" i="13"/>
  <c r="BP41" i="13"/>
  <c r="AW12" i="13"/>
  <c r="AW5" i="13"/>
  <c r="AW9" i="13"/>
  <c r="AW89" i="13"/>
  <c r="AW93" i="13"/>
  <c r="AW97" i="13"/>
  <c r="AW85" i="13"/>
  <c r="AW17" i="13"/>
  <c r="AU28" i="13"/>
  <c r="AU27" i="13" s="1"/>
  <c r="H3" i="33"/>
  <c r="G3" i="33"/>
  <c r="I3" i="33"/>
  <c r="BI10" i="13"/>
  <c r="BI75" i="13"/>
  <c r="BI91" i="13"/>
  <c r="BI35" i="13"/>
  <c r="BI14" i="13"/>
  <c r="BI47" i="13"/>
  <c r="BI88" i="13"/>
  <c r="BI18" i="13"/>
  <c r="BI74" i="13"/>
  <c r="BI11" i="13"/>
  <c r="BI82" i="13"/>
  <c r="BI43" i="13"/>
  <c r="BI30" i="13"/>
  <c r="BI16" i="13"/>
  <c r="BI76" i="13"/>
  <c r="BI15" i="13"/>
  <c r="BI62" i="13"/>
  <c r="BI58" i="13"/>
  <c r="BI64" i="13"/>
  <c r="BI73" i="13"/>
  <c r="BI39" i="13"/>
  <c r="BI57" i="13"/>
  <c r="BI65" i="13"/>
  <c r="BI90" i="13"/>
  <c r="BI78" i="13"/>
  <c r="BI61" i="13"/>
  <c r="BI68" i="13"/>
  <c r="BI42" i="13"/>
  <c r="BI71" i="13"/>
  <c r="BI63" i="13"/>
  <c r="BI32" i="13"/>
  <c r="BI24" i="13"/>
  <c r="BI86" i="13"/>
  <c r="BI50" i="13"/>
  <c r="BI13" i="13"/>
  <c r="BI6" i="13"/>
  <c r="BI95" i="13"/>
  <c r="BI87" i="13"/>
  <c r="BI21" i="13"/>
  <c r="BI83" i="13"/>
  <c r="BI48" i="13"/>
  <c r="BI51" i="13"/>
  <c r="BI31" i="13"/>
  <c r="BI98" i="13"/>
  <c r="BI49" i="13"/>
  <c r="BI33" i="13"/>
  <c r="BI92" i="13"/>
  <c r="BI96" i="13"/>
  <c r="BI72" i="13"/>
  <c r="BI22" i="13"/>
  <c r="BI44" i="13"/>
  <c r="BI45" i="13"/>
  <c r="BI20" i="13"/>
  <c r="BI7" i="13"/>
  <c r="BI54" i="13"/>
  <c r="BI80" i="13"/>
  <c r="BI79" i="13"/>
  <c r="BI46" i="13"/>
  <c r="BI94" i="13"/>
  <c r="BI56" i="13"/>
  <c r="BI55" i="13"/>
  <c r="BI66" i="13"/>
  <c r="BI23" i="13"/>
  <c r="BI29" i="13"/>
  <c r="BI8" i="13"/>
  <c r="BI53" i="13"/>
  <c r="BI38" i="13"/>
  <c r="BI81" i="13"/>
  <c r="BI69" i="13"/>
  <c r="BI70" i="13"/>
  <c r="BI36" i="13"/>
  <c r="BI99" i="13"/>
  <c r="BI19" i="13"/>
  <c r="AV33" i="13"/>
  <c r="AV35" i="13"/>
  <c r="E34" i="13"/>
  <c r="AI35" i="13"/>
  <c r="V35" i="13"/>
  <c r="AI69" i="13"/>
  <c r="I46" i="13"/>
  <c r="I42" i="13"/>
  <c r="AV88" i="13"/>
  <c r="AI82" i="13"/>
  <c r="AI13" i="13"/>
  <c r="AI80" i="13"/>
  <c r="AV11" i="13"/>
  <c r="AI19" i="13"/>
  <c r="V24" i="13"/>
  <c r="AI64" i="13"/>
  <c r="AV46" i="13"/>
  <c r="AI62" i="13"/>
  <c r="AV64" i="13"/>
  <c r="AV20" i="13"/>
  <c r="AV24" i="13"/>
  <c r="P5" i="13"/>
  <c r="AV18" i="13"/>
  <c r="AI90" i="13"/>
  <c r="AI81" i="13"/>
  <c r="AI30" i="13"/>
  <c r="AI10" i="13"/>
  <c r="AI32" i="13"/>
  <c r="AV42" i="13"/>
  <c r="AV31" i="13"/>
  <c r="AV79" i="13"/>
  <c r="AV45" i="13"/>
  <c r="AI68" i="13"/>
  <c r="AV36" i="13"/>
  <c r="AV23" i="13"/>
  <c r="AI61" i="13"/>
  <c r="AV29" i="13"/>
  <c r="AV73" i="13"/>
  <c r="AV75" i="13"/>
  <c r="AV49" i="13"/>
  <c r="AV30" i="13"/>
  <c r="AV61" i="13"/>
  <c r="AV78" i="13"/>
  <c r="AI8" i="13"/>
  <c r="AV57" i="13"/>
  <c r="V33" i="13"/>
  <c r="AI14" i="13"/>
  <c r="AI74" i="13"/>
  <c r="AV62" i="13"/>
  <c r="AI39" i="13"/>
  <c r="AV74" i="13"/>
  <c r="AV50" i="13"/>
  <c r="AI21" i="13"/>
  <c r="AV53" i="13"/>
  <c r="AV44" i="13"/>
  <c r="AV8" i="13"/>
  <c r="AV15" i="13"/>
  <c r="AI46" i="13"/>
  <c r="AI42" i="13"/>
  <c r="AI72" i="13"/>
  <c r="AV83" i="13"/>
  <c r="AI45" i="13"/>
  <c r="AI11" i="13"/>
  <c r="AI66" i="13"/>
  <c r="AI92" i="13"/>
  <c r="AV48" i="13"/>
  <c r="AV14" i="13"/>
  <c r="AV19" i="13"/>
  <c r="AV82" i="13"/>
  <c r="AV56" i="13"/>
  <c r="AI16" i="13"/>
  <c r="AV47" i="13"/>
  <c r="AV91" i="13"/>
  <c r="AI50" i="13"/>
  <c r="AV96" i="13"/>
  <c r="AV72" i="13"/>
  <c r="AI63" i="13"/>
  <c r="AI57" i="13"/>
  <c r="AI23" i="13"/>
  <c r="AI65" i="13"/>
  <c r="AV90" i="13"/>
  <c r="AI47" i="13"/>
  <c r="AV76" i="13"/>
  <c r="AI75" i="13"/>
  <c r="AV80" i="13"/>
  <c r="AI86" i="13"/>
  <c r="AI15" i="13"/>
  <c r="AV7" i="13"/>
  <c r="AI83" i="13"/>
  <c r="AI54" i="13"/>
  <c r="AI20" i="13"/>
  <c r="AI31" i="13"/>
  <c r="AI7" i="13"/>
  <c r="AV54" i="13"/>
  <c r="AV70" i="13"/>
  <c r="AV6" i="13"/>
  <c r="AV99" i="13"/>
  <c r="AV98" i="13"/>
  <c r="AI95" i="13"/>
  <c r="AV32" i="13"/>
  <c r="AI99" i="13"/>
  <c r="AV38" i="13"/>
  <c r="AI87" i="13"/>
  <c r="AV22" i="13"/>
  <c r="V82" i="13"/>
  <c r="AV66" i="13"/>
  <c r="AI48" i="13"/>
  <c r="AI22" i="13"/>
  <c r="AI98" i="13"/>
  <c r="AV65" i="13"/>
  <c r="I94" i="13"/>
  <c r="AI94" i="13"/>
  <c r="AV16" i="13"/>
  <c r="AI70" i="13"/>
  <c r="AI73" i="13"/>
  <c r="AV21" i="13"/>
  <c r="AV39" i="13"/>
  <c r="P77" i="13"/>
  <c r="P67" i="13" s="1"/>
  <c r="AI43" i="13"/>
  <c r="AI53" i="13"/>
  <c r="AV81" i="13"/>
  <c r="AV95" i="13"/>
  <c r="AV94" i="13"/>
  <c r="AV92" i="13"/>
  <c r="AV13" i="13"/>
  <c r="AV63" i="13"/>
  <c r="AI71" i="13"/>
  <c r="AV58" i="13"/>
  <c r="AI49" i="13"/>
  <c r="AI33" i="13"/>
  <c r="AI24" i="13"/>
  <c r="AI56" i="13"/>
  <c r="AI76" i="13"/>
  <c r="AV51" i="13"/>
  <c r="AI51" i="13"/>
  <c r="AI18" i="13"/>
  <c r="AI44" i="13"/>
  <c r="AI88" i="13"/>
  <c r="AV68" i="13"/>
  <c r="AV69" i="13"/>
  <c r="AV86" i="13"/>
  <c r="AI58" i="13"/>
  <c r="AV43" i="13"/>
  <c r="AI6" i="13"/>
  <c r="AV55" i="13"/>
  <c r="AI79" i="13"/>
  <c r="AI96" i="13"/>
  <c r="AI36" i="13"/>
  <c r="AI38" i="13"/>
  <c r="AV87" i="13"/>
  <c r="AI55" i="13"/>
  <c r="AI91" i="13"/>
  <c r="AV71" i="13"/>
  <c r="AI29" i="13"/>
  <c r="AI78" i="13"/>
  <c r="AV10" i="13"/>
  <c r="V16" i="13"/>
  <c r="AO5" i="13"/>
  <c r="G5" i="13"/>
  <c r="V71" i="13"/>
  <c r="V62" i="13"/>
  <c r="V30" i="13"/>
  <c r="V43" i="13"/>
  <c r="AB5" i="13"/>
  <c r="V94" i="13"/>
  <c r="I10" i="13"/>
  <c r="V88" i="13"/>
  <c r="V76" i="13"/>
  <c r="V75" i="13"/>
  <c r="V74" i="13"/>
  <c r="V10" i="13"/>
  <c r="V87" i="13"/>
  <c r="V49" i="13"/>
  <c r="V47" i="13"/>
  <c r="V14" i="13"/>
  <c r="V73" i="13"/>
  <c r="V72" i="13"/>
  <c r="V81" i="13"/>
  <c r="V55" i="13"/>
  <c r="V66" i="13"/>
  <c r="V57" i="13"/>
  <c r="V68" i="13"/>
  <c r="V96" i="13"/>
  <c r="V51" i="13"/>
  <c r="V63" i="13"/>
  <c r="V8" i="13"/>
  <c r="AL5" i="13"/>
  <c r="V6" i="13"/>
  <c r="V48" i="13"/>
  <c r="V15" i="13"/>
  <c r="V44" i="13"/>
  <c r="V42" i="13"/>
  <c r="V36" i="13"/>
  <c r="V53" i="13"/>
  <c r="V23" i="13"/>
  <c r="V78" i="13"/>
  <c r="V50" i="13"/>
  <c r="V18" i="13"/>
  <c r="V92" i="13"/>
  <c r="V46" i="13"/>
  <c r="V86" i="13"/>
  <c r="V38" i="13"/>
  <c r="V61" i="13"/>
  <c r="V32" i="13"/>
  <c r="V29" i="13"/>
  <c r="V79" i="13"/>
  <c r="Q77" i="13"/>
  <c r="Q67" i="13" s="1"/>
  <c r="V45" i="13"/>
  <c r="V69" i="13"/>
  <c r="V21" i="13"/>
  <c r="V56" i="13"/>
  <c r="V54" i="13"/>
  <c r="V58" i="13"/>
  <c r="V98" i="13"/>
  <c r="V31" i="13"/>
  <c r="V99" i="13"/>
  <c r="V22" i="13"/>
  <c r="V64" i="13"/>
  <c r="V13" i="13"/>
  <c r="V83" i="13"/>
  <c r="L97" i="13"/>
  <c r="V95" i="13"/>
  <c r="V39" i="13"/>
  <c r="V90" i="13"/>
  <c r="V20" i="13"/>
  <c r="V19" i="13"/>
  <c r="V91" i="13"/>
  <c r="V7" i="13"/>
  <c r="V11" i="13"/>
  <c r="V70" i="13"/>
  <c r="V65" i="13"/>
  <c r="V80" i="13"/>
  <c r="AT9" i="13"/>
  <c r="AK9" i="13"/>
  <c r="AL77" i="13"/>
  <c r="AL67" i="13" s="1"/>
  <c r="X77" i="13"/>
  <c r="X67" i="13" s="1"/>
  <c r="U97" i="13"/>
  <c r="AA77" i="13"/>
  <c r="AA67" i="13" s="1"/>
  <c r="I16" i="13"/>
  <c r="Q5" i="13"/>
  <c r="L34" i="13"/>
  <c r="U5" i="13"/>
  <c r="I74" i="13"/>
  <c r="AD5" i="13"/>
  <c r="X97" i="13"/>
  <c r="H28" i="13"/>
  <c r="H27" i="13" s="1"/>
  <c r="R5" i="13"/>
  <c r="K34" i="13"/>
  <c r="T5" i="13"/>
  <c r="AG34" i="13"/>
  <c r="T85" i="13"/>
  <c r="K5" i="13"/>
  <c r="AD60" i="13"/>
  <c r="AD59" i="13" s="1"/>
  <c r="L60" i="13"/>
  <c r="L59" i="13" s="1"/>
  <c r="AJ9" i="13"/>
  <c r="I6" i="13"/>
  <c r="I75" i="13"/>
  <c r="AA89" i="13"/>
  <c r="AL9" i="13"/>
  <c r="AH5" i="13"/>
  <c r="I13" i="13"/>
  <c r="AJ28" i="13"/>
  <c r="AJ27" i="13" s="1"/>
  <c r="AR85" i="13"/>
  <c r="AF28" i="13"/>
  <c r="AF27" i="13" s="1"/>
  <c r="AF77" i="13"/>
  <c r="AF67" i="13" s="1"/>
  <c r="AT97" i="13"/>
  <c r="Z60" i="13"/>
  <c r="Z59" i="13" s="1"/>
  <c r="BW28" i="13"/>
  <c r="BW27" i="13" s="1"/>
  <c r="AL28" i="13"/>
  <c r="AL27" i="13" s="1"/>
  <c r="L85" i="13"/>
  <c r="N97" i="13"/>
  <c r="AK34" i="13"/>
  <c r="AN52" i="13"/>
  <c r="F77" i="13"/>
  <c r="F67" i="13" s="1"/>
  <c r="AJ97" i="13"/>
  <c r="AS5" i="13"/>
  <c r="AG12" i="13"/>
  <c r="I79" i="13"/>
  <c r="Y5" i="13"/>
  <c r="I14" i="13"/>
  <c r="AC9" i="13"/>
  <c r="AD34" i="13"/>
  <c r="T34" i="13"/>
  <c r="AU89" i="13"/>
  <c r="H77" i="13"/>
  <c r="H67" i="13" s="1"/>
  <c r="AJ77" i="13"/>
  <c r="AJ67" i="13" s="1"/>
  <c r="AA97" i="13"/>
  <c r="AD17" i="13"/>
  <c r="AQ5" i="13"/>
  <c r="AS93" i="13"/>
  <c r="P89" i="13"/>
  <c r="H34" i="13"/>
  <c r="AB89" i="13"/>
  <c r="AS85" i="13"/>
  <c r="J93" i="13"/>
  <c r="AG93" i="13"/>
  <c r="AO89" i="13"/>
  <c r="AG5" i="13"/>
  <c r="K77" i="13"/>
  <c r="K67" i="13" s="1"/>
  <c r="AU9" i="13"/>
  <c r="R34" i="13"/>
  <c r="AS77" i="13"/>
  <c r="AS67" i="13" s="1"/>
  <c r="AP9" i="13"/>
  <c r="W34" i="13"/>
  <c r="M52" i="13"/>
  <c r="K89" i="13"/>
  <c r="AN97" i="13"/>
  <c r="AU34" i="13"/>
  <c r="AD93" i="13"/>
  <c r="S77" i="13"/>
  <c r="S67" i="13" s="1"/>
  <c r="BW77" i="13"/>
  <c r="AG77" i="13"/>
  <c r="AG67" i="13" s="1"/>
  <c r="O5" i="13"/>
  <c r="J9" i="13"/>
  <c r="AM93" i="13"/>
  <c r="L9" i="13"/>
  <c r="AH34" i="13"/>
  <c r="O28" i="13"/>
  <c r="O27" i="13" s="1"/>
  <c r="I47" i="13"/>
  <c r="P28" i="13"/>
  <c r="P27" i="13" s="1"/>
  <c r="AQ89" i="13"/>
  <c r="AM34" i="13"/>
  <c r="AH93" i="13"/>
  <c r="AR60" i="13"/>
  <c r="AR59" i="13" s="1"/>
  <c r="BW60" i="13"/>
  <c r="BW59" i="13" s="1"/>
  <c r="AK77" i="13"/>
  <c r="AK67" i="13" s="1"/>
  <c r="AM12" i="13"/>
  <c r="AF12" i="13"/>
  <c r="Y41" i="13"/>
  <c r="T9" i="13"/>
  <c r="U9" i="13"/>
  <c r="I65" i="13"/>
  <c r="AG17" i="13"/>
  <c r="BW34" i="13"/>
  <c r="Z85" i="13"/>
  <c r="X5" i="13"/>
  <c r="L93" i="13"/>
  <c r="AO93" i="13"/>
  <c r="AJ93" i="13"/>
  <c r="AO60" i="13"/>
  <c r="AO59" i="13" s="1"/>
  <c r="AM77" i="13"/>
  <c r="AM67" i="13" s="1"/>
  <c r="AQ77" i="13"/>
  <c r="AQ67" i="13" s="1"/>
  <c r="AC12" i="13"/>
  <c r="X9" i="13"/>
  <c r="AH9" i="13"/>
  <c r="K93" i="13"/>
  <c r="T28" i="13"/>
  <c r="T27" i="13" s="1"/>
  <c r="AN77" i="13"/>
  <c r="AN67" i="13" s="1"/>
  <c r="AJ12" i="13"/>
  <c r="AG52" i="13"/>
  <c r="I45" i="13"/>
  <c r="H52" i="13"/>
  <c r="AN60" i="13"/>
  <c r="AN59" i="13" s="1"/>
  <c r="Z97" i="13"/>
  <c r="AE5" i="13"/>
  <c r="T93" i="13"/>
  <c r="AQ93" i="13"/>
  <c r="T77" i="13"/>
  <c r="T67" i="13" s="1"/>
  <c r="R52" i="13"/>
  <c r="I62" i="13"/>
  <c r="I33" i="13"/>
  <c r="Y12" i="13"/>
  <c r="AP52" i="13"/>
  <c r="P52" i="13"/>
  <c r="I78" i="13"/>
  <c r="I61" i="13"/>
  <c r="F85" i="13"/>
  <c r="AJ5" i="13"/>
  <c r="AK93" i="13"/>
  <c r="AH60" i="13"/>
  <c r="AH59" i="13" s="1"/>
  <c r="U28" i="13"/>
  <c r="U27" i="13" s="1"/>
  <c r="W97" i="13"/>
  <c r="G97" i="13"/>
  <c r="S34" i="13"/>
  <c r="AD28" i="13"/>
  <c r="AD27" i="13" s="1"/>
  <c r="L12" i="13"/>
  <c r="R12" i="13"/>
  <c r="AO9" i="13"/>
  <c r="Y34" i="13"/>
  <c r="AC34" i="13"/>
  <c r="AT34" i="13"/>
  <c r="Z28" i="13"/>
  <c r="Z27" i="13" s="1"/>
  <c r="M60" i="13"/>
  <c r="M59" i="13" s="1"/>
  <c r="AK28" i="13"/>
  <c r="AK27" i="13" s="1"/>
  <c r="AF97" i="13"/>
  <c r="O34" i="13"/>
  <c r="F34" i="13"/>
  <c r="AQ85" i="13"/>
  <c r="X93" i="13"/>
  <c r="G28" i="13"/>
  <c r="G27" i="13" s="1"/>
  <c r="AQ28" i="13"/>
  <c r="AQ27" i="13" s="1"/>
  <c r="U89" i="13"/>
  <c r="AL89" i="13"/>
  <c r="N77" i="13"/>
  <c r="N67" i="13" s="1"/>
  <c r="F12" i="13"/>
  <c r="X12" i="13"/>
  <c r="O9" i="13"/>
  <c r="R9" i="13"/>
  <c r="K60" i="13"/>
  <c r="K59" i="13" s="1"/>
  <c r="J77" i="13"/>
  <c r="J67" i="13" s="1"/>
  <c r="AQ34" i="13"/>
  <c r="AM5" i="13"/>
  <c r="I72" i="13"/>
  <c r="I55" i="13"/>
  <c r="I69" i="13"/>
  <c r="J52" i="13"/>
  <c r="AB9" i="13"/>
  <c r="AF89" i="13"/>
  <c r="S28" i="13"/>
  <c r="S27" i="13" s="1"/>
  <c r="AR9" i="13"/>
  <c r="M97" i="13"/>
  <c r="F60" i="13"/>
  <c r="F59" i="13" s="1"/>
  <c r="M28" i="13"/>
  <c r="M27" i="13" s="1"/>
  <c r="AK12" i="13"/>
  <c r="AR34" i="13"/>
  <c r="AO85" i="13"/>
  <c r="AA5" i="13"/>
  <c r="H93" i="13"/>
  <c r="U60" i="13"/>
  <c r="U59" i="13" s="1"/>
  <c r="AG28" i="13"/>
  <c r="AG27" i="13" s="1"/>
  <c r="K9" i="13"/>
  <c r="AC5" i="13"/>
  <c r="I58" i="13"/>
  <c r="M93" i="13"/>
  <c r="X28" i="13"/>
  <c r="X27" i="13" s="1"/>
  <c r="AT12" i="13"/>
  <c r="AP41" i="13"/>
  <c r="R17" i="13"/>
  <c r="N17" i="13"/>
  <c r="M17" i="13"/>
  <c r="AT89" i="13"/>
  <c r="AU12" i="13"/>
  <c r="M12" i="13"/>
  <c r="AL41" i="13"/>
  <c r="AT52" i="13"/>
  <c r="I44" i="13"/>
  <c r="AL17" i="13"/>
  <c r="AA52" i="13"/>
  <c r="AE52" i="13"/>
  <c r="I98" i="13"/>
  <c r="AE97" i="13"/>
  <c r="Y89" i="13"/>
  <c r="X89" i="13"/>
  <c r="U85" i="13"/>
  <c r="AC52" i="13"/>
  <c r="L5" i="13"/>
  <c r="AL60" i="13"/>
  <c r="AL59" i="13" s="1"/>
  <c r="W60" i="13"/>
  <c r="W59" i="13" s="1"/>
  <c r="P60" i="13"/>
  <c r="P59" i="13" s="1"/>
  <c r="Y28" i="13"/>
  <c r="Y27" i="13" s="1"/>
  <c r="AS12" i="13"/>
  <c r="AH41" i="13"/>
  <c r="AG9" i="13"/>
  <c r="M41" i="13"/>
  <c r="AD9" i="13"/>
  <c r="AM60" i="13"/>
  <c r="AM59" i="13" s="1"/>
  <c r="AE60" i="13"/>
  <c r="AE59" i="13" s="1"/>
  <c r="AS41" i="13"/>
  <c r="I56" i="13"/>
  <c r="I32" i="13"/>
  <c r="P17" i="13"/>
  <c r="AP17" i="13"/>
  <c r="AQ97" i="13"/>
  <c r="M5" i="13"/>
  <c r="AC93" i="13"/>
  <c r="AT60" i="13"/>
  <c r="AT59" i="13" s="1"/>
  <c r="I30" i="13"/>
  <c r="AJ60" i="13"/>
  <c r="AJ59" i="13" s="1"/>
  <c r="Q60" i="13"/>
  <c r="Q59" i="13" s="1"/>
  <c r="AS89" i="13"/>
  <c r="AN89" i="13"/>
  <c r="AU77" i="13"/>
  <c r="AU67" i="13" s="1"/>
  <c r="AH12" i="13"/>
  <c r="S9" i="13"/>
  <c r="G17" i="13"/>
  <c r="AR12" i="13"/>
  <c r="I51" i="13"/>
  <c r="I95" i="13"/>
  <c r="X85" i="13"/>
  <c r="G85" i="13"/>
  <c r="AT77" i="13"/>
  <c r="AT67" i="13" s="1"/>
  <c r="AM9" i="13"/>
  <c r="R60" i="13"/>
  <c r="R59" i="13" s="1"/>
  <c r="I23" i="13"/>
  <c r="H17" i="13"/>
  <c r="Q97" i="13"/>
  <c r="Z52" i="13"/>
  <c r="AK85" i="13"/>
  <c r="H89" i="13"/>
  <c r="J17" i="13"/>
  <c r="M34" i="13"/>
  <c r="AR17" i="13"/>
  <c r="S60" i="13"/>
  <c r="S59" i="13" s="1"/>
  <c r="I21" i="13"/>
  <c r="O17" i="13"/>
  <c r="AT17" i="13"/>
  <c r="AS17" i="13"/>
  <c r="AC97" i="13"/>
  <c r="O85" i="13"/>
  <c r="F52" i="13"/>
  <c r="T52" i="13"/>
  <c r="AL93" i="13"/>
  <c r="I29" i="13"/>
  <c r="F28" i="13"/>
  <c r="F27" i="13" s="1"/>
  <c r="G89" i="13"/>
  <c r="G12" i="13"/>
  <c r="AE93" i="13"/>
  <c r="AO17" i="13"/>
  <c r="Z34" i="13"/>
  <c r="L52" i="13"/>
  <c r="AN85" i="13"/>
  <c r="J60" i="13"/>
  <c r="J59" i="13" s="1"/>
  <c r="AW28" i="13"/>
  <c r="AW27" i="13" s="1"/>
  <c r="F89" i="13"/>
  <c r="AN9" i="13"/>
  <c r="I39" i="13"/>
  <c r="I96" i="13"/>
  <c r="J34" i="13"/>
  <c r="AH17" i="13"/>
  <c r="AQ17" i="13"/>
  <c r="AB97" i="13"/>
  <c r="N34" i="13"/>
  <c r="AA34" i="13"/>
  <c r="AU85" i="13"/>
  <c r="AL52" i="13"/>
  <c r="AF93" i="13"/>
  <c r="AN93" i="13"/>
  <c r="AG60" i="13"/>
  <c r="AG59" i="13" s="1"/>
  <c r="J28" i="13"/>
  <c r="J27" i="13" s="1"/>
  <c r="AG89" i="13"/>
  <c r="W9" i="13"/>
  <c r="H12" i="13"/>
  <c r="O41" i="13"/>
  <c r="X41" i="13"/>
  <c r="AK17" i="13"/>
  <c r="R41" i="13"/>
  <c r="O12" i="13"/>
  <c r="W12" i="13"/>
  <c r="W41" i="13"/>
  <c r="Q41" i="13"/>
  <c r="T41" i="13"/>
  <c r="Q85" i="13"/>
  <c r="N12" i="13"/>
  <c r="AQ41" i="13"/>
  <c r="H85" i="13"/>
  <c r="T60" i="13"/>
  <c r="T59" i="13" s="1"/>
  <c r="U17" i="13"/>
  <c r="S41" i="13"/>
  <c r="AD89" i="13"/>
  <c r="AF60" i="13"/>
  <c r="AF59" i="13" s="1"/>
  <c r="X60" i="13"/>
  <c r="X59" i="13" s="1"/>
  <c r="AA28" i="13"/>
  <c r="AA27" i="13" s="1"/>
  <c r="AC89" i="13"/>
  <c r="R89" i="13"/>
  <c r="N5" i="13"/>
  <c r="U77" i="13"/>
  <c r="U67" i="13" s="1"/>
  <c r="Z9" i="13"/>
  <c r="T89" i="13"/>
  <c r="AA85" i="13"/>
  <c r="H97" i="13"/>
  <c r="O52" i="13"/>
  <c r="AT5" i="13"/>
  <c r="U52" i="13"/>
  <c r="AT28" i="13"/>
  <c r="AT27" i="13" s="1"/>
  <c r="AR41" i="13"/>
  <c r="Y9" i="13"/>
  <c r="I50" i="13"/>
  <c r="I49" i="13"/>
  <c r="I66" i="13"/>
  <c r="AP34" i="13"/>
  <c r="AE17" i="13"/>
  <c r="AN34" i="13"/>
  <c r="P85" i="13"/>
  <c r="AM52" i="13"/>
  <c r="I71" i="13"/>
  <c r="I35" i="13"/>
  <c r="I68" i="13"/>
  <c r="AM97" i="13"/>
  <c r="AS97" i="13"/>
  <c r="U34" i="13"/>
  <c r="AB52" i="13"/>
  <c r="AO52" i="13"/>
  <c r="W5" i="13"/>
  <c r="AP5" i="13"/>
  <c r="AE28" i="13"/>
  <c r="AE27" i="13" s="1"/>
  <c r="Z77" i="13"/>
  <c r="Z67" i="13" s="1"/>
  <c r="M77" i="13"/>
  <c r="M67" i="13" s="1"/>
  <c r="BW41" i="13"/>
  <c r="AA9" i="13"/>
  <c r="BW17" i="13"/>
  <c r="I53" i="13"/>
  <c r="I91" i="13"/>
  <c r="AG97" i="13"/>
  <c r="W89" i="13"/>
  <c r="S85" i="13"/>
  <c r="BW5" i="13"/>
  <c r="AN5" i="13"/>
  <c r="AT93" i="13"/>
  <c r="AE89" i="13"/>
  <c r="S12" i="13"/>
  <c r="K41" i="13"/>
  <c r="AM41" i="13"/>
  <c r="BW9" i="13"/>
  <c r="AU17" i="13"/>
  <c r="AJ34" i="13"/>
  <c r="AD52" i="13"/>
  <c r="I90" i="13"/>
  <c r="G34" i="13"/>
  <c r="AJ52" i="13"/>
  <c r="AN41" i="13"/>
  <c r="P34" i="13"/>
  <c r="Y52" i="13"/>
  <c r="I70" i="13"/>
  <c r="AO77" i="13"/>
  <c r="AO67" i="13" s="1"/>
  <c r="I80" i="13"/>
  <c r="P97" i="13"/>
  <c r="X52" i="13"/>
  <c r="AU5" i="13"/>
  <c r="AP93" i="13"/>
  <c r="N93" i="13"/>
  <c r="R28" i="13"/>
  <c r="R27" i="13" s="1"/>
  <c r="AP77" i="13"/>
  <c r="AP67" i="13" s="1"/>
  <c r="Y77" i="13"/>
  <c r="Y67" i="13" s="1"/>
  <c r="T12" i="13"/>
  <c r="AB41" i="13"/>
  <c r="AQ9" i="13"/>
  <c r="I15" i="13"/>
  <c r="AD97" i="13"/>
  <c r="AB85" i="13"/>
  <c r="R97" i="13"/>
  <c r="AE34" i="13"/>
  <c r="P93" i="13"/>
  <c r="I31" i="13"/>
  <c r="AC28" i="13"/>
  <c r="AC27" i="13" s="1"/>
  <c r="AP28" i="13"/>
  <c r="AP27" i="13" s="1"/>
  <c r="Q89" i="13"/>
  <c r="AD77" i="13"/>
  <c r="AD67" i="13" s="1"/>
  <c r="Q12" i="13"/>
  <c r="AC41" i="13"/>
  <c r="I11" i="13"/>
  <c r="Z89" i="13"/>
  <c r="I99" i="13"/>
  <c r="M85" i="13"/>
  <c r="W52" i="13"/>
  <c r="AR93" i="13"/>
  <c r="AU60" i="13"/>
  <c r="AU59" i="13" s="1"/>
  <c r="AF5" i="13"/>
  <c r="AJ41" i="13"/>
  <c r="N9" i="13"/>
  <c r="I73" i="13"/>
  <c r="I7" i="13"/>
  <c r="F17" i="13"/>
  <c r="AB34" i="13"/>
  <c r="I36" i="13"/>
  <c r="AU52" i="13"/>
  <c r="AO34" i="13"/>
  <c r="AR52" i="13"/>
  <c r="AH52" i="13"/>
  <c r="I57" i="13"/>
  <c r="T17" i="13"/>
  <c r="Q17" i="13"/>
  <c r="S97" i="13"/>
  <c r="AL34" i="13"/>
  <c r="K85" i="13"/>
  <c r="K52" i="13"/>
  <c r="Q93" i="13"/>
  <c r="O93" i="13"/>
  <c r="L28" i="13"/>
  <c r="L27" i="13" s="1"/>
  <c r="AR28" i="13"/>
  <c r="AR27" i="13" s="1"/>
  <c r="S89" i="13"/>
  <c r="AH89" i="13"/>
  <c r="O77" i="13"/>
  <c r="O67" i="13" s="1"/>
  <c r="AE77" i="13"/>
  <c r="AE67" i="13" s="1"/>
  <c r="Z12" i="13"/>
  <c r="U12" i="13"/>
  <c r="AU41" i="13"/>
  <c r="AF9" i="13"/>
  <c r="AE41" i="13"/>
  <c r="H9" i="13"/>
  <c r="AS9" i="13"/>
  <c r="O89" i="13"/>
  <c r="S52" i="13"/>
  <c r="F5" i="13"/>
  <c r="AQ60" i="13"/>
  <c r="AQ59" i="13" s="1"/>
  <c r="N41" i="13"/>
  <c r="G9" i="13"/>
  <c r="I38" i="13"/>
  <c r="AH85" i="13"/>
  <c r="I81" i="13"/>
  <c r="I92" i="13"/>
  <c r="J85" i="13"/>
  <c r="J89" i="13"/>
  <c r="I18" i="13"/>
  <c r="I83" i="13"/>
  <c r="I22" i="13"/>
  <c r="I24" i="13"/>
  <c r="S17" i="13"/>
  <c r="BW97" i="13"/>
  <c r="L89" i="13"/>
  <c r="AJ85" i="13"/>
  <c r="AQ52" i="13"/>
  <c r="AK52" i="13"/>
  <c r="J5" i="13"/>
  <c r="S5" i="13"/>
  <c r="R93" i="13"/>
  <c r="G60" i="13"/>
  <c r="G59" i="13" s="1"/>
  <c r="AP60" i="13"/>
  <c r="AP59" i="13" s="1"/>
  <c r="AH28" i="13"/>
  <c r="AH27" i="13" s="1"/>
  <c r="N28" i="13"/>
  <c r="N27" i="13" s="1"/>
  <c r="AJ89" i="13"/>
  <c r="AH77" i="13"/>
  <c r="AH67" i="13" s="1"/>
  <c r="R77" i="13"/>
  <c r="R67" i="13" s="1"/>
  <c r="AB77" i="13"/>
  <c r="AB67" i="13" s="1"/>
  <c r="AN12" i="13"/>
  <c r="U41" i="13"/>
  <c r="AE9" i="13"/>
  <c r="I86" i="13"/>
  <c r="BW93" i="13"/>
  <c r="H60" i="13"/>
  <c r="H59" i="13" s="1"/>
  <c r="I43" i="13"/>
  <c r="I20" i="13"/>
  <c r="W85" i="13"/>
  <c r="X17" i="13"/>
  <c r="T97" i="13"/>
  <c r="F97" i="13"/>
  <c r="AL85" i="13"/>
  <c r="W93" i="13"/>
  <c r="U93" i="13"/>
  <c r="AB28" i="13"/>
  <c r="AB27" i="13" s="1"/>
  <c r="K28" i="13"/>
  <c r="K27" i="13" s="1"/>
  <c r="AK89" i="13"/>
  <c r="AC77" i="13"/>
  <c r="AC67" i="13" s="1"/>
  <c r="AL12" i="13"/>
  <c r="P12" i="13"/>
  <c r="AK41" i="13"/>
  <c r="AP97" i="13"/>
  <c r="AD85" i="13"/>
  <c r="Y85" i="13"/>
  <c r="AB17" i="13"/>
  <c r="Y17" i="13"/>
  <c r="AL97" i="13"/>
  <c r="AU97" i="13"/>
  <c r="AM85" i="13"/>
  <c r="AC85" i="13"/>
  <c r="Y93" i="13"/>
  <c r="G93" i="13"/>
  <c r="AM89" i="13"/>
  <c r="AK5" i="13"/>
  <c r="L77" i="13"/>
  <c r="L67" i="13" s="1"/>
  <c r="Z41" i="13"/>
  <c r="AF41" i="13"/>
  <c r="M9" i="13"/>
  <c r="AR97" i="13"/>
  <c r="AS28" i="13"/>
  <c r="AS27" i="13" s="1"/>
  <c r="AO97" i="13"/>
  <c r="O97" i="13"/>
  <c r="Q52" i="13"/>
  <c r="Z5" i="13"/>
  <c r="AA93" i="13"/>
  <c r="S93" i="13"/>
  <c r="AU93" i="13"/>
  <c r="Q28" i="13"/>
  <c r="Q27" i="13" s="1"/>
  <c r="AB12" i="13"/>
  <c r="P41" i="13"/>
  <c r="H41" i="13"/>
  <c r="L41" i="13"/>
  <c r="F9" i="13"/>
  <c r="AJ17" i="13"/>
  <c r="N52" i="13"/>
  <c r="AS60" i="13"/>
  <c r="AS59" i="13" s="1"/>
  <c r="I76" i="13"/>
  <c r="AE85" i="13"/>
  <c r="AC17" i="13"/>
  <c r="I63" i="13"/>
  <c r="AA17" i="13"/>
  <c r="AF52" i="13"/>
  <c r="BW89" i="13"/>
  <c r="AO12" i="13"/>
  <c r="I54" i="13"/>
  <c r="I82" i="13"/>
  <c r="J97" i="13"/>
  <c r="W17" i="13"/>
  <c r="K17" i="13"/>
  <c r="AH97" i="13"/>
  <c r="AG85" i="13"/>
  <c r="AB60" i="13"/>
  <c r="AB59" i="13" s="1"/>
  <c r="AM28" i="13"/>
  <c r="AM27" i="13" s="1"/>
  <c r="AA60" i="13"/>
  <c r="AA59" i="13" s="1"/>
  <c r="AP12" i="13"/>
  <c r="W77" i="13"/>
  <c r="W67" i="13" s="1"/>
  <c r="AG41" i="13"/>
  <c r="AA12" i="13"/>
  <c r="AA41" i="13"/>
  <c r="F41" i="13"/>
  <c r="P9" i="13"/>
  <c r="AK60" i="13"/>
  <c r="AK59" i="13" s="1"/>
  <c r="I88" i="13"/>
  <c r="I87" i="13"/>
  <c r="AS34" i="13"/>
  <c r="AF17" i="13"/>
  <c r="Z17" i="13"/>
  <c r="AF85" i="13"/>
  <c r="J12" i="13"/>
  <c r="G77" i="13"/>
  <c r="G67" i="13" s="1"/>
  <c r="J41" i="13"/>
  <c r="I19" i="13"/>
  <c r="I8" i="13"/>
  <c r="AP85" i="13"/>
  <c r="K97" i="13"/>
  <c r="AK97" i="13"/>
  <c r="Q34" i="13"/>
  <c r="BW85" i="13"/>
  <c r="N85" i="13"/>
  <c r="BW52" i="13"/>
  <c r="AS52" i="13"/>
  <c r="H5" i="13"/>
  <c r="Z93" i="13"/>
  <c r="N60" i="13"/>
  <c r="N59" i="13" s="1"/>
  <c r="AN28" i="13"/>
  <c r="AN27" i="13" s="1"/>
  <c r="Y60" i="13"/>
  <c r="Y59" i="13" s="1"/>
  <c r="W28" i="13"/>
  <c r="W27" i="13" s="1"/>
  <c r="M89" i="13"/>
  <c r="AR77" i="13"/>
  <c r="AR67" i="13" s="1"/>
  <c r="AD41" i="13"/>
  <c r="AQ12" i="13"/>
  <c r="AO41" i="13"/>
  <c r="Q9" i="13"/>
  <c r="G52" i="13"/>
  <c r="R85" i="13"/>
  <c r="X34" i="13"/>
  <c r="I64" i="13"/>
  <c r="AM17" i="13"/>
  <c r="AT85" i="13"/>
  <c r="AD12" i="13"/>
  <c r="I48" i="13"/>
  <c r="Y97" i="13"/>
  <c r="AN17" i="13"/>
  <c r="L17" i="13"/>
  <c r="AF34" i="13"/>
  <c r="AP89" i="13"/>
  <c r="AR89" i="13"/>
  <c r="AR5" i="13"/>
  <c r="AB93" i="13"/>
  <c r="F93" i="13"/>
  <c r="O60" i="13"/>
  <c r="O59" i="13" s="1"/>
  <c r="AO28" i="13"/>
  <c r="AO27" i="13" s="1"/>
  <c r="AC60" i="13"/>
  <c r="AC59" i="13" s="1"/>
  <c r="N89" i="13"/>
  <c r="BW12" i="13"/>
  <c r="AE12" i="13"/>
  <c r="K12" i="13"/>
  <c r="AT41" i="13"/>
  <c r="G41" i="13"/>
  <c r="E89" i="13"/>
  <c r="E17" i="13"/>
  <c r="E5" i="13"/>
  <c r="E41" i="13"/>
  <c r="E12" i="13"/>
  <c r="E9" i="13"/>
  <c r="E28" i="13"/>
  <c r="G70" i="15"/>
  <c r="G64" i="15" s="1"/>
  <c r="H31" i="15"/>
  <c r="E97" i="13"/>
  <c r="E70" i="15"/>
  <c r="E64" i="15" s="1"/>
  <c r="G83" i="15"/>
  <c r="E4" i="15"/>
  <c r="I4" i="15"/>
  <c r="G49" i="15"/>
  <c r="G7" i="15"/>
  <c r="F4" i="15"/>
  <c r="I49" i="15"/>
  <c r="H87" i="15"/>
  <c r="E87" i="15"/>
  <c r="G4" i="15"/>
  <c r="E25" i="15"/>
  <c r="E24" i="15" s="1"/>
  <c r="F87" i="15"/>
  <c r="H4" i="15"/>
  <c r="F70" i="15"/>
  <c r="F64" i="15" s="1"/>
  <c r="I31" i="15"/>
  <c r="G87" i="15"/>
  <c r="I87" i="15"/>
  <c r="I7" i="15"/>
  <c r="H70" i="15"/>
  <c r="H64" i="15" s="1"/>
  <c r="E49" i="15"/>
  <c r="H10" i="15"/>
  <c r="E7" i="15"/>
  <c r="I15" i="15"/>
  <c r="F49" i="15"/>
  <c r="I57" i="15"/>
  <c r="I56" i="15" s="1"/>
  <c r="G25" i="15"/>
  <c r="G24" i="15" s="1"/>
  <c r="E15" i="15"/>
  <c r="I25" i="15"/>
  <c r="I24" i="15" s="1"/>
  <c r="H25" i="15"/>
  <c r="H24" i="15" s="1"/>
  <c r="G38" i="15"/>
  <c r="H49" i="15"/>
  <c r="E31" i="15"/>
  <c r="H15" i="15"/>
  <c r="E77" i="13"/>
  <c r="F15" i="15"/>
  <c r="E85" i="13"/>
  <c r="H57" i="15"/>
  <c r="H56" i="15" s="1"/>
  <c r="I38" i="15"/>
  <c r="G15" i="15"/>
  <c r="F25" i="15"/>
  <c r="F24" i="15" s="1"/>
  <c r="E10" i="15"/>
  <c r="I10" i="15"/>
  <c r="E38" i="15"/>
  <c r="F10" i="15"/>
  <c r="H83" i="15"/>
  <c r="G10" i="15"/>
  <c r="E57" i="15"/>
  <c r="E56" i="15" s="1"/>
  <c r="I64" i="15"/>
  <c r="F83" i="15"/>
  <c r="G57" i="15"/>
  <c r="G56" i="15" s="1"/>
  <c r="F38" i="15"/>
  <c r="H38" i="15"/>
  <c r="E52" i="13"/>
  <c r="E83" i="15"/>
  <c r="F57" i="15"/>
  <c r="F56" i="15" s="1"/>
  <c r="I79" i="15"/>
  <c r="F79" i="15"/>
  <c r="E93" i="13"/>
  <c r="E60" i="13"/>
  <c r="G91" i="15"/>
  <c r="H91" i="15"/>
  <c r="E91" i="15"/>
  <c r="I91" i="15"/>
  <c r="E79" i="15"/>
  <c r="G79" i="15"/>
  <c r="H79" i="15"/>
  <c r="BT40" i="13" l="1"/>
  <c r="BT37" i="13" s="1"/>
  <c r="BT26" i="13" s="1"/>
  <c r="BT25" i="13" s="1"/>
  <c r="BG26" i="13"/>
  <c r="BG25" i="13" s="1"/>
  <c r="BF40" i="13"/>
  <c r="BF37" i="13" s="1"/>
  <c r="BF26" i="13" s="1"/>
  <c r="BF25" i="13" s="1"/>
  <c r="BG4" i="13"/>
  <c r="BK84" i="13"/>
  <c r="BM40" i="13"/>
  <c r="BM37" i="13" s="1"/>
  <c r="BM26" i="13" s="1"/>
  <c r="BM25" i="13" s="1"/>
  <c r="BQ40" i="13"/>
  <c r="BQ37" i="13" s="1"/>
  <c r="BQ26" i="13" s="1"/>
  <c r="BQ25" i="13" s="1"/>
  <c r="BV9" i="13"/>
  <c r="BA40" i="13"/>
  <c r="BA37" i="13" s="1"/>
  <c r="BA26" i="13" s="1"/>
  <c r="BA25" i="13" s="1"/>
  <c r="BE84" i="13"/>
  <c r="BL4" i="13"/>
  <c r="BH40" i="13"/>
  <c r="BH37" i="13" s="1"/>
  <c r="BH26" i="13" s="1"/>
  <c r="BH25" i="13" s="1"/>
  <c r="BD40" i="13"/>
  <c r="BD37" i="13" s="1"/>
  <c r="BD26" i="13" s="1"/>
  <c r="BD25" i="13" s="1"/>
  <c r="BD84" i="13"/>
  <c r="BN40" i="13"/>
  <c r="BN37" i="13" s="1"/>
  <c r="BN26" i="13" s="1"/>
  <c r="BN25" i="13" s="1"/>
  <c r="BP84" i="13"/>
  <c r="AW40" i="13"/>
  <c r="AW37" i="13" s="1"/>
  <c r="AW26" i="13" s="1"/>
  <c r="AW25" i="13" s="1"/>
  <c r="BU84" i="13"/>
  <c r="BA84" i="13"/>
  <c r="BV77" i="13"/>
  <c r="BV67" i="13" s="1"/>
  <c r="BL40" i="13"/>
  <c r="BL37" i="13" s="1"/>
  <c r="BL26" i="13" s="1"/>
  <c r="BL25" i="13" s="1"/>
  <c r="BC40" i="13"/>
  <c r="BC37" i="13" s="1"/>
  <c r="BC26" i="13" s="1"/>
  <c r="BC25" i="13" s="1"/>
  <c r="BR4" i="13"/>
  <c r="BV28" i="13"/>
  <c r="BV27" i="13" s="1"/>
  <c r="BQ4" i="13"/>
  <c r="BP40" i="13"/>
  <c r="BP37" i="13" s="1"/>
  <c r="BP26" i="13" s="1"/>
  <c r="BP25" i="13" s="1"/>
  <c r="BM84" i="13"/>
  <c r="AZ40" i="13"/>
  <c r="AZ37" i="13" s="1"/>
  <c r="AZ26" i="13" s="1"/>
  <c r="AZ25" i="13" s="1"/>
  <c r="BQ84" i="13"/>
  <c r="BK40" i="13"/>
  <c r="BK37" i="13" s="1"/>
  <c r="BK26" i="13" s="1"/>
  <c r="BK25" i="13" s="1"/>
  <c r="BB84" i="13"/>
  <c r="BS40" i="13"/>
  <c r="BS37" i="13" s="1"/>
  <c r="BS26" i="13" s="1"/>
  <c r="BS25" i="13" s="1"/>
  <c r="AY4" i="13"/>
  <c r="BR40" i="13"/>
  <c r="BR37" i="13" s="1"/>
  <c r="BR26" i="13" s="1"/>
  <c r="BR25" i="13" s="1"/>
  <c r="BV60" i="13"/>
  <c r="BV59" i="13" s="1"/>
  <c r="BS84" i="13"/>
  <c r="BL84" i="13"/>
  <c r="BE40" i="13"/>
  <c r="BE37" i="13" s="1"/>
  <c r="BE26" i="13" s="1"/>
  <c r="BE25" i="13" s="1"/>
  <c r="BF4" i="13"/>
  <c r="BS4" i="13"/>
  <c r="BV89" i="13"/>
  <c r="BO84" i="13"/>
  <c r="BR84" i="13"/>
  <c r="AZ84" i="13"/>
  <c r="BN4" i="13"/>
  <c r="BT4" i="13"/>
  <c r="BE4" i="13"/>
  <c r="BB40" i="13"/>
  <c r="BB37" i="13" s="1"/>
  <c r="BB26" i="13" s="1"/>
  <c r="BB25" i="13" s="1"/>
  <c r="BT84" i="13"/>
  <c r="BV5" i="13"/>
  <c r="BV12" i="13"/>
  <c r="BM4" i="13"/>
  <c r="AX40" i="13"/>
  <c r="AX37" i="13" s="1"/>
  <c r="AX26" i="13" s="1"/>
  <c r="AX25" i="13" s="1"/>
  <c r="BH84" i="13"/>
  <c r="AX84" i="13"/>
  <c r="BV93" i="13"/>
  <c r="AX4" i="13"/>
  <c r="BB4" i="13"/>
  <c r="BV85" i="13"/>
  <c r="AY84" i="13"/>
  <c r="BV97" i="13"/>
  <c r="BP4" i="13"/>
  <c r="BC4" i="13"/>
  <c r="BV17" i="13"/>
  <c r="BV41" i="13"/>
  <c r="BJ84" i="13"/>
  <c r="BV34" i="13"/>
  <c r="BJ40" i="13"/>
  <c r="BJ37" i="13" s="1"/>
  <c r="BJ26" i="13" s="1"/>
  <c r="BJ25" i="13" s="1"/>
  <c r="BD4" i="13"/>
  <c r="AY40" i="13"/>
  <c r="AY37" i="13" s="1"/>
  <c r="AY26" i="13" s="1"/>
  <c r="AY25" i="13" s="1"/>
  <c r="BH4" i="13"/>
  <c r="BJ4" i="13"/>
  <c r="BC84" i="13"/>
  <c r="BO4" i="13"/>
  <c r="BA4" i="13"/>
  <c r="AZ4" i="13"/>
  <c r="BV52" i="13"/>
  <c r="BF84" i="13"/>
  <c r="BN84" i="13"/>
  <c r="BU40" i="13"/>
  <c r="BU37" i="13" s="1"/>
  <c r="BU26" i="13" s="1"/>
  <c r="BU25" i="13" s="1"/>
  <c r="BO40" i="13"/>
  <c r="BO37" i="13" s="1"/>
  <c r="BO26" i="13" s="1"/>
  <c r="BO25" i="13" s="1"/>
  <c r="BU4" i="13"/>
  <c r="BK4" i="13"/>
  <c r="AW4" i="13"/>
  <c r="AW84" i="13"/>
  <c r="I2" i="33"/>
  <c r="AV34" i="13"/>
  <c r="BI28" i="13"/>
  <c r="BI27" i="13" s="1"/>
  <c r="BI9" i="13"/>
  <c r="BI34" i="13"/>
  <c r="BI89" i="13"/>
  <c r="BI97" i="13"/>
  <c r="BI5" i="13"/>
  <c r="BI12" i="13"/>
  <c r="BI52" i="13"/>
  <c r="BI60" i="13"/>
  <c r="BI59" i="13" s="1"/>
  <c r="BI93" i="13"/>
  <c r="BI77" i="13"/>
  <c r="BI67" i="13" s="1"/>
  <c r="BI85" i="13"/>
  <c r="BI41" i="13"/>
  <c r="BI17" i="13"/>
  <c r="AI34" i="13"/>
  <c r="V34" i="13"/>
  <c r="AV9" i="13"/>
  <c r="AS84" i="13"/>
  <c r="AI28" i="13"/>
  <c r="AI27" i="13" s="1"/>
  <c r="AS4" i="13"/>
  <c r="AV85" i="13"/>
  <c r="AV97" i="13"/>
  <c r="AI89" i="13"/>
  <c r="AV12" i="13"/>
  <c r="AI5" i="13"/>
  <c r="AV93" i="13"/>
  <c r="AV77" i="13"/>
  <c r="AV60" i="13"/>
  <c r="AV59" i="13" s="1"/>
  <c r="AV89" i="13"/>
  <c r="AI9" i="13"/>
  <c r="AV5" i="13"/>
  <c r="AI97" i="13"/>
  <c r="AI17" i="13"/>
  <c r="AI52" i="13"/>
  <c r="AV28" i="13"/>
  <c r="AV27" i="13" s="1"/>
  <c r="AI60" i="13"/>
  <c r="AI59" i="13" s="1"/>
  <c r="AI41" i="13"/>
  <c r="AI12" i="13"/>
  <c r="AI77" i="13"/>
  <c r="AV17" i="13"/>
  <c r="AI85" i="13"/>
  <c r="AV52" i="13"/>
  <c r="AV41" i="13"/>
  <c r="AI93" i="13"/>
  <c r="V52" i="13"/>
  <c r="V93" i="13"/>
  <c r="V41" i="13"/>
  <c r="V28" i="13"/>
  <c r="V27" i="13" s="1"/>
  <c r="V85" i="13"/>
  <c r="V9" i="13"/>
  <c r="V89" i="13"/>
  <c r="V60" i="13"/>
  <c r="V59" i="13" s="1"/>
  <c r="V97" i="13"/>
  <c r="V17" i="13"/>
  <c r="V77" i="13"/>
  <c r="V12" i="13"/>
  <c r="V5" i="13"/>
  <c r="AB4" i="13"/>
  <c r="AD4" i="13"/>
  <c r="I77" i="13"/>
  <c r="Q4" i="13"/>
  <c r="AL4" i="13"/>
  <c r="AN40" i="13"/>
  <c r="AN37" i="13" s="1"/>
  <c r="AN26" i="13" s="1"/>
  <c r="AN25" i="13" s="1"/>
  <c r="F40" i="13"/>
  <c r="F37" i="13" s="1"/>
  <c r="F26" i="13" s="1"/>
  <c r="F25" i="13" s="1"/>
  <c r="T4" i="13"/>
  <c r="J40" i="13"/>
  <c r="J37" i="13" s="1"/>
  <c r="J26" i="13" s="1"/>
  <c r="J25" i="13" s="1"/>
  <c r="AJ4" i="13"/>
  <c r="AO40" i="13"/>
  <c r="AO37" i="13" s="1"/>
  <c r="AO26" i="13" s="1"/>
  <c r="AO25" i="13" s="1"/>
  <c r="I85" i="13"/>
  <c r="X84" i="13"/>
  <c r="T84" i="13"/>
  <c r="W40" i="13"/>
  <c r="W37" i="13" s="1"/>
  <c r="W26" i="13" s="1"/>
  <c r="W25" i="13" s="1"/>
  <c r="AO4" i="13"/>
  <c r="K4" i="13"/>
  <c r="AQ84" i="13"/>
  <c r="AR84" i="13"/>
  <c r="P4" i="13"/>
  <c r="U4" i="13"/>
  <c r="L84" i="13"/>
  <c r="AQ4" i="13"/>
  <c r="H40" i="13"/>
  <c r="H37" i="13" s="1"/>
  <c r="H26" i="13" s="1"/>
  <c r="H25" i="13" s="1"/>
  <c r="P40" i="13"/>
  <c r="P37" i="13" s="1"/>
  <c r="P26" i="13" s="1"/>
  <c r="P25" i="13" s="1"/>
  <c r="I28" i="13"/>
  <c r="O4" i="13"/>
  <c r="I93" i="13"/>
  <c r="I12" i="13"/>
  <c r="M40" i="13"/>
  <c r="M37" i="13" s="1"/>
  <c r="M26" i="13" s="1"/>
  <c r="M25" i="13" s="1"/>
  <c r="I5" i="13"/>
  <c r="AM84" i="13"/>
  <c r="AG4" i="13"/>
  <c r="AH40" i="13"/>
  <c r="AH37" i="13" s="1"/>
  <c r="AH26" i="13" s="1"/>
  <c r="AH25" i="13" s="1"/>
  <c r="AO84" i="13"/>
  <c r="X40" i="13"/>
  <c r="X37" i="13" s="1"/>
  <c r="X26" i="13" s="1"/>
  <c r="X25" i="13" s="1"/>
  <c r="X4" i="13"/>
  <c r="AP40" i="13"/>
  <c r="AP37" i="13" s="1"/>
  <c r="AP26" i="13" s="1"/>
  <c r="AP25" i="13" s="1"/>
  <c r="P84" i="13"/>
  <c r="AM4" i="13"/>
  <c r="G4" i="13"/>
  <c r="N40" i="13"/>
  <c r="N37" i="13" s="1"/>
  <c r="N26" i="13" s="1"/>
  <c r="N25" i="13" s="1"/>
  <c r="I52" i="13"/>
  <c r="Y40" i="13"/>
  <c r="Y37" i="13" s="1"/>
  <c r="Y26" i="13" s="1"/>
  <c r="Y25" i="13" s="1"/>
  <c r="R4" i="13"/>
  <c r="W84" i="13"/>
  <c r="AJ40" i="13"/>
  <c r="AJ37" i="13" s="1"/>
  <c r="AJ26" i="13" s="1"/>
  <c r="AJ25" i="13" s="1"/>
  <c r="AT4" i="13"/>
  <c r="AK84" i="13"/>
  <c r="AF84" i="13"/>
  <c r="AN4" i="13"/>
  <c r="AE4" i="13"/>
  <c r="U40" i="13"/>
  <c r="U37" i="13" s="1"/>
  <c r="U26" i="13" s="1"/>
  <c r="U25" i="13" s="1"/>
  <c r="F84" i="13"/>
  <c r="K84" i="13"/>
  <c r="M84" i="13"/>
  <c r="I60" i="13"/>
  <c r="AU4" i="13"/>
  <c r="Q40" i="13"/>
  <c r="Q37" i="13" s="1"/>
  <c r="Q26" i="13" s="1"/>
  <c r="Q25" i="13" s="1"/>
  <c r="Z84" i="13"/>
  <c r="R40" i="13"/>
  <c r="R37" i="13" s="1"/>
  <c r="R26" i="13" s="1"/>
  <c r="R25" i="13" s="1"/>
  <c r="AA4" i="13"/>
  <c r="I89" i="13"/>
  <c r="AA40" i="13"/>
  <c r="AA37" i="13" s="1"/>
  <c r="AA26" i="13" s="1"/>
  <c r="AA25" i="13" s="1"/>
  <c r="I97" i="13"/>
  <c r="AC4" i="13"/>
  <c r="N84" i="13"/>
  <c r="AG40" i="13"/>
  <c r="AG37" i="13" s="1"/>
  <c r="AG26" i="13" s="1"/>
  <c r="AG25" i="13" s="1"/>
  <c r="AH4" i="13"/>
  <c r="AK4" i="13"/>
  <c r="Y4" i="13"/>
  <c r="I9" i="13"/>
  <c r="H4" i="13"/>
  <c r="AC84" i="13"/>
  <c r="T40" i="13"/>
  <c r="T37" i="13" s="1"/>
  <c r="T26" i="13" s="1"/>
  <c r="T25" i="13" s="1"/>
  <c r="Z4" i="13"/>
  <c r="AU40" i="13"/>
  <c r="AU37" i="13" s="1"/>
  <c r="AU84" i="13"/>
  <c r="BW40" i="13"/>
  <c r="BW37" i="13" s="1"/>
  <c r="BW26" i="13" s="1"/>
  <c r="I34" i="13"/>
  <c r="I41" i="13"/>
  <c r="BW84" i="13"/>
  <c r="Y84" i="13"/>
  <c r="AB84" i="13"/>
  <c r="AD84" i="13"/>
  <c r="AL40" i="13"/>
  <c r="AL37" i="13" s="1"/>
  <c r="AL26" i="13" s="1"/>
  <c r="AL25" i="13" s="1"/>
  <c r="I17" i="13"/>
  <c r="AF4" i="13"/>
  <c r="O84" i="13"/>
  <c r="M4" i="13"/>
  <c r="G40" i="13"/>
  <c r="G37" i="13" s="1"/>
  <c r="G26" i="13" s="1"/>
  <c r="G25" i="13" s="1"/>
  <c r="AT84" i="13"/>
  <c r="J84" i="13"/>
  <c r="AM40" i="13"/>
  <c r="AM37" i="13" s="1"/>
  <c r="AM26" i="13" s="1"/>
  <c r="AM25" i="13" s="1"/>
  <c r="S40" i="13"/>
  <c r="S37" i="13" s="1"/>
  <c r="S26" i="13" s="1"/>
  <c r="S25" i="13" s="1"/>
  <c r="AK40" i="13"/>
  <c r="AK37" i="13" s="1"/>
  <c r="AK26" i="13" s="1"/>
  <c r="AK25" i="13" s="1"/>
  <c r="K40" i="13"/>
  <c r="K37" i="13" s="1"/>
  <c r="K26" i="13" s="1"/>
  <c r="K25" i="13" s="1"/>
  <c r="AT40" i="13"/>
  <c r="AT37" i="13" s="1"/>
  <c r="AT26" i="13" s="1"/>
  <c r="AT25" i="13" s="1"/>
  <c r="AP84" i="13"/>
  <c r="AR40" i="13"/>
  <c r="AR37" i="13" s="1"/>
  <c r="AR26" i="13" s="1"/>
  <c r="AR25" i="13" s="1"/>
  <c r="AE84" i="13"/>
  <c r="AB40" i="13"/>
  <c r="AB37" i="13" s="1"/>
  <c r="AB26" i="13" s="1"/>
  <c r="AB25" i="13" s="1"/>
  <c r="O40" i="13"/>
  <c r="O37" i="13" s="1"/>
  <c r="O26" i="13" s="1"/>
  <c r="O25" i="13" s="1"/>
  <c r="AF40" i="13"/>
  <c r="AF37" i="13" s="1"/>
  <c r="AF26" i="13" s="1"/>
  <c r="AF25" i="13" s="1"/>
  <c r="AH84" i="13"/>
  <c r="AP4" i="13"/>
  <c r="Z40" i="13"/>
  <c r="Z37" i="13" s="1"/>
  <c r="Z26" i="13" s="1"/>
  <c r="Z25" i="13" s="1"/>
  <c r="W4" i="13"/>
  <c r="AN84" i="13"/>
  <c r="R84" i="13"/>
  <c r="L4" i="13"/>
  <c r="H84" i="13"/>
  <c r="G84" i="13"/>
  <c r="AQ40" i="13"/>
  <c r="AQ37" i="13" s="1"/>
  <c r="AQ26" i="13" s="1"/>
  <c r="AQ25" i="13" s="1"/>
  <c r="U84" i="13"/>
  <c r="AA84" i="13"/>
  <c r="L40" i="13"/>
  <c r="L37" i="13" s="1"/>
  <c r="L26" i="13" s="1"/>
  <c r="L25" i="13" s="1"/>
  <c r="F4" i="13"/>
  <c r="BW4" i="13"/>
  <c r="S4" i="13"/>
  <c r="AD40" i="13"/>
  <c r="AD37" i="13" s="1"/>
  <c r="AD26" i="13" s="1"/>
  <c r="AD25" i="13" s="1"/>
  <c r="J4" i="13"/>
  <c r="S84" i="13"/>
  <c r="AR4" i="13"/>
  <c r="AG84" i="13"/>
  <c r="AC40" i="13"/>
  <c r="AC37" i="13" s="1"/>
  <c r="AC26" i="13" s="1"/>
  <c r="AC25" i="13" s="1"/>
  <c r="AS40" i="13"/>
  <c r="AS37" i="13" s="1"/>
  <c r="AS26" i="13" s="1"/>
  <c r="AS25" i="13" s="1"/>
  <c r="AL84" i="13"/>
  <c r="Q84" i="13"/>
  <c r="N4" i="13"/>
  <c r="AJ84" i="13"/>
  <c r="AE40" i="13"/>
  <c r="AE37" i="13" s="1"/>
  <c r="AE26" i="13" s="1"/>
  <c r="AE25" i="13" s="1"/>
  <c r="E84" i="13"/>
  <c r="E27" i="13"/>
  <c r="I27" i="13" s="1"/>
  <c r="E67" i="13"/>
  <c r="I67" i="13" s="1"/>
  <c r="E37" i="15"/>
  <c r="E34" i="15" s="1"/>
  <c r="E23" i="15" s="1"/>
  <c r="E22" i="15" s="1"/>
  <c r="G37" i="15"/>
  <c r="G34" i="15" s="1"/>
  <c r="G23" i="15" s="1"/>
  <c r="G22" i="15" s="1"/>
  <c r="E3" i="15"/>
  <c r="H3" i="15"/>
  <c r="I37" i="15"/>
  <c r="I34" i="15" s="1"/>
  <c r="I23" i="15" s="1"/>
  <c r="I22" i="15" s="1"/>
  <c r="F37" i="15"/>
  <c r="F34" i="15" s="1"/>
  <c r="F23" i="15" s="1"/>
  <c r="F22" i="15" s="1"/>
  <c r="I3" i="15"/>
  <c r="G3" i="15"/>
  <c r="F3" i="15"/>
  <c r="F78" i="15"/>
  <c r="H37" i="15"/>
  <c r="H34" i="15" s="1"/>
  <c r="H23" i="15" s="1"/>
  <c r="H22" i="15" s="1"/>
  <c r="G78" i="15"/>
  <c r="E40" i="13"/>
  <c r="E4" i="13"/>
  <c r="I78" i="15"/>
  <c r="H78" i="15"/>
  <c r="E78" i="15"/>
  <c r="E59" i="13"/>
  <c r="I59" i="13" s="1"/>
  <c r="BG100" i="13" l="1"/>
  <c r="BV40" i="13"/>
  <c r="BV37" i="13" s="1"/>
  <c r="BV26" i="13" s="1"/>
  <c r="BV25" i="13" s="1"/>
  <c r="BV4" i="13"/>
  <c r="BV84" i="13"/>
  <c r="AU26" i="13"/>
  <c r="AU25" i="13" s="1"/>
  <c r="AU100" i="13" s="1"/>
  <c r="BI40" i="13"/>
  <c r="BI37" i="13" s="1"/>
  <c r="BI26" i="13" s="1"/>
  <c r="BI25" i="13" s="1"/>
  <c r="BI84" i="13"/>
  <c r="BI4" i="13"/>
  <c r="V40" i="13"/>
  <c r="V37" i="13" s="1"/>
  <c r="V26" i="13" s="1"/>
  <c r="AX100" i="13"/>
  <c r="AI40" i="13"/>
  <c r="AI37" i="13" s="1"/>
  <c r="AI26" i="13" s="1"/>
  <c r="AV40" i="13"/>
  <c r="AV37" i="13" s="1"/>
  <c r="AV26" i="13" s="1"/>
  <c r="AI84" i="13"/>
  <c r="AI67" i="13" s="1"/>
  <c r="AV4" i="13"/>
  <c r="AV84" i="13"/>
  <c r="AV67" i="13" s="1"/>
  <c r="AI4" i="13"/>
  <c r="BC100" i="13"/>
  <c r="BH100" i="13"/>
  <c r="AZ100" i="13"/>
  <c r="BF100" i="13"/>
  <c r="BB100" i="13"/>
  <c r="BA100" i="13"/>
  <c r="BD100" i="13"/>
  <c r="BE100" i="13"/>
  <c r="AY100" i="13"/>
  <c r="V4" i="13"/>
  <c r="V84" i="13"/>
  <c r="AL100" i="13"/>
  <c r="AO100" i="13"/>
  <c r="AQ100" i="13"/>
  <c r="X100" i="13"/>
  <c r="T100" i="13"/>
  <c r="AM100" i="13"/>
  <c r="AJ100" i="13"/>
  <c r="I40" i="13"/>
  <c r="U100" i="13"/>
  <c r="AT100" i="13"/>
  <c r="K100" i="13"/>
  <c r="AK100" i="13"/>
  <c r="P100" i="13"/>
  <c r="AG100" i="13"/>
  <c r="AA100" i="13"/>
  <c r="AS100" i="13"/>
  <c r="AB100" i="13"/>
  <c r="R100" i="13"/>
  <c r="AN100" i="13"/>
  <c r="G100" i="13"/>
  <c r="M100" i="13"/>
  <c r="N100" i="13"/>
  <c r="AH100" i="13"/>
  <c r="Q100" i="13"/>
  <c r="O100" i="13"/>
  <c r="Y100" i="13"/>
  <c r="I84" i="13"/>
  <c r="L100" i="13"/>
  <c r="AR100" i="13"/>
  <c r="W100" i="13"/>
  <c r="AC100" i="13"/>
  <c r="Z100" i="13"/>
  <c r="H100" i="13"/>
  <c r="J100" i="13"/>
  <c r="AP100" i="13"/>
  <c r="AD100" i="13"/>
  <c r="S100" i="13"/>
  <c r="AF100" i="13"/>
  <c r="I4" i="13"/>
  <c r="AE100" i="13"/>
  <c r="AW100" i="13"/>
  <c r="F100" i="13"/>
  <c r="F102" i="13" s="1"/>
  <c r="G94" i="15"/>
  <c r="E94" i="15"/>
  <c r="I94" i="15"/>
  <c r="H94" i="15"/>
  <c r="F94" i="15"/>
  <c r="E37" i="13"/>
  <c r="I37" i="13" s="1"/>
  <c r="BV100" i="13" l="1"/>
  <c r="AI25" i="13"/>
  <c r="AI100" i="13" s="1"/>
  <c r="BW67" i="13"/>
  <c r="BW25" i="13" s="1"/>
  <c r="BW100" i="13" s="1"/>
  <c r="AV25" i="13"/>
  <c r="AV100" i="13" s="1"/>
  <c r="V67" i="13"/>
  <c r="V25" i="13" s="1"/>
  <c r="V100" i="13" s="1"/>
  <c r="BI100" i="13"/>
  <c r="G101" i="13"/>
  <c r="G102" i="13" s="1"/>
  <c r="G104" i="13" s="1"/>
  <c r="F104" i="13"/>
  <c r="E26" i="13"/>
  <c r="I26" i="13" s="1"/>
  <c r="H101" i="13" l="1"/>
  <c r="H102" i="13" s="1"/>
  <c r="H104" i="13" s="1"/>
  <c r="E25" i="13"/>
  <c r="I25" i="13" s="1"/>
  <c r="E96" i="15" l="1"/>
  <c r="E98" i="15" s="1"/>
  <c r="E100" i="13"/>
  <c r="I100" i="13" s="1"/>
  <c r="I102" i="13" s="1"/>
  <c r="I104" i="13" s="1"/>
  <c r="E102" i="13" l="1"/>
  <c r="F96" i="15"/>
  <c r="E102" i="15"/>
  <c r="J101" i="13"/>
  <c r="J102" i="13" s="1"/>
  <c r="J104" i="13" l="1"/>
  <c r="E104" i="13"/>
  <c r="K101" i="13" l="1"/>
  <c r="K102" i="13" s="1"/>
  <c r="K104" i="13" l="1"/>
  <c r="L101" i="13"/>
  <c r="L102" i="13" s="1"/>
  <c r="L104" i="13" s="1"/>
  <c r="M101" i="13" l="1"/>
  <c r="M102" i="13" s="1"/>
  <c r="M104" i="13" l="1"/>
  <c r="N101" i="13"/>
  <c r="N102" i="13" s="1"/>
  <c r="N104" i="13" s="1"/>
  <c r="O101" i="13" l="1"/>
  <c r="O102" i="13" s="1"/>
  <c r="O104" i="13" s="1"/>
  <c r="P101" i="13" l="1"/>
  <c r="P102" i="13" s="1"/>
  <c r="P104" i="13" s="1"/>
  <c r="Q101" i="13" l="1"/>
  <c r="Q102" i="13" s="1"/>
  <c r="Q104" i="13" s="1"/>
  <c r="R101" i="13" l="1"/>
  <c r="R102" i="13" s="1"/>
  <c r="R104" i="13" s="1"/>
  <c r="S101" i="13" l="1"/>
  <c r="S102" i="13" s="1"/>
  <c r="S104" i="13" s="1"/>
  <c r="T101" i="13" l="1"/>
  <c r="T102" i="13" s="1"/>
  <c r="T104" i="13" s="1"/>
  <c r="U101" i="13" l="1"/>
  <c r="U102" i="13" s="1"/>
  <c r="U104" i="13" l="1"/>
  <c r="V102" i="13"/>
  <c r="V101" i="13"/>
  <c r="AI101" i="13" s="1"/>
  <c r="AV101" i="13" s="1"/>
  <c r="V104" i="13" l="1"/>
  <c r="W101" i="13"/>
  <c r="W102" i="13" s="1"/>
  <c r="W104" i="13" s="1"/>
  <c r="X101" i="13" l="1"/>
  <c r="X102" i="13" s="1"/>
  <c r="X104" i="13" s="1"/>
  <c r="Y101" i="13" l="1"/>
  <c r="Y102" i="13" s="1"/>
  <c r="Y104" i="13" s="1"/>
  <c r="Z101" i="13" l="1"/>
  <c r="Z102" i="13" s="1"/>
  <c r="Z104" i="13" s="1"/>
  <c r="AA101" i="13" l="1"/>
  <c r="AA102" i="13" s="1"/>
  <c r="AA104" i="13" s="1"/>
  <c r="AB101" i="13" l="1"/>
  <c r="AB102" i="13" s="1"/>
  <c r="AB104" i="13" s="1"/>
  <c r="AC101" i="13" l="1"/>
  <c r="AC102" i="13" s="1"/>
  <c r="AC104" i="13" s="1"/>
  <c r="AD101" i="13" l="1"/>
  <c r="AD102" i="13" s="1"/>
  <c r="AD104" i="13" s="1"/>
  <c r="AE101" i="13" l="1"/>
  <c r="AE102" i="13" s="1"/>
  <c r="AE104" i="13" s="1"/>
  <c r="AF101" i="13" l="1"/>
  <c r="AF102" i="13" s="1"/>
  <c r="AF104" i="13" s="1"/>
  <c r="AG101" i="13" l="1"/>
  <c r="AG102" i="13" s="1"/>
  <c r="AG104" i="13" s="1"/>
  <c r="AH101" i="13" l="1"/>
  <c r="AH102" i="13" s="1"/>
  <c r="AH104" i="13" s="1"/>
  <c r="AJ101" i="13" l="1"/>
  <c r="AJ102" i="13" s="1"/>
  <c r="AJ104" i="13" s="1"/>
  <c r="AK101" i="13" l="1"/>
  <c r="AK102" i="13" s="1"/>
  <c r="AK104" i="13" s="1"/>
  <c r="AL101" i="13" l="1"/>
  <c r="AL102" i="13" s="1"/>
  <c r="AL104" i="13" s="1"/>
  <c r="AM101" i="13" l="1"/>
  <c r="AM102" i="13" s="1"/>
  <c r="AM104" i="13" s="1"/>
  <c r="AN101" i="13" l="1"/>
  <c r="AN102" i="13" s="1"/>
  <c r="AN104" i="13" s="1"/>
  <c r="AO101" i="13" l="1"/>
  <c r="AO102" i="13" s="1"/>
  <c r="AO104" i="13" s="1"/>
  <c r="AP101" i="13" l="1"/>
  <c r="AP102" i="13" s="1"/>
  <c r="AP104" i="13" s="1"/>
  <c r="AQ101" i="13" l="1"/>
  <c r="AQ102" i="13" s="1"/>
  <c r="AQ104" i="13" s="1"/>
  <c r="AR101" i="13" l="1"/>
  <c r="AR102" i="13" s="1"/>
  <c r="AR104" i="13" s="1"/>
  <c r="AS101" i="13" l="1"/>
  <c r="AS102" i="13" s="1"/>
  <c r="AS104" i="13" s="1"/>
  <c r="AT101" i="13" l="1"/>
  <c r="AT102" i="13" s="1"/>
  <c r="AT104" i="13" s="1"/>
  <c r="AU101" i="13" l="1"/>
  <c r="AU102" i="13" s="1"/>
  <c r="AV102" i="13" s="1"/>
  <c r="AU104" i="13" l="1"/>
  <c r="BI101" i="13"/>
  <c r="BI102" i="13" s="1"/>
  <c r="AW101" i="13"/>
  <c r="AW102" i="13" s="1"/>
  <c r="AX101" i="13" s="1"/>
  <c r="AX102" i="13" s="1"/>
  <c r="AY101" i="13" s="1"/>
  <c r="BI104" i="13" l="1"/>
  <c r="BV101" i="13"/>
  <c r="BV102" i="13" s="1"/>
  <c r="BV104" i="13" s="1"/>
  <c r="AW104" i="13"/>
  <c r="AY102" i="13"/>
  <c r="I98" i="15"/>
  <c r="AX104" i="13"/>
  <c r="AZ101" i="13" l="1"/>
  <c r="AZ102" i="13" s="1"/>
  <c r="AY104" i="13"/>
  <c r="BA101" i="13" l="1"/>
  <c r="BA102" i="13" s="1"/>
  <c r="AZ104" i="13"/>
  <c r="BB101" i="13" l="1"/>
  <c r="BB102" i="13" s="1"/>
  <c r="BA104" i="13"/>
  <c r="BC101" i="13" l="1"/>
  <c r="BC102" i="13" s="1"/>
  <c r="BB104" i="13"/>
  <c r="BD101" i="13" l="1"/>
  <c r="BD102" i="13" s="1"/>
  <c r="BC104" i="13"/>
  <c r="BE101" i="13" l="1"/>
  <c r="BE102" i="13" s="1"/>
  <c r="BD104" i="13"/>
  <c r="BF101" i="13" l="1"/>
  <c r="BF102" i="13" s="1"/>
  <c r="BG101" i="13" s="1"/>
  <c r="BE104" i="13"/>
  <c r="BG102" i="13" l="1"/>
  <c r="BF104" i="13"/>
  <c r="BG104" i="13" l="1"/>
  <c r="BH101" i="13"/>
  <c r="BH102" i="13" s="1"/>
  <c r="BH104" i="13"/>
  <c r="F98" i="15" l="1"/>
  <c r="G96" i="15" s="1"/>
  <c r="F102" i="15" l="1"/>
  <c r="AI102" i="13"/>
  <c r="G98" i="15" s="1"/>
  <c r="H98" i="15" l="1"/>
  <c r="AV104" i="13"/>
  <c r="G102" i="15"/>
  <c r="H96" i="15"/>
  <c r="AI104" i="13"/>
  <c r="I96" i="15" l="1"/>
  <c r="H102" i="1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4834583-2582-4E90-970F-B22DED42AF8B}" keepAlive="1" name="Consulta - Dotación Colbún (L Corales)" description="Conexión a la consulta 'Dotación Colbún (L Corales)' en el libro." type="5" refreshedVersion="8" saveData="1">
    <dbPr connection="Provider=Microsoft.Mashup.OleDb.1;Data Source=$Workbook$;Location=&quot;Dotación Colbún (L Corales)&quot;;Extended Properties=&quot;&quot;" command="SELECT * FROM [Dotación Colbún (L Corales)]"/>
    <extLst>
      <ext xmlns:x15="http://schemas.microsoft.com/office/spreadsheetml/2010/11/main" uri="{DE250136-89BD-433C-8126-D09CA5730AF9}">
        <x15:connection id="" excludeFromRefreshAll="1"/>
      </ext>
    </extLst>
  </connection>
  <connection id="2" xr16:uid="{57B612C2-51AB-4218-818C-BB4200A6AE68}" keepAlive="1" name="Consulta - FromOrganiz_1" description="Conexión a la consulta 'FromOrganiz_1' en el libro." type="5" refreshedVersion="0" background="1" saveData="1">
    <dbPr connection="Provider=Microsoft.Mashup.OleDb.1;Data Source=$Workbook$;Location=FromOrganiz_1;Extended Properties=&quot;&quot;" command="SELECT * FROM [FromOrganiz_1]"/>
  </connection>
  <connection id="3" xr16:uid="{DD8BC5AC-3808-4024-ACE9-AAB094070EED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B1DC1509-12F3-42B3-BB5F-4BA346AA2E06}" name="WorksheetConnection_Contabilidad Simplificada.xlsx!Banco" type="102" refreshedVersion="8" minRefreshableVersion="5">
    <extLst>
      <ext xmlns:x15="http://schemas.microsoft.com/office/spreadsheetml/2010/11/main" uri="{DE250136-89BD-433C-8126-D09CA5730AF9}">
        <x15:connection id="Banco" autoDelete="1">
          <x15:rangePr sourceName="_xlcn.WorksheetConnection_ContabilidadSimplificada.xlsxBanco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MDX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metadataStrings count="3">
    <s v="ThisWorkbookDataModel"/>
    <s v="{[Banco].[Año].&amp;[2025]}"/>
    <s v="{[Banco].[Mes].&amp;[Noviembre]}"/>
  </metadataStrings>
  <mdxMetadata count="2">
    <mdx n="0" f="s">
      <ms ns="1" c="0"/>
    </mdx>
    <mdx n="0" f="s">
      <ms ns="2" c="0"/>
    </mdx>
  </mdx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<sst xmlns="http://schemas.openxmlformats.org/spreadsheetml/2006/main" count="1505" uniqueCount="540">
  <si>
    <t>Saldo</t>
  </si>
  <si>
    <t>Año</t>
  </si>
  <si>
    <t>Mes</t>
  </si>
  <si>
    <t>Periodo Contable</t>
  </si>
  <si>
    <t>Fecha</t>
  </si>
  <si>
    <t>Descripción</t>
  </si>
  <si>
    <t>N° Doc.</t>
  </si>
  <si>
    <t>Cargos</t>
  </si>
  <si>
    <t>Monto</t>
  </si>
  <si>
    <t>CtaCtbl</t>
  </si>
  <si>
    <t>Observacion del Gasto o Abono /  Link a Document0o Respaldo</t>
  </si>
  <si>
    <t>Cartola</t>
  </si>
  <si>
    <t>APERTURA CUENTA CORRIENTE</t>
  </si>
  <si>
    <t>-------</t>
  </si>
  <si>
    <t xml:space="preserve">3.03.03 - Otros Pagos </t>
  </si>
  <si>
    <t>PROVEEDORE 96505760-9 COLBUN M</t>
  </si>
  <si>
    <t>1.01.02 - Cuota Extraordinaria</t>
  </si>
  <si>
    <t/>
  </si>
  <si>
    <t>1.01.01 - Cuota Ordinaria</t>
  </si>
  <si>
    <t>TEF 14082906-4 Alejandra Saldi</t>
  </si>
  <si>
    <t>2.01.03.03.1.9 - Traslado Terrestre Van/Taxi,etc</t>
  </si>
  <si>
    <t>TEF 17412336-5 Robinson Cornej</t>
  </si>
  <si>
    <t>TEF 76194207-7 Estudio Juridic</t>
  </si>
  <si>
    <t>2.01.01.01.1 - Asesoria Legal - Convenio Fijo Mensual</t>
  </si>
  <si>
    <t>COBRO COMISION SCOTIAWEB</t>
  </si>
  <si>
    <t>3.03.01 - Pago Comisiones</t>
  </si>
  <si>
    <t>EJ Mes Dic 2021 - Factura N° 0249</t>
  </si>
  <si>
    <t>Enero</t>
  </si>
  <si>
    <t>ene-2022</t>
  </si>
  <si>
    <t>TEF 12379484-2 Abdel Karim Aza</t>
  </si>
  <si>
    <t>2.01.04.01.2 - Almuerzo</t>
  </si>
  <si>
    <t>TEF 76197051-8 RED HOTELERA CH</t>
  </si>
  <si>
    <t>2.01.04.02 - Alojamiento</t>
  </si>
  <si>
    <t>TEF 76016422-4 Hotel Avellano</t>
  </si>
  <si>
    <t>EJ Mes Ene 2022 - Factura N°0250</t>
  </si>
  <si>
    <t>TEF 13790679-1 Paula Paredes</t>
  </si>
  <si>
    <t>2.02.08 - Aporte Extraordinario al Socio</t>
  </si>
  <si>
    <t>EJ Mes Feb 2022 - Factura N°0254</t>
  </si>
  <si>
    <t>2.01.01.01.2 - Asesoria Legal - Proyectos Negociacion</t>
  </si>
  <si>
    <t>EJ Negociacion Colectiva 1er Pago 2022 - Factura N°0251</t>
  </si>
  <si>
    <t>TEF 76330590-2 TRANSPORTES JOS</t>
  </si>
  <si>
    <t>2.01.03.03.1.7 - Taxi, Uber o Similar</t>
  </si>
  <si>
    <t>2.01.04.03 - Otros gastos varios</t>
  </si>
  <si>
    <t>TEF 12846913-3 Mitchell Zuniga</t>
  </si>
  <si>
    <t>2.02.05 - Restitución Fondos Socios</t>
  </si>
  <si>
    <t>2022-03 - Mensualidad EJ - Factura N°0259</t>
  </si>
  <si>
    <t>EJ Negociacion Colectiva 2er Pago 2022 - Factura N°0258</t>
  </si>
  <si>
    <t>1.03.04 - Aporte Colbun</t>
  </si>
  <si>
    <t>Ej Mes Abril 2022 - Factura N°0268</t>
  </si>
  <si>
    <t>2022-05 Mensualidad EJ - Factura N°0269</t>
  </si>
  <si>
    <t>PROVEEDORES  20220614153633263</t>
  </si>
  <si>
    <t>2.02.06 - Pago Bonos a Socios</t>
  </si>
  <si>
    <t>RECH PROVEEDO20220614153633263</t>
  </si>
  <si>
    <t>1.03.03 - Otros Aportes</t>
  </si>
  <si>
    <t>TEF 16094319-K VICTOR ANDRES N</t>
  </si>
  <si>
    <t>Pago Multas o Cuotas no cobradas</t>
  </si>
  <si>
    <t>TEF 12014424-3 Alejandro Gutie</t>
  </si>
  <si>
    <t>TEF 12566461-K Juan Vallejos</t>
  </si>
  <si>
    <t>TEF 12978344-3 Juan Godoy</t>
  </si>
  <si>
    <t>TEF 14121779-8 Mauricio Santib</t>
  </si>
  <si>
    <t>TEF 15453079-7 Gloria Hidalgo</t>
  </si>
  <si>
    <t>TEF 15954691-8 Felipe Puente</t>
  </si>
  <si>
    <t>TEF 16398217-K Elias Dominguez</t>
  </si>
  <si>
    <t>202-06 Mensualidad EJ - Factura N°0299</t>
  </si>
  <si>
    <t>EJ Mes Jul2022 - Factura N°300</t>
  </si>
  <si>
    <t>EJ Mes 2022-08- Factura N°0301</t>
  </si>
  <si>
    <t>TEF 76405371-0 Green Glass SPA</t>
  </si>
  <si>
    <t>2.02.06.1 - Regalo Corportivo (Aniversario)</t>
  </si>
  <si>
    <t>Comprobante de Pago</t>
  </si>
  <si>
    <t xml:space="preserve">Comprobante Transferencia </t>
  </si>
  <si>
    <t>Tranferencia</t>
  </si>
  <si>
    <t>EJ Mes Sep2022 - Factura N°0331</t>
  </si>
  <si>
    <t>EJ Mes Oct2022 - Factura N°0331</t>
  </si>
  <si>
    <t>EJ Mes Nov2022 - Factura N°0331</t>
  </si>
  <si>
    <t>TEF 18626785-0 Soraya Abigail</t>
  </si>
  <si>
    <t>Pago de Cuotas 2022 pedientes. Ya que socia estaba con Sin Goze de Sueldo</t>
  </si>
  <si>
    <t>Transferencia Estudio Juridico</t>
  </si>
  <si>
    <t>EJ Mes May2023 - Factura N°0496</t>
  </si>
  <si>
    <t>EJ Mes Jun2023 - Factura N°0496</t>
  </si>
  <si>
    <t>TOMA DEPOSITO A PLAZO SWEB</t>
  </si>
  <si>
    <t>3.01.01 - Deposito a Plazo a 30</t>
  </si>
  <si>
    <t>Robinson $3,612,960 |Cartola 3,623,016 | Planilla 3,623,025</t>
  </si>
  <si>
    <t>TEF 76942241-2 Chocolates Eile</t>
  </si>
  <si>
    <t>EJ Mes Jul2023 - Factura N°0568</t>
  </si>
  <si>
    <t>EJ Mes Ago2023 - Factura N°0568</t>
  </si>
  <si>
    <t>TEF 17863083-0 Pablo David Cal</t>
  </si>
  <si>
    <t>Ej Mes Sep2023 - Factura N°0621</t>
  </si>
  <si>
    <t>Ej Mes Oct2023 - Factura N°0621</t>
  </si>
  <si>
    <t>2024-01</t>
  </si>
  <si>
    <t>EJ Mes Nov2023 - Factura N°0702</t>
  </si>
  <si>
    <t>EJ Mes Dic2023 - Factura N°0702</t>
  </si>
  <si>
    <t>EJ Facturacion Mensualidad 2024-01 y 2024-02 - Factura N°0770</t>
  </si>
  <si>
    <t>EJ Facturacion Mensualidad Marzo-2024 - Factura N°0837</t>
  </si>
  <si>
    <t>Comprobantes y Correo</t>
  </si>
  <si>
    <t>2.02.07 - Coronas de Caridad Condolencias</t>
  </si>
  <si>
    <t>Boucher</t>
  </si>
  <si>
    <t>EJ Pago Mensualidad Abril-2028 - Factura N° 0870</t>
  </si>
  <si>
    <t>EJ Pago Mensualidad May-2028 - Factura N° 0870</t>
  </si>
  <si>
    <t>EJ Pago Mensualidad Junio-2028 - Factura N° 0870</t>
  </si>
  <si>
    <t>TEF 77053727-4 MM software y D</t>
  </si>
  <si>
    <t>2.02.01 - Licencia Software Annual</t>
  </si>
  <si>
    <t>Factura</t>
  </si>
  <si>
    <t>APERTURA CONTRATO</t>
  </si>
  <si>
    <t>EJ Mes Jul2024 - Factura N°1023</t>
  </si>
  <si>
    <t>EJ Mes Ago2024 - Factura N°1023</t>
  </si>
  <si>
    <t>TEF 76375855-9 TEA GROUP SPA</t>
  </si>
  <si>
    <t>Regalo Corporatia TEA SPA</t>
  </si>
  <si>
    <t>EJ Mes Sep 2024 - Factura N°1115</t>
  </si>
  <si>
    <t>EJ Mes Oct 2024 - Factura N°1115</t>
  </si>
  <si>
    <t>Arreglo Flores Condolenci - Paula Martinez</t>
  </si>
  <si>
    <t>EJ Nov2024 - Factura N°1137</t>
  </si>
  <si>
    <t>TEF  9754511-1 Ludwig Corales</t>
  </si>
  <si>
    <t>Rendicion Gastos</t>
  </si>
  <si>
    <t>TEF 11734065-1 Jorge Arancibia</t>
  </si>
  <si>
    <t>Cuotas Duplicadas</t>
  </si>
  <si>
    <t>Boletas y Formato Rendicion</t>
  </si>
  <si>
    <t>EJ Mes Dic 2024 - Factura N° 1203</t>
  </si>
  <si>
    <t>EJ Mes Ene2025 - Factura N° 1203</t>
  </si>
  <si>
    <t>EJ Negociacion Colectiva 1er Pago - Factura 1236</t>
  </si>
  <si>
    <t>EJ Mes Febrero 2025  - Factura N°1298</t>
  </si>
  <si>
    <t>EJ Mes Marzo 2025 - Factura N°1298</t>
  </si>
  <si>
    <t>TEF 9754511-1 Ludwig Corales</t>
  </si>
  <si>
    <t>2.01.03.03.1.4 - Uso de Vehiculo personal</t>
  </si>
  <si>
    <t>Rendicion de Gastos 1da Reunion Negociacion 2025 a 2028</t>
  </si>
  <si>
    <t>2.01.03.03.1.8 - Peajes</t>
  </si>
  <si>
    <t>Rendicion de Gastos 1da Reunion Negociacion 2025 a 2028 (Dgonzalez)</t>
  </si>
  <si>
    <t>Rendicion de Gastos 1da Reunion Negociacion 2025 a 2028 (Lcorales)</t>
  </si>
  <si>
    <t>2.01.04.01.3 - Cena</t>
  </si>
  <si>
    <t>2.01.03.03.1.2 - Combustible</t>
  </si>
  <si>
    <t xml:space="preserve">TEF 9754511-1 Ludwig Corales -  Detalle </t>
  </si>
  <si>
    <t>Rendicion de Gastos 2da Reunion Negociacion 2025 a 2028</t>
  </si>
  <si>
    <t>2.01.04.01.1 - Desayuno</t>
  </si>
  <si>
    <t>Gastos David Gonzales</t>
  </si>
  <si>
    <t>2.01.03.03.1.5 - Pasaje en Bus</t>
  </si>
  <si>
    <t>Gastos 3er Reunion - Negociacion Colectiva 2023 a 2028</t>
  </si>
  <si>
    <t>EJ Negociacion Colectiva 2do Pago - Factura N°1319</t>
  </si>
  <si>
    <t>TEF 76194207-7 Estudio Juridic 04/2025</t>
  </si>
  <si>
    <t>EJ Mes Abr 2025 - Factura N°1320</t>
  </si>
  <si>
    <t>Rendicion de Gastos 21/04/2025 - Lcorales</t>
  </si>
  <si>
    <t>2.01.03.02 - Mensajeria</t>
  </si>
  <si>
    <t>2.01.03.03.1.3 - Estacionamientos</t>
  </si>
  <si>
    <t>Peajes pendientes 3er Reunion Negociacion</t>
  </si>
  <si>
    <t>Bono Termino Negociaciones 1MM PP</t>
  </si>
  <si>
    <t>Cuota Sindical</t>
  </si>
  <si>
    <t xml:space="preserve">Rendicion Gastos KAZAT </t>
  </si>
  <si>
    <t>Rendicion de Gastos 20/05/2025 - KAZAT -  Charla IT</t>
  </si>
  <si>
    <t>RESCATE DEPOSITO A PLAZO (MONTO ORIGINAL)</t>
  </si>
  <si>
    <t>1.04.04 - Rescate Plazo Fijo</t>
  </si>
  <si>
    <t>Rescate de Fondos Mutuos (Monto Original Solamente)</t>
  </si>
  <si>
    <t>Intereses Deposito a Plazo</t>
  </si>
  <si>
    <t>1.04.01 - Utilidades Plazo Fijo</t>
  </si>
  <si>
    <t>Inters Final del Deposito a Plazo Original 50MM</t>
  </si>
  <si>
    <t>Gastos Estudio Juridico Mayo2025</t>
  </si>
  <si>
    <t>Mes de Mayo 2025 . Factura N°1373</t>
  </si>
  <si>
    <t>Montos Originales</t>
  </si>
  <si>
    <t>3.04.01 - Depositos a Plazo</t>
  </si>
  <si>
    <t>Interes Final del Deposito a Plazo de $35MM</t>
  </si>
  <si>
    <t>Interes Final del Deposito a Plazo de $20MM</t>
  </si>
  <si>
    <t>Pago de Bono !MM+ pago Cuotas participacion</t>
  </si>
  <si>
    <t>Pago Bono Termino Negociacion 1MM+ % CP</t>
  </si>
  <si>
    <t>RECH PROVEEDO20250619091311870</t>
  </si>
  <si>
    <t>1.04.05 - Restitución Fondos / Rechazo Depositos</t>
  </si>
  <si>
    <t>Reversados Montos por problemas de Transferencias</t>
  </si>
  <si>
    <t>Pago de Bono 1MM+ pago Cuotas participacion</t>
  </si>
  <si>
    <t>Reintento a Bco Fallabella Pago Bono Termino Negociacion 1MM+ % CP</t>
  </si>
  <si>
    <t>Corona Padre de Valeria Gatica</t>
  </si>
  <si>
    <t>Corona Flore Padre Valeria Gatica Sta Maria.</t>
  </si>
  <si>
    <t>Pago Bono Termino Negociacion 1MM+ % CP (Pendientes)</t>
  </si>
  <si>
    <t>IVA Comision Bco</t>
  </si>
  <si>
    <t>2.01.02.01 - Impuestos Bancarios</t>
  </si>
  <si>
    <t>COMISION SERVICIO MULTIPAGOS</t>
  </si>
  <si>
    <t>Cobro por Transferencias</t>
  </si>
  <si>
    <t>Uber Karim</t>
  </si>
  <si>
    <t>Ida y regreso DT</t>
  </si>
  <si>
    <t>Gastos Estudio Juridico Jun y Jul</t>
  </si>
  <si>
    <t>Junio y Julio 2025 - Factura N°1423</t>
  </si>
  <si>
    <t>Uber Consulta DT 31/07/2025</t>
  </si>
  <si>
    <t>COMISION DIGIPASS Tesorero</t>
  </si>
  <si>
    <t>PAGO TN y CP C.Retamales 1/2</t>
  </si>
  <si>
    <t>Regulariza ya que socio se retraso en validar datos</t>
  </si>
  <si>
    <t>Estacionaminetos LCORALES/Scotiabanck</t>
  </si>
  <si>
    <t>Retiro de DIGIPASS LCORALES - TESORERO</t>
  </si>
  <si>
    <t>PAGO TN y CP C.Retamales 2/2</t>
  </si>
  <si>
    <t>Resultado</t>
  </si>
  <si>
    <t>Cuenta</t>
  </si>
  <si>
    <t>Descripcion Cuenta</t>
  </si>
  <si>
    <t>Codigo Cta</t>
  </si>
  <si>
    <t>Observaciones</t>
  </si>
  <si>
    <t>sept-21</t>
  </si>
  <si>
    <t>oct-21</t>
  </si>
  <si>
    <t>nov-21</t>
  </si>
  <si>
    <t>dic-21</t>
  </si>
  <si>
    <t>Total 2021</t>
  </si>
  <si>
    <t>ene-22</t>
  </si>
  <si>
    <t>feb-22</t>
  </si>
  <si>
    <t>mar-22</t>
  </si>
  <si>
    <t>abr-22</t>
  </si>
  <si>
    <t>may-22</t>
  </si>
  <si>
    <t>jun-22</t>
  </si>
  <si>
    <t>jul-22</t>
  </si>
  <si>
    <t>ago-22</t>
  </si>
  <si>
    <t>sept-22</t>
  </si>
  <si>
    <t>oct-22</t>
  </si>
  <si>
    <t>nov-22</t>
  </si>
  <si>
    <t>dic-22</t>
  </si>
  <si>
    <t>Total 2022</t>
  </si>
  <si>
    <t>ene-23</t>
  </si>
  <si>
    <t>feb-23</t>
  </si>
  <si>
    <t>mar-23</t>
  </si>
  <si>
    <t>abr-23</t>
  </si>
  <si>
    <t>may-23</t>
  </si>
  <si>
    <t>jun-23</t>
  </si>
  <si>
    <t>jul-23</t>
  </si>
  <si>
    <t>ago-23</t>
  </si>
  <si>
    <t>sept-23</t>
  </si>
  <si>
    <t>oct-23</t>
  </si>
  <si>
    <t>nov-23</t>
  </si>
  <si>
    <t>dic-23</t>
  </si>
  <si>
    <t>Total 2023</t>
  </si>
  <si>
    <t>ene-24</t>
  </si>
  <si>
    <t>feb-24</t>
  </si>
  <si>
    <t>mar-24</t>
  </si>
  <si>
    <t>abr-24</t>
  </si>
  <si>
    <t>may-24</t>
  </si>
  <si>
    <t>jun-24</t>
  </si>
  <si>
    <t>jul-24</t>
  </si>
  <si>
    <t>ago-24</t>
  </si>
  <si>
    <t>sept-24</t>
  </si>
  <si>
    <t>oct-24</t>
  </si>
  <si>
    <t>nov-24</t>
  </si>
  <si>
    <t>dic-24</t>
  </si>
  <si>
    <t>Total 2024</t>
  </si>
  <si>
    <t>ene-25</t>
  </si>
  <si>
    <t>feb-25</t>
  </si>
  <si>
    <t>mar-25</t>
  </si>
  <si>
    <t>abr-25</t>
  </si>
  <si>
    <t>may-25</t>
  </si>
  <si>
    <t>jun-25</t>
  </si>
  <si>
    <t>jul-25</t>
  </si>
  <si>
    <t>ago-25</t>
  </si>
  <si>
    <t>sept-25</t>
  </si>
  <si>
    <t>oct-25</t>
  </si>
  <si>
    <t>dic-25</t>
  </si>
  <si>
    <t>Total 2025</t>
  </si>
  <si>
    <t xml:space="preserve">Total </t>
  </si>
  <si>
    <t>Ingresos</t>
  </si>
  <si>
    <t>1.01</t>
  </si>
  <si>
    <t>Cuotas Sindicales</t>
  </si>
  <si>
    <t>1.01.01</t>
  </si>
  <si>
    <t>Cuota Ordinaria</t>
  </si>
  <si>
    <t>1.01.02</t>
  </si>
  <si>
    <t>Cuota Extraordinaria</t>
  </si>
  <si>
    <t>1.01.03</t>
  </si>
  <si>
    <t>1.02</t>
  </si>
  <si>
    <t xml:space="preserve">Multas </t>
  </si>
  <si>
    <t>1.02.01</t>
  </si>
  <si>
    <t>Multa Inasistencia</t>
  </si>
  <si>
    <t>1.02.02</t>
  </si>
  <si>
    <t>Otras Multas</t>
  </si>
  <si>
    <t>1.03</t>
  </si>
  <si>
    <t>Aportes Adicionales</t>
  </si>
  <si>
    <t>1.03.01</t>
  </si>
  <si>
    <t>Aportes Voluntarios</t>
  </si>
  <si>
    <t>1.03.02</t>
  </si>
  <si>
    <t>Aportes Terceros</t>
  </si>
  <si>
    <t>1.03.03</t>
  </si>
  <si>
    <t>Otros Aportes</t>
  </si>
  <si>
    <t>1.03.04</t>
  </si>
  <si>
    <t>Aporte Colbun</t>
  </si>
  <si>
    <t>1.04</t>
  </si>
  <si>
    <t>Utilidades Bancarias / Otros Banco</t>
  </si>
  <si>
    <t>1.04.01</t>
  </si>
  <si>
    <t>Utilidades Plazo Fijo</t>
  </si>
  <si>
    <t>1.04.02</t>
  </si>
  <si>
    <t>Utilidades Fondos Mutos</t>
  </si>
  <si>
    <t>1.04.03</t>
  </si>
  <si>
    <t>Rescate Fondos Mutuos</t>
  </si>
  <si>
    <t>1.04.04</t>
  </si>
  <si>
    <t>Rescate Plazo Fijo</t>
  </si>
  <si>
    <t>1.04.05</t>
  </si>
  <si>
    <t>Restitución Fondos / Rechazo Depositos</t>
  </si>
  <si>
    <t>Egresos</t>
  </si>
  <si>
    <t>2.01</t>
  </si>
  <si>
    <t>Gasto Fijo</t>
  </si>
  <si>
    <t>2.01.01</t>
  </si>
  <si>
    <t>Asesorias</t>
  </si>
  <si>
    <t>2.01.01.01</t>
  </si>
  <si>
    <t>Legales</t>
  </si>
  <si>
    <t>2.01.01.01.1</t>
  </si>
  <si>
    <t>Asesoria Legal - Convenio Fijo Mensual</t>
  </si>
  <si>
    <t>2.01.01.01.2</t>
  </si>
  <si>
    <t>Asesoria Legal - Proyectos Negociacion</t>
  </si>
  <si>
    <t>2.01.01.02</t>
  </si>
  <si>
    <t>Contables</t>
  </si>
  <si>
    <t>2.01.01.03</t>
  </si>
  <si>
    <t>Expertos Legislacion Laboral</t>
  </si>
  <si>
    <t>2.01.01.04</t>
  </si>
  <si>
    <t>Otras Asesorias</t>
  </si>
  <si>
    <t>2.01.02</t>
  </si>
  <si>
    <t>Impuestos</t>
  </si>
  <si>
    <t>2.01.02.01</t>
  </si>
  <si>
    <t>Impuestos Bancarios</t>
  </si>
  <si>
    <t>2.01.02.02</t>
  </si>
  <si>
    <t>Impuestos Tributarios</t>
  </si>
  <si>
    <t>2.01.03</t>
  </si>
  <si>
    <t>Servicios</t>
  </si>
  <si>
    <t>2.01.03.01</t>
  </si>
  <si>
    <t>Licencias Software</t>
  </si>
  <si>
    <t>2.01.03.02</t>
  </si>
  <si>
    <t>Mensajeria</t>
  </si>
  <si>
    <t>2.01.03.03</t>
  </si>
  <si>
    <t>Transporte</t>
  </si>
  <si>
    <t>2.01.03.03.1</t>
  </si>
  <si>
    <t>Transporte Terrestre</t>
  </si>
  <si>
    <t>2.01.03.03.1.1</t>
  </si>
  <si>
    <t>Arriendo Vehiculo</t>
  </si>
  <si>
    <t>2.01.03.03.1.2</t>
  </si>
  <si>
    <t>Combustible</t>
  </si>
  <si>
    <t>2.01.03.03.1.3</t>
  </si>
  <si>
    <t>Estacionamientos</t>
  </si>
  <si>
    <t>2.01.03.03.1.4</t>
  </si>
  <si>
    <t>Uso de Vehiculo personal</t>
  </si>
  <si>
    <t>2.01.03.03.1.5</t>
  </si>
  <si>
    <t>Pasaje en Bus</t>
  </si>
  <si>
    <t>2.01.03.03.1.6</t>
  </si>
  <si>
    <t>Pasaje en tren</t>
  </si>
  <si>
    <t>2.01.03.03.1.7</t>
  </si>
  <si>
    <t>Taxi, Uber o Similar</t>
  </si>
  <si>
    <t>2.01.03.03.1.8</t>
  </si>
  <si>
    <t>Peajes</t>
  </si>
  <si>
    <t>2.01.03.03.1.9</t>
  </si>
  <si>
    <t>Traslado Terrestre Van/Taxi,etc</t>
  </si>
  <si>
    <t>2.01.03.03.2</t>
  </si>
  <si>
    <t>Transporte Aereo</t>
  </si>
  <si>
    <t>2.01.03.03.2.1</t>
  </si>
  <si>
    <t>Pasaje Aereo</t>
  </si>
  <si>
    <t>2.01.03.03.2.2</t>
  </si>
  <si>
    <t>Otros (Multas, Reemision, etc)</t>
  </si>
  <si>
    <t>2.01.03.03.2.3</t>
  </si>
  <si>
    <t>Sobre Equipaje</t>
  </si>
  <si>
    <t>2.01.03.03.2.4</t>
  </si>
  <si>
    <t>2.01.03.04</t>
  </si>
  <si>
    <t>Comunicaciones</t>
  </si>
  <si>
    <t>2.01.03.05</t>
  </si>
  <si>
    <t xml:space="preserve">Otros Servicios </t>
  </si>
  <si>
    <t>2.01.04</t>
  </si>
  <si>
    <t>Representacion</t>
  </si>
  <si>
    <t>2.01.04.01</t>
  </si>
  <si>
    <t>Alimentacion</t>
  </si>
  <si>
    <t>2.01.04.01.1</t>
  </si>
  <si>
    <t>Desayuno</t>
  </si>
  <si>
    <t>2.01.04.01.2</t>
  </si>
  <si>
    <t>Almuerzo</t>
  </si>
  <si>
    <t>2.01.04.01.3</t>
  </si>
  <si>
    <t>Cena</t>
  </si>
  <si>
    <t>2.01.04.01.4</t>
  </si>
  <si>
    <t>Comida Cambio de Directiva Sindical</t>
  </si>
  <si>
    <t>2.01.04.02</t>
  </si>
  <si>
    <t>Alojamiento</t>
  </si>
  <si>
    <t>2.01.04.03</t>
  </si>
  <si>
    <t>Otros gastos varios</t>
  </si>
  <si>
    <t>2.02</t>
  </si>
  <si>
    <t>Gastos Ordinario</t>
  </si>
  <si>
    <t>Gastos no fijos o periocidades mayores a la mensual</t>
  </si>
  <si>
    <t>2.02.01</t>
  </si>
  <si>
    <t>Licencia Software Annual</t>
  </si>
  <si>
    <t>2.02.02</t>
  </si>
  <si>
    <t>Sitio corporativo web</t>
  </si>
  <si>
    <t>2.02.03</t>
  </si>
  <si>
    <t>Compra Equipamiento Electronico</t>
  </si>
  <si>
    <t>2.02.04</t>
  </si>
  <si>
    <t>Mobiliario</t>
  </si>
  <si>
    <t>2.02.05</t>
  </si>
  <si>
    <t>Restitución Fondos Socios</t>
  </si>
  <si>
    <t>Devolucion de Fondos por cobros erroneos o duplicados, multas indevidas, etc.</t>
  </si>
  <si>
    <t>2.02.06</t>
  </si>
  <si>
    <t>Pago Bonos a Socios</t>
  </si>
  <si>
    <t>Pago de Bonos Termino Negociacion, Bonos Extraordinarios, otros Bonos</t>
  </si>
  <si>
    <t>Regalo Corporativo</t>
  </si>
  <si>
    <t>2.02.06.1</t>
  </si>
  <si>
    <t>Regalo Corportivo (Aniversario)</t>
  </si>
  <si>
    <t>2.02.06.2</t>
  </si>
  <si>
    <t>Regalo Corportivo - Extraordinario</t>
  </si>
  <si>
    <t>2.02.07</t>
  </si>
  <si>
    <t>Coronas de Caridad Condolencias</t>
  </si>
  <si>
    <t>2.02.08</t>
  </si>
  <si>
    <t>Aporte Extraordinario al Socio</t>
  </si>
  <si>
    <t>Aportes extraordinarios de ayuda en eventualidades, aprobados por comision de gastos.</t>
  </si>
  <si>
    <t>2.02.09</t>
  </si>
  <si>
    <t>Arriendo Inmuebles</t>
  </si>
  <si>
    <t>2.02.10</t>
  </si>
  <si>
    <t>2.02.11</t>
  </si>
  <si>
    <t>Banco</t>
  </si>
  <si>
    <t>3.01</t>
  </si>
  <si>
    <t>Deposito Plazo</t>
  </si>
  <si>
    <t>3.01.01</t>
  </si>
  <si>
    <t>Deposito a Plazo a 30</t>
  </si>
  <si>
    <t>3.01.02</t>
  </si>
  <si>
    <t>Deposito a Plazo a  a 60</t>
  </si>
  <si>
    <t>3.01.03</t>
  </si>
  <si>
    <t>Deposito a Plazo a  a 90 y mas</t>
  </si>
  <si>
    <t>3.02</t>
  </si>
  <si>
    <t>Inversiones Fondos Mutuos</t>
  </si>
  <si>
    <t>3.02.01</t>
  </si>
  <si>
    <t>3.02.02</t>
  </si>
  <si>
    <t>3.02.03</t>
  </si>
  <si>
    <t>3.03</t>
  </si>
  <si>
    <t>Gastos Financieros</t>
  </si>
  <si>
    <t>3.03.01</t>
  </si>
  <si>
    <t>Pago Comisiones</t>
  </si>
  <si>
    <t>3.03.02</t>
  </si>
  <si>
    <t>Pago Impuestos</t>
  </si>
  <si>
    <t>3.03.03</t>
  </si>
  <si>
    <t xml:space="preserve">Otros Pagos </t>
  </si>
  <si>
    <t>3.04</t>
  </si>
  <si>
    <t>Ganancias de Inversiones</t>
  </si>
  <si>
    <t>3.04.01</t>
  </si>
  <si>
    <t>Depositos a Plazo</t>
  </si>
  <si>
    <t>3.04.02</t>
  </si>
  <si>
    <t>Fondos Mutuos</t>
  </si>
  <si>
    <t>SubTotal</t>
  </si>
  <si>
    <t>Saldo Anterior</t>
  </si>
  <si>
    <t xml:space="preserve">Saldo </t>
  </si>
  <si>
    <t>Saldo Banco x Cartola</t>
  </si>
  <si>
    <t xml:space="preserve">Delta </t>
  </si>
  <si>
    <t>2021</t>
  </si>
  <si>
    <t>2022</t>
  </si>
  <si>
    <t>2023</t>
  </si>
  <si>
    <t>2024</t>
  </si>
  <si>
    <t>2025</t>
  </si>
  <si>
    <t>Utilidades Bancarias</t>
  </si>
  <si>
    <t>Plazo Fijo</t>
  </si>
  <si>
    <t>Fondos Mutos</t>
  </si>
  <si>
    <t>a 30</t>
  </si>
  <si>
    <t>a 60</t>
  </si>
  <si>
    <t>a 90 y mas</t>
  </si>
  <si>
    <t xml:space="preserve">Tipo </t>
  </si>
  <si>
    <t>Tasa Base 360 Dias</t>
  </si>
  <si>
    <t xml:space="preserve">Plazo </t>
  </si>
  <si>
    <t xml:space="preserve">Moneda </t>
  </si>
  <si>
    <t>Monto Inicial</t>
  </si>
  <si>
    <t>Monto Inicial Periodo</t>
  </si>
  <si>
    <t>Acumulado al Termino</t>
  </si>
  <si>
    <t>Proxima Renov</t>
  </si>
  <si>
    <t>Interes Periodo</t>
  </si>
  <si>
    <t>Intereses Acumulado</t>
  </si>
  <si>
    <t>Estado</t>
  </si>
  <si>
    <t>Renov. Automatica</t>
  </si>
  <si>
    <t>Pesos</t>
  </si>
  <si>
    <t>Rescatado</t>
  </si>
  <si>
    <t>Saldo Final Inversiones</t>
  </si>
  <si>
    <t>Num. Documento</t>
  </si>
  <si>
    <t>Fecha Documento</t>
  </si>
  <si>
    <t>Fecha Contable</t>
  </si>
  <si>
    <t>Periodo Computo</t>
  </si>
  <si>
    <t>Observaciones / Descripcion del Gasto</t>
  </si>
  <si>
    <t>Link Comprobante</t>
  </si>
  <si>
    <t>Asesoria Legal - Dic/2021</t>
  </si>
  <si>
    <t>Asesoria Legal - Ene2022</t>
  </si>
  <si>
    <t>Asesoria Legal - Feb/2022</t>
  </si>
  <si>
    <t>Asesoria Legal - Proyecto Negociacion</t>
  </si>
  <si>
    <t>Asesoria Legal - mar/2022</t>
  </si>
  <si>
    <t>Asesoria Legal - Proyecto Negociacion 2da Cuota</t>
  </si>
  <si>
    <t>Asesoria Legal - Abr/2022</t>
  </si>
  <si>
    <t>Asesoria Legal - May2022</t>
  </si>
  <si>
    <t>Asesoria Legal - Jun/2022</t>
  </si>
  <si>
    <t>Asesoria Legal - Jul/2022</t>
  </si>
  <si>
    <t>Asesoria Legal - Ago/2022</t>
  </si>
  <si>
    <r>
      <t xml:space="preserve">Asesoría Jurídica - pago correspondiente a los meses de </t>
    </r>
    <r>
      <rPr>
        <b/>
        <sz val="12"/>
        <color theme="1"/>
        <rFont val="Aptos Narrow"/>
        <family val="2"/>
        <scheme val="minor"/>
      </rPr>
      <t>septiembre,
octubre y noviembre</t>
    </r>
    <r>
      <rPr>
        <sz val="12"/>
        <color theme="1"/>
        <rFont val="Aptos Narrow"/>
        <family val="2"/>
        <scheme val="minor"/>
      </rPr>
      <t xml:space="preserve"> ( este último con saldo pendiente
por IPC), cancelados en el mes de noviembre ( día 07)
2022 (Convenio Asesoría Permanente)</t>
    </r>
  </si>
  <si>
    <t>N/A</t>
  </si>
  <si>
    <t>Asesoria Legal - mensualidades correspondientes a los meses de saldo
mes noviembre y todo mes diciembre 2022</t>
  </si>
  <si>
    <t>TRANSPORTES JOSE CARRASCO
RETAMAL E.I.R.L. - Traslado Sra Alejandra Saldivia - Los Angeles / Colbun / Santiago y Retorno</t>
  </si>
  <si>
    <t>Taxi</t>
  </si>
  <si>
    <t>Almuerzo Karim</t>
  </si>
  <si>
    <t>Varios</t>
  </si>
  <si>
    <t>Combustiple Totalizado</t>
  </si>
  <si>
    <t>Estacionamiento</t>
  </si>
  <si>
    <t>Corona Flores - Padre - Christian Padilla - CH Colbun</t>
  </si>
  <si>
    <t>Traslador Uber</t>
  </si>
  <si>
    <t>Pendiente</t>
  </si>
  <si>
    <t>Asesoria Legal - Jul/2024</t>
  </si>
  <si>
    <t xml:space="preserve">Saldos </t>
  </si>
  <si>
    <t>Descripcion</t>
  </si>
  <si>
    <t xml:space="preserve">Debe </t>
  </si>
  <si>
    <t>Haber</t>
  </si>
  <si>
    <t>Scotiabank -  981363825</t>
  </si>
  <si>
    <t>Saldo Cta Corriente Recepcion Tesoreria</t>
  </si>
  <si>
    <t>Etiquetas de fila</t>
  </si>
  <si>
    <t>Total general</t>
  </si>
  <si>
    <t>Nombre Cuenta</t>
  </si>
  <si>
    <t>Top 5 - Ingresos</t>
  </si>
  <si>
    <t>Top 5 - Egresos</t>
  </si>
  <si>
    <t xml:space="preserve">Uber Karim </t>
  </si>
  <si>
    <t>Hosting Sitio WEB Sindicato</t>
  </si>
  <si>
    <t xml:space="preserve">Pago 1er Cuota Abogados </t>
  </si>
  <si>
    <t>Pago 2da Cuota Abogados</t>
  </si>
  <si>
    <t>Se tomo a 90 dias</t>
  </si>
  <si>
    <t>2.01.01.04 - Otras Asesorias</t>
  </si>
  <si>
    <t>Abogados por Demanda Empresa Estrategica</t>
  </si>
  <si>
    <t>2.01.03.04 - Comunicaciones</t>
  </si>
  <si>
    <t>Ida y regreso DT consultas de Votaciones y estado denuncia Negociacion Colectiva</t>
  </si>
  <si>
    <t>Pago de Hosting</t>
  </si>
  <si>
    <t>Vigente</t>
  </si>
  <si>
    <t>TEF 9754511-1 Ludwig Corales M</t>
  </si>
  <si>
    <t>2.02.02 - Sitio corporativo web</t>
  </si>
  <si>
    <t>TEF 76142721-0 Gift Corp SPA</t>
  </si>
  <si>
    <t>Corona padre de Ximena Urrutia</t>
  </si>
  <si>
    <t>Noviembre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</si>
  <si>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</si>
  <si>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</si>
  <si>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</si>
  <si>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</si>
  <si>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</si>
  <si>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</si>
  <si>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</si>
  <si>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</si>
  <si>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</si>
  <si>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Diciembre</t>
  </si>
  <si>
    <t>cargos</t>
  </si>
  <si>
    <t>Error Ejercicio</t>
  </si>
  <si>
    <t>Total 2026</t>
  </si>
  <si>
    <t>ene-26</t>
  </si>
  <si>
    <t>feb-26</t>
  </si>
  <si>
    <t>mar-26</t>
  </si>
  <si>
    <t>abr-26</t>
  </si>
  <si>
    <t>may-26</t>
  </si>
  <si>
    <t>jun-26</t>
  </si>
  <si>
    <t>jul-26</t>
  </si>
  <si>
    <t>ago-26</t>
  </si>
  <si>
    <t>sept-26</t>
  </si>
  <si>
    <t>oct-26</t>
  </si>
  <si>
    <t>nov-26</t>
  </si>
  <si>
    <t>dic-26</t>
  </si>
  <si>
    <t>2.02.10.1</t>
  </si>
  <si>
    <t>2.02.10.2</t>
  </si>
  <si>
    <t>2.02.10.1 - Regalo Corportivo (Aniversario)</t>
  </si>
  <si>
    <t>nov-25</t>
  </si>
  <si>
    <t>Pago Rendicion via Concur LCORALES</t>
  </si>
  <si>
    <t>Pago rendicion concur</t>
  </si>
  <si>
    <t>Jornada Sindical Dic2025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</si>
</sst>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6" formatCode="&quot;$&quot;#,##0;[Red]&quot;$&quot;\-#,##0"/>
    <numFmt numFmtId="42" formatCode="_ &quot;$&quot;* #,##0_ ;_ &quot;$&quot;* \-#,##0_ ;_ &quot;$&quot;* &quot;-&quot;_ ;_ @_ "/>
    <numFmt numFmtId="41" formatCode="_ * #,##0_ ;_ * \-#,##0_ ;_ * &quot;-&quot;_ ;_ @_ "/>
    <numFmt numFmtId="164" formatCode="dd/mm/yyyy;@"/>
    <numFmt numFmtId="165" formatCode="mmm/yyyy"/>
    <numFmt numFmtId="166" formatCode="_(&quot;$&quot;* #,##0_);_(&quot;$&quot;* \(#,##0\);_(&quot;$&quot;* &quot;-&quot;_);_(@_)"/>
    <numFmt numFmtId="167" formatCode="&quot;$&quot;#,##0"/>
  </numFmts>
  <fonts count="55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name val="Aptos Narrow"/>
      <family val="2"/>
      <scheme val="minor"/>
    </font>
    <font>
      <b/>
      <sz val="16"/>
      <color theme="0"/>
      <name val="Courier New"/>
      <family val="1"/>
    </font>
    <font>
      <b/>
      <sz val="16"/>
      <name val="Courier New"/>
      <family val="1"/>
    </font>
    <font>
      <sz val="16"/>
      <name val="Courier New"/>
      <family val="1"/>
    </font>
    <font>
      <sz val="16"/>
      <color theme="1"/>
      <name val="Courier New"/>
      <family val="1"/>
    </font>
    <font>
      <b/>
      <sz val="16"/>
      <color theme="1"/>
      <name val="Courier New"/>
      <family val="1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24"/>
      <color theme="0"/>
      <name val="Aptos Narrow"/>
      <family val="2"/>
      <scheme val="minor"/>
    </font>
    <font>
      <sz val="14"/>
      <color theme="0"/>
      <name val="Aptos Narrow"/>
      <family val="2"/>
      <scheme val="minor"/>
    </font>
    <font>
      <sz val="16"/>
      <color theme="0"/>
      <name val="Aptos Narrow"/>
      <family val="2"/>
      <scheme val="minor"/>
    </font>
    <font>
      <i/>
      <sz val="16"/>
      <color theme="1"/>
      <name val="Courier New"/>
      <family val="1"/>
    </font>
    <font>
      <i/>
      <sz val="16"/>
      <name val="Courier New"/>
      <family val="1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i/>
      <sz val="16"/>
      <color theme="1"/>
      <name val="Courier New"/>
      <family val="1"/>
    </font>
    <font>
      <b/>
      <i/>
      <sz val="16"/>
      <name val="Courier New"/>
      <family val="1"/>
    </font>
    <font>
      <sz val="16"/>
      <color theme="0"/>
      <name val="Courier New"/>
      <family val="1"/>
    </font>
    <font>
      <sz val="16"/>
      <name val="Aptos Narrow"/>
      <family val="2"/>
      <scheme val="minor"/>
    </font>
    <font>
      <sz val="14"/>
      <name val="Aptos Narrow"/>
      <family val="2"/>
      <scheme val="minor"/>
    </font>
    <font>
      <i/>
      <sz val="12"/>
      <name val="Aptos Narrow"/>
      <family val="2"/>
      <scheme val="minor"/>
    </font>
    <font>
      <sz val="10"/>
      <color rgb="FF333333"/>
      <name val="Light"/>
    </font>
    <font>
      <sz val="10"/>
      <name val="Arial"/>
      <family val="2"/>
    </font>
    <font>
      <b/>
      <sz val="18"/>
      <color theme="0"/>
      <name val="Courier New"/>
      <family val="1"/>
    </font>
    <font>
      <b/>
      <sz val="16"/>
      <color rgb="FFFFFF00"/>
      <name val="Courier New"/>
      <family val="1"/>
    </font>
    <font>
      <b/>
      <sz val="18"/>
      <color rgb="FFFFFF00"/>
      <name val="Courier New"/>
      <family val="1"/>
    </font>
    <font>
      <sz val="18"/>
      <color rgb="FFFFFF00"/>
      <name val="Aptos Narrow"/>
      <family val="2"/>
      <scheme val="minor"/>
    </font>
    <font>
      <sz val="18"/>
      <name val="Aptos Narrow"/>
      <family val="2"/>
      <scheme val="minor"/>
    </font>
    <font>
      <i/>
      <sz val="16"/>
      <color theme="1"/>
      <name val="Courier New"/>
      <family val="3"/>
    </font>
    <font>
      <i/>
      <sz val="16"/>
      <name val="Courier New"/>
      <family val="3"/>
    </font>
    <font>
      <b/>
      <sz val="16"/>
      <color theme="1"/>
      <name val="Courier New"/>
      <family val="3"/>
    </font>
    <font>
      <b/>
      <sz val="12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18"/>
      <name val="Courier New"/>
      <family val="1"/>
    </font>
    <font>
      <i/>
      <sz val="11"/>
      <color theme="1"/>
      <name val="Aptos Narrow"/>
      <family val="2"/>
      <scheme val="minor"/>
    </font>
    <font>
      <b/>
      <sz val="18"/>
      <color theme="0"/>
      <name val="ADLaM Display"/>
    </font>
    <font>
      <b/>
      <sz val="18"/>
      <color theme="1"/>
      <name val="ADLaM Display"/>
    </font>
    <font>
      <sz val="18"/>
      <color theme="0"/>
      <name val="ADLaM Display"/>
    </font>
    <font>
      <sz val="10"/>
      <name val="Arial"/>
      <family val="2"/>
    </font>
    <font>
      <u/>
      <sz val="12"/>
      <color theme="10"/>
      <name val="Aptos Narrow"/>
      <family val="2"/>
      <scheme val="minor"/>
    </font>
    <font>
      <sz val="10"/>
      <name val="Arial"/>
      <family val="2"/>
    </font>
    <font>
      <sz val="10"/>
      <color theme="0"/>
      <name val="Light"/>
    </font>
    <font>
      <u/>
      <sz val="12"/>
      <color theme="0"/>
      <name val="Aptos Narrow"/>
      <family val="2"/>
      <scheme val="minor"/>
    </font>
    <font>
      <b/>
      <sz val="26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2"/>
      <color rgb="FFC5C8C6"/>
      <name val="Courier New"/>
      <family val="3"/>
    </font>
    <font>
      <u/>
      <sz val="12"/>
      <name val="Aptos Narrow"/>
      <family val="2"/>
      <scheme val="minor"/>
    </font>
    <font>
      <sz val="10"/>
      <name val="Light"/>
    </font>
  </fonts>
  <fills count="2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darkUp">
        <fgColor theme="2" tint="-0.24994659260841701"/>
        <bgColor theme="0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rgb="FFFF0000"/>
      </left>
      <right style="double">
        <color rgb="FFFF0000"/>
      </right>
      <top style="medium">
        <color indexed="64"/>
      </top>
      <bottom style="medium">
        <color indexed="64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double">
        <color rgb="FFFF0000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double">
        <color rgb="FFFF0000"/>
      </top>
      <bottom/>
      <diagonal/>
    </border>
    <border>
      <left/>
      <right/>
      <top/>
      <bottom style="thin">
        <color theme="4" tint="0.39997558519241921"/>
      </bottom>
      <diagonal/>
    </border>
  </borders>
  <cellStyleXfs count="13">
    <xf numFmtId="0" fontId="0" fillId="0" borderId="0"/>
    <xf numFmtId="41" fontId="13" fillId="0" borderId="0" applyFont="0" applyFill="0" applyBorder="0" applyAlignment="0" applyProtection="0"/>
    <xf numFmtId="42" fontId="13" fillId="0" borderId="0" applyFont="0" applyFill="0" applyBorder="0" applyAlignment="0" applyProtection="0"/>
    <xf numFmtId="0" fontId="29" fillId="0" borderId="0"/>
    <xf numFmtId="0" fontId="3" fillId="0" borderId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2" fillId="0" borderId="0"/>
    <xf numFmtId="0" fontId="45" fillId="0" borderId="0"/>
    <xf numFmtId="166" fontId="45" fillId="0" borderId="0" applyFont="0" applyFill="0" applyBorder="0" applyAlignment="0" applyProtection="0"/>
    <xf numFmtId="0" fontId="46" fillId="0" borderId="0" applyNumberFormat="0" applyFill="0" applyBorder="0" applyAlignment="0" applyProtection="0"/>
    <xf numFmtId="0" fontId="1" fillId="0" borderId="0"/>
    <xf numFmtId="0" fontId="47" fillId="0" borderId="0"/>
  </cellStyleXfs>
  <cellXfs count="424">
    <xf numFmtId="0" fontId="0" fillId="0" borderId="0" xfId="0"/>
    <xf numFmtId="0" fontId="6" fillId="0" borderId="0" xfId="0" applyFont="1" applyAlignment="1">
      <alignment horizontal="left"/>
    </xf>
    <xf numFmtId="0" fontId="7" fillId="0" borderId="0" xfId="0" applyFont="1"/>
    <xf numFmtId="41" fontId="0" fillId="0" borderId="0" xfId="1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top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41" fontId="0" fillId="0" borderId="0" xfId="1" applyFont="1" applyAlignment="1">
      <alignment vertical="center"/>
    </xf>
    <xf numFmtId="0" fontId="16" fillId="0" borderId="0" xfId="0" applyFont="1" applyAlignment="1">
      <alignment horizontal="left"/>
    </xf>
    <xf numFmtId="0" fontId="14" fillId="0" borderId="0" xfId="0" applyFont="1"/>
    <xf numFmtId="17" fontId="5" fillId="0" borderId="5" xfId="0" applyNumberFormat="1" applyFont="1" applyBorder="1" applyAlignment="1">
      <alignment horizontal="center" vertical="center" wrapText="1"/>
    </xf>
    <xf numFmtId="42" fontId="8" fillId="4" borderId="4" xfId="0" applyNumberFormat="1" applyFont="1" applyFill="1" applyBorder="1"/>
    <xf numFmtId="0" fontId="10" fillId="2" borderId="4" xfId="0" applyFont="1" applyFill="1" applyBorder="1" applyAlignment="1">
      <alignment horizontal="left" indent="2"/>
    </xf>
    <xf numFmtId="42" fontId="10" fillId="2" borderId="4" xfId="0" applyNumberFormat="1" applyFont="1" applyFill="1" applyBorder="1" applyAlignment="1">
      <alignment horizontal="left" indent="2"/>
    </xf>
    <xf numFmtId="0" fontId="11" fillId="2" borderId="4" xfId="0" applyFont="1" applyFill="1" applyBorder="1" applyAlignment="1">
      <alignment horizontal="left" indent="3"/>
    </xf>
    <xf numFmtId="42" fontId="11" fillId="2" borderId="4" xfId="0" applyNumberFormat="1" applyFont="1" applyFill="1" applyBorder="1" applyAlignment="1">
      <alignment horizontal="left" indent="3"/>
    </xf>
    <xf numFmtId="0" fontId="12" fillId="3" borderId="4" xfId="0" applyFont="1" applyFill="1" applyBorder="1" applyAlignment="1">
      <alignment horizontal="left" indent="2"/>
    </xf>
    <xf numFmtId="42" fontId="12" fillId="3" borderId="4" xfId="0" applyNumberFormat="1" applyFont="1" applyFill="1" applyBorder="1" applyAlignment="1">
      <alignment horizontal="left" indent="2"/>
    </xf>
    <xf numFmtId="0" fontId="18" fillId="6" borderId="4" xfId="0" applyFont="1" applyFill="1" applyBorder="1" applyAlignment="1">
      <alignment horizontal="left" indent="4"/>
    </xf>
    <xf numFmtId="42" fontId="18" fillId="6" borderId="4" xfId="0" applyNumberFormat="1" applyFont="1" applyFill="1" applyBorder="1" applyAlignment="1">
      <alignment horizontal="left" indent="2"/>
    </xf>
    <xf numFmtId="42" fontId="11" fillId="2" borderId="4" xfId="0" applyNumberFormat="1" applyFont="1" applyFill="1" applyBorder="1" applyAlignment="1">
      <alignment horizontal="left" indent="2"/>
    </xf>
    <xf numFmtId="0" fontId="11" fillId="2" borderId="4" xfId="0" applyFont="1" applyFill="1" applyBorder="1" applyAlignment="1">
      <alignment horizontal="left" indent="4"/>
    </xf>
    <xf numFmtId="0" fontId="11" fillId="2" borderId="4" xfId="0" applyFont="1" applyFill="1" applyBorder="1" applyAlignment="1">
      <alignment horizontal="left" indent="5"/>
    </xf>
    <xf numFmtId="0" fontId="11" fillId="2" borderId="4" xfId="0" applyFont="1" applyFill="1" applyBorder="1" applyAlignment="1">
      <alignment horizontal="left" indent="2"/>
    </xf>
    <xf numFmtId="42" fontId="10" fillId="2" borderId="4" xfId="0" applyNumberFormat="1" applyFont="1" applyFill="1" applyBorder="1"/>
    <xf numFmtId="42" fontId="10" fillId="2" borderId="4" xfId="0" applyNumberFormat="1" applyFont="1" applyFill="1" applyBorder="1" applyAlignment="1">
      <alignment horizontal="left" indent="3"/>
    </xf>
    <xf numFmtId="42" fontId="10" fillId="2" borderId="4" xfId="0" applyNumberFormat="1" applyFont="1" applyFill="1" applyBorder="1" applyAlignment="1">
      <alignment horizontal="left" indent="1"/>
    </xf>
    <xf numFmtId="0" fontId="8" fillId="4" borderId="9" xfId="0" quotePrefix="1" applyFont="1" applyFill="1" applyBorder="1" applyAlignment="1">
      <alignment horizontal="left"/>
    </xf>
    <xf numFmtId="0" fontId="10" fillId="2" borderId="10" xfId="0" applyFont="1" applyFill="1" applyBorder="1"/>
    <xf numFmtId="0" fontId="10" fillId="2" borderId="9" xfId="0" quotePrefix="1" applyFont="1" applyFill="1" applyBorder="1" applyAlignment="1">
      <alignment horizontal="left"/>
    </xf>
    <xf numFmtId="0" fontId="17" fillId="0" borderId="14" xfId="0" applyFont="1" applyBorder="1" applyAlignment="1">
      <alignment horizontal="center" wrapText="1"/>
    </xf>
    <xf numFmtId="0" fontId="17" fillId="0" borderId="15" xfId="0" applyFont="1" applyBorder="1" applyAlignment="1">
      <alignment horizontal="center" wrapText="1"/>
    </xf>
    <xf numFmtId="0" fontId="17" fillId="0" borderId="16" xfId="0" applyFont="1" applyBorder="1" applyAlignment="1">
      <alignment horizontal="center" wrapText="1"/>
    </xf>
    <xf numFmtId="0" fontId="8" fillId="4" borderId="10" xfId="0" applyFont="1" applyFill="1" applyBorder="1"/>
    <xf numFmtId="0" fontId="11" fillId="2" borderId="9" xfId="0" quotePrefix="1" applyFont="1" applyFill="1" applyBorder="1" applyAlignment="1">
      <alignment horizontal="left"/>
    </xf>
    <xf numFmtId="0" fontId="11" fillId="2" borderId="10" xfId="0" applyFont="1" applyFill="1" applyBorder="1"/>
    <xf numFmtId="0" fontId="12" fillId="3" borderId="9" xfId="0" quotePrefix="1" applyFont="1" applyFill="1" applyBorder="1" applyAlignment="1">
      <alignment horizontal="left"/>
    </xf>
    <xf numFmtId="0" fontId="12" fillId="3" borderId="10" xfId="0" applyFont="1" applyFill="1" applyBorder="1"/>
    <xf numFmtId="0" fontId="18" fillId="6" borderId="9" xfId="0" quotePrefix="1" applyFont="1" applyFill="1" applyBorder="1" applyAlignment="1">
      <alignment horizontal="left"/>
    </xf>
    <xf numFmtId="0" fontId="18" fillId="6" borderId="10" xfId="0" applyFont="1" applyFill="1" applyBorder="1"/>
    <xf numFmtId="41" fontId="8" fillId="4" borderId="9" xfId="1" quotePrefix="1" applyFont="1" applyFill="1" applyBorder="1" applyAlignment="1">
      <alignment horizontal="left"/>
    </xf>
    <xf numFmtId="41" fontId="19" fillId="6" borderId="9" xfId="1" applyFont="1" applyFill="1" applyBorder="1"/>
    <xf numFmtId="41" fontId="12" fillId="3" borderId="9" xfId="1" applyFont="1" applyFill="1" applyBorder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right"/>
    </xf>
    <xf numFmtId="17" fontId="20" fillId="7" borderId="5" xfId="0" applyNumberFormat="1" applyFont="1" applyFill="1" applyBorder="1" applyAlignment="1">
      <alignment horizontal="center" vertical="center" wrapText="1"/>
    </xf>
    <xf numFmtId="17" fontId="20" fillId="7" borderId="6" xfId="0" applyNumberFormat="1" applyFont="1" applyFill="1" applyBorder="1" applyAlignment="1">
      <alignment horizontal="center" vertical="center" wrapText="1"/>
    </xf>
    <xf numFmtId="41" fontId="10" fillId="2" borderId="18" xfId="1" applyFont="1" applyFill="1" applyBorder="1"/>
    <xf numFmtId="0" fontId="12" fillId="5" borderId="9" xfId="0" quotePrefix="1" applyFont="1" applyFill="1" applyBorder="1" applyAlignment="1">
      <alignment horizontal="left"/>
    </xf>
    <xf numFmtId="0" fontId="12" fillId="5" borderId="4" xfId="0" applyFont="1" applyFill="1" applyBorder="1" applyAlignment="1">
      <alignment horizontal="left" indent="1"/>
    </xf>
    <xf numFmtId="42" fontId="12" fillId="5" borderId="4" xfId="0" applyNumberFormat="1" applyFont="1" applyFill="1" applyBorder="1" applyAlignment="1">
      <alignment horizontal="left" indent="1"/>
    </xf>
    <xf numFmtId="0" fontId="12" fillId="5" borderId="10" xfId="0" applyFont="1" applyFill="1" applyBorder="1"/>
    <xf numFmtId="41" fontId="12" fillId="5" borderId="9" xfId="1" applyFont="1" applyFill="1" applyBorder="1"/>
    <xf numFmtId="41" fontId="11" fillId="5" borderId="9" xfId="1" applyFont="1" applyFill="1" applyBorder="1"/>
    <xf numFmtId="42" fontId="12" fillId="5" borderId="4" xfId="0" applyNumberFormat="1" applyFont="1" applyFill="1" applyBorder="1"/>
    <xf numFmtId="41" fontId="12" fillId="5" borderId="9" xfId="1" quotePrefix="1" applyFont="1" applyFill="1" applyBorder="1" applyAlignment="1">
      <alignment horizontal="left"/>
    </xf>
    <xf numFmtId="0" fontId="11" fillId="2" borderId="4" xfId="0" applyFont="1" applyFill="1" applyBorder="1" applyAlignment="1">
      <alignment horizontal="left" indent="7"/>
    </xf>
    <xf numFmtId="0" fontId="22" fillId="6" borderId="9" xfId="0" quotePrefix="1" applyFont="1" applyFill="1" applyBorder="1" applyAlignment="1">
      <alignment horizontal="left"/>
    </xf>
    <xf numFmtId="0" fontId="22" fillId="6" borderId="4" xfId="0" applyFont="1" applyFill="1" applyBorder="1" applyAlignment="1">
      <alignment horizontal="left" indent="3"/>
    </xf>
    <xf numFmtId="42" fontId="22" fillId="6" borderId="4" xfId="0" applyNumberFormat="1" applyFont="1" applyFill="1" applyBorder="1" applyAlignment="1">
      <alignment horizontal="left" indent="2"/>
    </xf>
    <xf numFmtId="0" fontId="22" fillId="6" borderId="10" xfId="0" applyFont="1" applyFill="1" applyBorder="1"/>
    <xf numFmtId="41" fontId="23" fillId="6" borderId="9" xfId="1" applyFont="1" applyFill="1" applyBorder="1"/>
    <xf numFmtId="0" fontId="22" fillId="9" borderId="9" xfId="0" quotePrefix="1" applyFont="1" applyFill="1" applyBorder="1" applyAlignment="1">
      <alignment horizontal="left"/>
    </xf>
    <xf numFmtId="0" fontId="22" fillId="9" borderId="4" xfId="0" applyFont="1" applyFill="1" applyBorder="1" applyAlignment="1">
      <alignment horizontal="left" indent="5"/>
    </xf>
    <xf numFmtId="42" fontId="22" fillId="9" borderId="4" xfId="0" applyNumberFormat="1" applyFont="1" applyFill="1" applyBorder="1" applyAlignment="1">
      <alignment horizontal="left" indent="2"/>
    </xf>
    <xf numFmtId="0" fontId="22" fillId="9" borderId="10" xfId="0" applyFont="1" applyFill="1" applyBorder="1"/>
    <xf numFmtId="41" fontId="22" fillId="9" borderId="18" xfId="1" applyFont="1" applyFill="1" applyBorder="1"/>
    <xf numFmtId="41" fontId="23" fillId="9" borderId="18" xfId="1" applyFont="1" applyFill="1" applyBorder="1"/>
    <xf numFmtId="0" fontId="22" fillId="9" borderId="4" xfId="0" applyFont="1" applyFill="1" applyBorder="1" applyAlignment="1">
      <alignment horizontal="left" indent="3"/>
    </xf>
    <xf numFmtId="0" fontId="24" fillId="10" borderId="9" xfId="0" quotePrefix="1" applyFont="1" applyFill="1" applyBorder="1" applyAlignment="1">
      <alignment horizontal="left"/>
    </xf>
    <xf numFmtId="0" fontId="24" fillId="10" borderId="4" xfId="0" applyFont="1" applyFill="1" applyBorder="1" applyAlignment="1">
      <alignment horizontal="left" indent="3"/>
    </xf>
    <xf numFmtId="42" fontId="24" fillId="10" borderId="4" xfId="0" applyNumberFormat="1" applyFont="1" applyFill="1" applyBorder="1" applyAlignment="1">
      <alignment horizontal="left" indent="2"/>
    </xf>
    <xf numFmtId="0" fontId="24" fillId="10" borderId="10" xfId="0" applyFont="1" applyFill="1" applyBorder="1"/>
    <xf numFmtId="41" fontId="24" fillId="10" borderId="18" xfId="1" applyFont="1" applyFill="1" applyBorder="1"/>
    <xf numFmtId="0" fontId="25" fillId="0" borderId="0" xfId="0" applyFont="1" applyAlignment="1">
      <alignment horizontal="center" wrapText="1"/>
    </xf>
    <xf numFmtId="0" fontId="26" fillId="0" borderId="0" xfId="0" applyFont="1"/>
    <xf numFmtId="0" fontId="27" fillId="0" borderId="0" xfId="0" applyFont="1"/>
    <xf numFmtId="0" fontId="0" fillId="12" borderId="0" xfId="0" applyFill="1" applyAlignment="1">
      <alignment horizontal="center" vertical="center"/>
    </xf>
    <xf numFmtId="14" fontId="0" fillId="12" borderId="0" xfId="0" applyNumberFormat="1" applyFill="1" applyAlignment="1">
      <alignment vertical="center"/>
    </xf>
    <xf numFmtId="14" fontId="0" fillId="12" borderId="0" xfId="0" applyNumberFormat="1" applyFill="1" applyAlignment="1">
      <alignment horizontal="right" vertical="center"/>
    </xf>
    <xf numFmtId="0" fontId="0" fillId="12" borderId="0" xfId="1" applyNumberFormat="1" applyFont="1" applyFill="1" applyAlignment="1">
      <alignment horizontal="center" vertical="center"/>
    </xf>
    <xf numFmtId="0" fontId="0" fillId="12" borderId="0" xfId="0" applyFill="1" applyAlignment="1">
      <alignment vertical="center"/>
    </xf>
    <xf numFmtId="41" fontId="0" fillId="12" borderId="0" xfId="1" applyFont="1" applyFill="1" applyAlignment="1">
      <alignment vertical="center"/>
    </xf>
    <xf numFmtId="0" fontId="0" fillId="12" borderId="0" xfId="0" applyFill="1"/>
    <xf numFmtId="0" fontId="0" fillId="12" borderId="0" xfId="0" applyFill="1" applyAlignment="1">
      <alignment vertical="top" wrapText="1"/>
    </xf>
    <xf numFmtId="0" fontId="0" fillId="12" borderId="0" xfId="0" applyFill="1" applyAlignment="1">
      <alignment wrapText="1"/>
    </xf>
    <xf numFmtId="14" fontId="0" fillId="0" borderId="0" xfId="0" applyNumberFormat="1"/>
    <xf numFmtId="42" fontId="0" fillId="0" borderId="0" xfId="2" applyFont="1"/>
    <xf numFmtId="0" fontId="0" fillId="13" borderId="0" xfId="0" applyFill="1"/>
    <xf numFmtId="0" fontId="0" fillId="0" borderId="20" xfId="0" applyBorder="1" applyAlignment="1">
      <alignment horizontal="center" vertical="center"/>
    </xf>
    <xf numFmtId="0" fontId="0" fillId="13" borderId="0" xfId="0" applyFill="1" applyAlignment="1">
      <alignment horizontal="center" vertical="center"/>
    </xf>
    <xf numFmtId="14" fontId="0" fillId="13" borderId="0" xfId="0" applyNumberFormat="1" applyFill="1" applyAlignment="1">
      <alignment vertical="center"/>
    </xf>
    <xf numFmtId="14" fontId="0" fillId="13" borderId="0" xfId="0" applyNumberFormat="1" applyFill="1" applyAlignment="1">
      <alignment horizontal="right" vertical="center"/>
    </xf>
    <xf numFmtId="0" fontId="0" fillId="13" borderId="0" xfId="0" applyFill="1" applyAlignment="1">
      <alignment vertical="center"/>
    </xf>
    <xf numFmtId="41" fontId="0" fillId="13" borderId="0" xfId="1" applyFont="1" applyFill="1" applyAlignment="1">
      <alignment vertical="center"/>
    </xf>
    <xf numFmtId="42" fontId="0" fillId="0" borderId="0" xfId="2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1" fontId="0" fillId="0" borderId="0" xfId="1" applyFont="1" applyAlignment="1">
      <alignment horizontal="center" vertical="center" wrapText="1"/>
    </xf>
    <xf numFmtId="42" fontId="0" fillId="0" borderId="0" xfId="0" applyNumberFormat="1"/>
    <xf numFmtId="17" fontId="17" fillId="16" borderId="6" xfId="0" applyNumberFormat="1" applyFont="1" applyFill="1" applyBorder="1" applyAlignment="1">
      <alignment horizontal="center" wrapText="1"/>
    </xf>
    <xf numFmtId="0" fontId="7" fillId="2" borderId="0" xfId="0" applyFont="1" applyFill="1"/>
    <xf numFmtId="0" fontId="10" fillId="2" borderId="4" xfId="0" applyFont="1" applyFill="1" applyBorder="1" applyAlignment="1">
      <alignment horizontal="left" indent="3"/>
    </xf>
    <xf numFmtId="17" fontId="17" fillId="8" borderId="5" xfId="0" applyNumberFormat="1" applyFont="1" applyFill="1" applyBorder="1" applyAlignment="1">
      <alignment horizontal="center" vertical="center" wrapText="1"/>
    </xf>
    <xf numFmtId="17" fontId="17" fillId="0" borderId="5" xfId="0" applyNumberFormat="1" applyFont="1" applyBorder="1" applyAlignment="1">
      <alignment horizontal="center" vertical="center" wrapText="1"/>
    </xf>
    <xf numFmtId="0" fontId="33" fillId="15" borderId="0" xfId="0" applyFont="1" applyFill="1"/>
    <xf numFmtId="0" fontId="34" fillId="11" borderId="0" xfId="0" applyFont="1" applyFill="1"/>
    <xf numFmtId="0" fontId="31" fillId="2" borderId="0" xfId="0" quotePrefix="1" applyFont="1" applyFill="1" applyAlignment="1">
      <alignment horizontal="left"/>
    </xf>
    <xf numFmtId="42" fontId="31" fillId="2" borderId="0" xfId="0" applyNumberFormat="1" applyFont="1" applyFill="1"/>
    <xf numFmtId="0" fontId="31" fillId="2" borderId="0" xfId="0" applyFont="1" applyFill="1"/>
    <xf numFmtId="41" fontId="9" fillId="2" borderId="0" xfId="1" quotePrefix="1" applyFont="1" applyFill="1" applyBorder="1" applyAlignment="1">
      <alignment horizontal="left"/>
    </xf>
    <xf numFmtId="0" fontId="33" fillId="2" borderId="0" xfId="0" applyFont="1" applyFill="1"/>
    <xf numFmtId="0" fontId="7" fillId="0" borderId="0" xfId="0" applyFont="1" applyAlignment="1">
      <alignment vertical="center"/>
    </xf>
    <xf numFmtId="0" fontId="30" fillId="11" borderId="19" xfId="0" quotePrefix="1" applyFont="1" applyFill="1" applyBorder="1" applyAlignment="1">
      <alignment horizontal="left"/>
    </xf>
    <xf numFmtId="42" fontId="30" fillId="11" borderId="21" xfId="0" applyNumberFormat="1" applyFont="1" applyFill="1" applyBorder="1"/>
    <xf numFmtId="0" fontId="30" fillId="11" borderId="22" xfId="0" applyFont="1" applyFill="1" applyBorder="1"/>
    <xf numFmtId="41" fontId="30" fillId="11" borderId="19" xfId="1" quotePrefix="1" applyFont="1" applyFill="1" applyBorder="1" applyAlignment="1">
      <alignment horizontal="left"/>
    </xf>
    <xf numFmtId="0" fontId="9" fillId="2" borderId="0" xfId="0" quotePrefix="1" applyFont="1" applyFill="1" applyAlignment="1">
      <alignment horizontal="left"/>
    </xf>
    <xf numFmtId="42" fontId="9" fillId="2" borderId="0" xfId="0" applyNumberFormat="1" applyFont="1" applyFill="1"/>
    <xf numFmtId="0" fontId="9" fillId="2" borderId="0" xfId="0" applyFont="1" applyFill="1"/>
    <xf numFmtId="0" fontId="34" fillId="2" borderId="0" xfId="0" applyFont="1" applyFill="1"/>
    <xf numFmtId="0" fontId="32" fillId="15" borderId="23" xfId="0" quotePrefix="1" applyFont="1" applyFill="1" applyBorder="1" applyAlignment="1">
      <alignment horizontal="left"/>
    </xf>
    <xf numFmtId="42" fontId="32" fillId="15" borderId="24" xfId="0" applyNumberFormat="1" applyFont="1" applyFill="1" applyBorder="1"/>
    <xf numFmtId="0" fontId="32" fillId="15" borderId="25" xfId="0" applyFont="1" applyFill="1" applyBorder="1"/>
    <xf numFmtId="41" fontId="32" fillId="15" borderId="23" xfId="1" quotePrefix="1" applyFont="1" applyFill="1" applyBorder="1" applyAlignment="1">
      <alignment horizontal="left"/>
    </xf>
    <xf numFmtId="0" fontId="30" fillId="18" borderId="23" xfId="0" quotePrefix="1" applyFont="1" applyFill="1" applyBorder="1" applyAlignment="1">
      <alignment horizontal="left" vertical="center"/>
    </xf>
    <xf numFmtId="42" fontId="30" fillId="18" borderId="24" xfId="0" applyNumberFormat="1" applyFont="1" applyFill="1" applyBorder="1" applyAlignment="1">
      <alignment vertical="center"/>
    </xf>
    <xf numFmtId="0" fontId="30" fillId="18" borderId="25" xfId="0" applyFont="1" applyFill="1" applyBorder="1" applyAlignment="1">
      <alignment vertical="center"/>
    </xf>
    <xf numFmtId="41" fontId="30" fillId="18" borderId="23" xfId="1" quotePrefix="1" applyFont="1" applyFill="1" applyBorder="1" applyAlignment="1">
      <alignment horizontal="left" vertical="center"/>
    </xf>
    <xf numFmtId="0" fontId="35" fillId="2" borderId="9" xfId="0" quotePrefix="1" applyFont="1" applyFill="1" applyBorder="1" applyAlignment="1">
      <alignment horizontal="left"/>
    </xf>
    <xf numFmtId="0" fontId="35" fillId="2" borderId="4" xfId="0" applyFont="1" applyFill="1" applyBorder="1" applyAlignment="1">
      <alignment horizontal="left" indent="4"/>
    </xf>
    <xf numFmtId="42" fontId="35" fillId="2" borderId="4" xfId="0" applyNumberFormat="1" applyFont="1" applyFill="1" applyBorder="1" applyAlignment="1">
      <alignment horizontal="left" indent="2"/>
    </xf>
    <xf numFmtId="0" fontId="35" fillId="2" borderId="10" xfId="0" applyFont="1" applyFill="1" applyBorder="1"/>
    <xf numFmtId="41" fontId="36" fillId="2" borderId="18" xfId="1" applyFont="1" applyFill="1" applyBorder="1"/>
    <xf numFmtId="0" fontId="36" fillId="2" borderId="9" xfId="0" quotePrefix="1" applyFont="1" applyFill="1" applyBorder="1" applyAlignment="1">
      <alignment horizontal="left"/>
    </xf>
    <xf numFmtId="42" fontId="36" fillId="2" borderId="4" xfId="0" applyNumberFormat="1" applyFont="1" applyFill="1" applyBorder="1" applyAlignment="1">
      <alignment horizontal="left" indent="2"/>
    </xf>
    <xf numFmtId="42" fontId="36" fillId="2" borderId="4" xfId="0" applyNumberFormat="1" applyFont="1" applyFill="1" applyBorder="1"/>
    <xf numFmtId="0" fontId="36" fillId="2" borderId="10" xfId="0" applyFont="1" applyFill="1" applyBorder="1"/>
    <xf numFmtId="0" fontId="36" fillId="2" borderId="4" xfId="0" applyFont="1" applyFill="1" applyBorder="1" applyAlignment="1">
      <alignment horizontal="left" indent="1"/>
    </xf>
    <xf numFmtId="42" fontId="36" fillId="2" borderId="4" xfId="0" applyNumberFormat="1" applyFont="1" applyFill="1" applyBorder="1" applyAlignment="1">
      <alignment horizontal="left" indent="1"/>
    </xf>
    <xf numFmtId="42" fontId="36" fillId="2" borderId="4" xfId="0" applyNumberFormat="1" applyFont="1" applyFill="1" applyBorder="1" applyAlignment="1">
      <alignment horizontal="left" indent="3"/>
    </xf>
    <xf numFmtId="0" fontId="30" fillId="16" borderId="23" xfId="0" quotePrefix="1" applyFont="1" applyFill="1" applyBorder="1" applyAlignment="1">
      <alignment horizontal="left" vertical="center"/>
    </xf>
    <xf numFmtId="42" fontId="30" fillId="16" borderId="24" xfId="0" applyNumberFormat="1" applyFont="1" applyFill="1" applyBorder="1" applyAlignment="1">
      <alignment vertical="center"/>
    </xf>
    <xf numFmtId="0" fontId="30" fillId="16" borderId="25" xfId="0" applyFont="1" applyFill="1" applyBorder="1" applyAlignment="1">
      <alignment vertical="center"/>
    </xf>
    <xf numFmtId="41" fontId="30" fillId="16" borderId="23" xfId="1" quotePrefix="1" applyFont="1" applyFill="1" applyBorder="1" applyAlignment="1">
      <alignment horizontal="left" vertical="center"/>
    </xf>
    <xf numFmtId="0" fontId="7" fillId="16" borderId="0" xfId="0" applyFont="1" applyFill="1" applyAlignment="1">
      <alignment vertical="center"/>
    </xf>
    <xf numFmtId="0" fontId="15" fillId="4" borderId="2" xfId="0" applyFont="1" applyFill="1" applyBorder="1" applyAlignment="1">
      <alignment horizontal="center"/>
    </xf>
    <xf numFmtId="0" fontId="15" fillId="16" borderId="2" xfId="0" applyFont="1" applyFill="1" applyBorder="1" applyAlignment="1">
      <alignment horizontal="center"/>
    </xf>
    <xf numFmtId="0" fontId="0" fillId="9" borderId="0" xfId="0" applyFill="1"/>
    <xf numFmtId="1" fontId="5" fillId="0" borderId="5" xfId="1" applyNumberFormat="1" applyFont="1" applyBorder="1" applyAlignment="1">
      <alignment horizontal="center" vertical="center" wrapText="1"/>
    </xf>
    <xf numFmtId="0" fontId="12" fillId="3" borderId="19" xfId="0" quotePrefix="1" applyFont="1" applyFill="1" applyBorder="1" applyAlignment="1">
      <alignment horizontal="left"/>
    </xf>
    <xf numFmtId="0" fontId="12" fillId="3" borderId="21" xfId="0" applyFont="1" applyFill="1" applyBorder="1" applyAlignment="1">
      <alignment horizontal="left" indent="2"/>
    </xf>
    <xf numFmtId="42" fontId="12" fillId="3" borderId="21" xfId="0" applyNumberFormat="1" applyFont="1" applyFill="1" applyBorder="1" applyAlignment="1">
      <alignment horizontal="left" indent="2"/>
    </xf>
    <xf numFmtId="0" fontId="12" fillId="3" borderId="22" xfId="0" applyFont="1" applyFill="1" applyBorder="1"/>
    <xf numFmtId="41" fontId="12" fillId="3" borderId="19" xfId="1" applyFont="1" applyFill="1" applyBorder="1"/>
    <xf numFmtId="0" fontId="11" fillId="2" borderId="7" xfId="0" quotePrefix="1" applyFont="1" applyFill="1" applyBorder="1" applyAlignment="1">
      <alignment horizontal="left"/>
    </xf>
    <xf numFmtId="0" fontId="11" fillId="2" borderId="5" xfId="0" applyFont="1" applyFill="1" applyBorder="1" applyAlignment="1">
      <alignment horizontal="left" indent="2"/>
    </xf>
    <xf numFmtId="42" fontId="11" fillId="2" borderId="5" xfId="0" applyNumberFormat="1" applyFont="1" applyFill="1" applyBorder="1" applyAlignment="1">
      <alignment horizontal="left" indent="2"/>
    </xf>
    <xf numFmtId="0" fontId="11" fillId="2" borderId="8" xfId="0" applyFont="1" applyFill="1" applyBorder="1"/>
    <xf numFmtId="41" fontId="10" fillId="2" borderId="26" xfId="1" applyFont="1" applyFill="1" applyBorder="1"/>
    <xf numFmtId="0" fontId="35" fillId="2" borderId="14" xfId="0" quotePrefix="1" applyFont="1" applyFill="1" applyBorder="1" applyAlignment="1">
      <alignment horizontal="left"/>
    </xf>
    <xf numFmtId="0" fontId="35" fillId="2" borderId="15" xfId="0" applyFont="1" applyFill="1" applyBorder="1" applyAlignment="1">
      <alignment horizontal="left" indent="4"/>
    </xf>
    <xf numFmtId="42" fontId="35" fillId="2" borderId="15" xfId="0" applyNumberFormat="1" applyFont="1" applyFill="1" applyBorder="1" applyAlignment="1">
      <alignment horizontal="left" indent="2"/>
    </xf>
    <xf numFmtId="0" fontId="35" fillId="2" borderId="16" xfId="0" applyFont="1" applyFill="1" applyBorder="1"/>
    <xf numFmtId="41" fontId="10" fillId="2" borderId="17" xfId="1" applyFont="1" applyFill="1" applyBorder="1"/>
    <xf numFmtId="0" fontId="35" fillId="2" borderId="11" xfId="0" quotePrefix="1" applyFont="1" applyFill="1" applyBorder="1" applyAlignment="1">
      <alignment horizontal="left"/>
    </xf>
    <xf numFmtId="0" fontId="35" fillId="2" borderId="12" xfId="0" applyFont="1" applyFill="1" applyBorder="1" applyAlignment="1">
      <alignment horizontal="left" indent="4"/>
    </xf>
    <xf numFmtId="42" fontId="35" fillId="2" borderId="12" xfId="0" applyNumberFormat="1" applyFont="1" applyFill="1" applyBorder="1" applyAlignment="1">
      <alignment horizontal="left" indent="2"/>
    </xf>
    <xf numFmtId="0" fontId="35" fillId="2" borderId="13" xfId="0" applyFont="1" applyFill="1" applyBorder="1"/>
    <xf numFmtId="41" fontId="10" fillId="2" borderId="27" xfId="1" applyFont="1" applyFill="1" applyBorder="1"/>
    <xf numFmtId="0" fontId="11" fillId="19" borderId="9" xfId="0" quotePrefix="1" applyFont="1" applyFill="1" applyBorder="1" applyAlignment="1">
      <alignment horizontal="left"/>
    </xf>
    <xf numFmtId="0" fontId="11" fillId="19" borderId="4" xfId="0" applyFont="1" applyFill="1" applyBorder="1" applyAlignment="1">
      <alignment horizontal="left" indent="7"/>
    </xf>
    <xf numFmtId="42" fontId="11" fillId="19" borderId="4" xfId="0" applyNumberFormat="1" applyFont="1" applyFill="1" applyBorder="1" applyAlignment="1">
      <alignment horizontal="left" indent="2"/>
    </xf>
    <xf numFmtId="0" fontId="11" fillId="19" borderId="10" xfId="0" applyFont="1" applyFill="1" applyBorder="1"/>
    <xf numFmtId="41" fontId="10" fillId="19" borderId="18" xfId="1" applyFont="1" applyFill="1" applyBorder="1"/>
    <xf numFmtId="0" fontId="35" fillId="19" borderId="9" xfId="0" quotePrefix="1" applyFont="1" applyFill="1" applyBorder="1" applyAlignment="1">
      <alignment horizontal="left"/>
    </xf>
    <xf numFmtId="0" fontId="35" fillId="19" borderId="4" xfId="0" applyFont="1" applyFill="1" applyBorder="1" applyAlignment="1">
      <alignment horizontal="left" indent="5"/>
    </xf>
    <xf numFmtId="42" fontId="35" fillId="19" borderId="4" xfId="0" applyNumberFormat="1" applyFont="1" applyFill="1" applyBorder="1" applyAlignment="1">
      <alignment horizontal="left" indent="2"/>
    </xf>
    <xf numFmtId="0" fontId="35" fillId="19" borderId="10" xfId="0" applyFont="1" applyFill="1" applyBorder="1"/>
    <xf numFmtId="41" fontId="36" fillId="19" borderId="18" xfId="1" applyFont="1" applyFill="1" applyBorder="1"/>
    <xf numFmtId="0" fontId="11" fillId="17" borderId="4" xfId="0" applyFont="1" applyFill="1" applyBorder="1" applyAlignment="1">
      <alignment horizontal="left" indent="6"/>
    </xf>
    <xf numFmtId="42" fontId="11" fillId="17" borderId="4" xfId="0" applyNumberFormat="1" applyFont="1" applyFill="1" applyBorder="1" applyAlignment="1">
      <alignment horizontal="left" indent="2"/>
    </xf>
    <xf numFmtId="0" fontId="11" fillId="17" borderId="10" xfId="0" applyFont="1" applyFill="1" applyBorder="1"/>
    <xf numFmtId="41" fontId="10" fillId="17" borderId="18" xfId="1" applyFont="1" applyFill="1" applyBorder="1"/>
    <xf numFmtId="0" fontId="11" fillId="17" borderId="9" xfId="0" quotePrefix="1" applyFont="1" applyFill="1" applyBorder="1" applyAlignment="1">
      <alignment horizontal="left" indent="1"/>
    </xf>
    <xf numFmtId="0" fontId="37" fillId="5" borderId="9" xfId="0" quotePrefix="1" applyFont="1" applyFill="1" applyBorder="1" applyAlignment="1">
      <alignment horizontal="left"/>
    </xf>
    <xf numFmtId="0" fontId="37" fillId="5" borderId="4" xfId="0" applyFont="1" applyFill="1" applyBorder="1" applyAlignment="1">
      <alignment horizontal="left" indent="1"/>
    </xf>
    <xf numFmtId="42" fontId="37" fillId="5" borderId="4" xfId="0" applyNumberFormat="1" applyFont="1" applyFill="1" applyBorder="1" applyAlignment="1">
      <alignment horizontal="left" indent="1"/>
    </xf>
    <xf numFmtId="0" fontId="37" fillId="5" borderId="10" xfId="0" applyFont="1" applyFill="1" applyBorder="1"/>
    <xf numFmtId="41" fontId="37" fillId="5" borderId="9" xfId="1" applyFont="1" applyFill="1" applyBorder="1"/>
    <xf numFmtId="42" fontId="12" fillId="5" borderId="4" xfId="0" applyNumberFormat="1" applyFont="1" applyFill="1" applyBorder="1" applyAlignment="1">
      <alignment horizontal="left"/>
    </xf>
    <xf numFmtId="17" fontId="17" fillId="0" borderId="6" xfId="0" applyNumberFormat="1" applyFont="1" applyBorder="1" applyAlignment="1">
      <alignment horizontal="center" vertical="center" wrapText="1"/>
    </xf>
    <xf numFmtId="41" fontId="32" fillId="15" borderId="20" xfId="1" quotePrefix="1" applyFont="1" applyFill="1" applyBorder="1" applyAlignment="1">
      <alignment horizontal="left"/>
    </xf>
    <xf numFmtId="41" fontId="30" fillId="16" borderId="20" xfId="1" quotePrefix="1" applyFont="1" applyFill="1" applyBorder="1" applyAlignment="1">
      <alignment horizontal="left" vertical="center"/>
    </xf>
    <xf numFmtId="17" fontId="17" fillId="16" borderId="28" xfId="0" applyNumberFormat="1" applyFont="1" applyFill="1" applyBorder="1" applyAlignment="1">
      <alignment horizontal="center" wrapText="1"/>
    </xf>
    <xf numFmtId="41" fontId="32" fillId="15" borderId="29" xfId="1" quotePrefix="1" applyFont="1" applyFill="1" applyBorder="1" applyAlignment="1">
      <alignment horizontal="left"/>
    </xf>
    <xf numFmtId="41" fontId="30" fillId="16" borderId="29" xfId="1" quotePrefix="1" applyFont="1" applyFill="1" applyBorder="1" applyAlignment="1">
      <alignment horizontal="left" vertical="center"/>
    </xf>
    <xf numFmtId="17" fontId="5" fillId="0" borderId="6" xfId="0" applyNumberFormat="1" applyFont="1" applyBorder="1" applyAlignment="1">
      <alignment horizontal="center" vertical="center" wrapText="1"/>
    </xf>
    <xf numFmtId="17" fontId="20" fillId="7" borderId="30" xfId="0" applyNumberFormat="1" applyFont="1" applyFill="1" applyBorder="1" applyAlignment="1">
      <alignment horizontal="center" vertical="center" wrapText="1"/>
    </xf>
    <xf numFmtId="41" fontId="32" fillId="15" borderId="31" xfId="1" quotePrefix="1" applyFont="1" applyFill="1" applyBorder="1" applyAlignment="1">
      <alignment horizontal="left"/>
    </xf>
    <xf numFmtId="41" fontId="30" fillId="16" borderId="31" xfId="1" quotePrefix="1" applyFont="1" applyFill="1" applyBorder="1" applyAlignment="1">
      <alignment horizontal="left" vertical="center"/>
    </xf>
    <xf numFmtId="17" fontId="17" fillId="8" borderId="30" xfId="0" applyNumberFormat="1" applyFont="1" applyFill="1" applyBorder="1" applyAlignment="1">
      <alignment horizontal="center" vertical="center" wrapText="1"/>
    </xf>
    <xf numFmtId="17" fontId="17" fillId="8" borderId="6" xfId="0" applyNumberFormat="1" applyFont="1" applyFill="1" applyBorder="1" applyAlignment="1">
      <alignment horizontal="center" vertical="center" wrapText="1"/>
    </xf>
    <xf numFmtId="17" fontId="17" fillId="0" borderId="30" xfId="0" applyNumberFormat="1" applyFont="1" applyBorder="1" applyAlignment="1">
      <alignment horizontal="center" vertical="center" wrapText="1"/>
    </xf>
    <xf numFmtId="17" fontId="17" fillId="16" borderId="32" xfId="0" applyNumberFormat="1" applyFont="1" applyFill="1" applyBorder="1" applyAlignment="1">
      <alignment horizontal="center" wrapText="1"/>
    </xf>
    <xf numFmtId="0" fontId="11" fillId="2" borderId="9" xfId="0" quotePrefix="1" applyFont="1" applyFill="1" applyBorder="1" applyAlignment="1">
      <alignment horizontal="left" indent="2"/>
    </xf>
    <xf numFmtId="42" fontId="11" fillId="2" borderId="4" xfId="0" applyNumberFormat="1" applyFont="1" applyFill="1" applyBorder="1" applyAlignment="1">
      <alignment horizontal="left" indent="4"/>
    </xf>
    <xf numFmtId="0" fontId="11" fillId="2" borderId="10" xfId="0" applyFont="1" applyFill="1" applyBorder="1" applyAlignment="1">
      <alignment horizontal="left" indent="2"/>
    </xf>
    <xf numFmtId="41" fontId="10" fillId="2" borderId="18" xfId="1" applyFont="1" applyFill="1" applyBorder="1" applyAlignment="1">
      <alignment horizontal="left" indent="2"/>
    </xf>
    <xf numFmtId="0" fontId="22" fillId="9" borderId="9" xfId="0" quotePrefix="1" applyFont="1" applyFill="1" applyBorder="1" applyAlignment="1">
      <alignment horizontal="left" indent="2"/>
    </xf>
    <xf numFmtId="42" fontId="22" fillId="9" borderId="4" xfId="0" applyNumberFormat="1" applyFont="1" applyFill="1" applyBorder="1" applyAlignment="1">
      <alignment horizontal="left" indent="4"/>
    </xf>
    <xf numFmtId="0" fontId="22" fillId="9" borderId="10" xfId="0" applyFont="1" applyFill="1" applyBorder="1" applyAlignment="1">
      <alignment horizontal="left" indent="2"/>
    </xf>
    <xf numFmtId="41" fontId="22" fillId="9" borderId="18" xfId="1" applyFont="1" applyFill="1" applyBorder="1" applyAlignment="1">
      <alignment horizontal="left" indent="2"/>
    </xf>
    <xf numFmtId="0" fontId="11" fillId="2" borderId="9" xfId="0" quotePrefix="1" applyFont="1" applyFill="1" applyBorder="1" applyAlignment="1">
      <alignment horizontal="left" indent="4"/>
    </xf>
    <xf numFmtId="0" fontId="11" fillId="2" borderId="10" xfId="0" applyFont="1" applyFill="1" applyBorder="1" applyAlignment="1">
      <alignment horizontal="left" indent="4"/>
    </xf>
    <xf numFmtId="41" fontId="10" fillId="2" borderId="18" xfId="1" applyFont="1" applyFill="1" applyBorder="1" applyAlignment="1">
      <alignment horizontal="left" indent="4"/>
    </xf>
    <xf numFmtId="0" fontId="10" fillId="2" borderId="9" xfId="0" quotePrefix="1" applyFont="1" applyFill="1" applyBorder="1" applyAlignment="1">
      <alignment horizontal="left" indent="2"/>
    </xf>
    <xf numFmtId="0" fontId="10" fillId="2" borderId="4" xfId="0" applyFont="1" applyFill="1" applyBorder="1" applyAlignment="1">
      <alignment horizontal="left" indent="5"/>
    </xf>
    <xf numFmtId="42" fontId="10" fillId="2" borderId="4" xfId="0" applyNumberFormat="1" applyFont="1" applyFill="1" applyBorder="1" applyAlignment="1">
      <alignment horizontal="left" indent="4"/>
    </xf>
    <xf numFmtId="0" fontId="10" fillId="2" borderId="10" xfId="0" applyFont="1" applyFill="1" applyBorder="1" applyAlignment="1">
      <alignment horizontal="left" indent="2"/>
    </xf>
    <xf numFmtId="42" fontId="36" fillId="2" borderId="4" xfId="0" applyNumberFormat="1" applyFont="1" applyFill="1" applyBorder="1" applyAlignment="1">
      <alignment horizontal="left" indent="4"/>
    </xf>
    <xf numFmtId="42" fontId="36" fillId="2" borderId="4" xfId="0" applyNumberFormat="1" applyFont="1" applyFill="1" applyBorder="1" applyAlignment="1">
      <alignment horizontal="left" indent="5"/>
    </xf>
    <xf numFmtId="42" fontId="36" fillId="2" borderId="4" xfId="0" applyNumberFormat="1" applyFont="1" applyFill="1" applyBorder="1" applyAlignment="1">
      <alignment horizontal="left" indent="6"/>
    </xf>
    <xf numFmtId="0" fontId="36" fillId="2" borderId="9" xfId="0" quotePrefix="1" applyFont="1" applyFill="1" applyBorder="1" applyAlignment="1">
      <alignment horizontal="left" indent="4"/>
    </xf>
    <xf numFmtId="0" fontId="36" fillId="2" borderId="10" xfId="0" applyFont="1" applyFill="1" applyBorder="1" applyAlignment="1">
      <alignment horizontal="left" indent="4"/>
    </xf>
    <xf numFmtId="41" fontId="36" fillId="2" borderId="18" xfId="1" applyFont="1" applyFill="1" applyBorder="1" applyAlignment="1">
      <alignment horizontal="left" indent="4"/>
    </xf>
    <xf numFmtId="42" fontId="36" fillId="2" borderId="4" xfId="0" applyNumberFormat="1" applyFont="1" applyFill="1" applyBorder="1" applyAlignment="1">
      <alignment horizontal="left" indent="7"/>
    </xf>
    <xf numFmtId="0" fontId="9" fillId="2" borderId="9" xfId="0" quotePrefix="1" applyFont="1" applyFill="1" applyBorder="1" applyAlignment="1">
      <alignment horizontal="left" indent="4"/>
    </xf>
    <xf numFmtId="0" fontId="9" fillId="2" borderId="4" xfId="0" applyFont="1" applyFill="1" applyBorder="1" applyAlignment="1">
      <alignment horizontal="left" indent="6"/>
    </xf>
    <xf numFmtId="42" fontId="9" fillId="2" borderId="4" xfId="0" applyNumberFormat="1" applyFont="1" applyFill="1" applyBorder="1" applyAlignment="1">
      <alignment horizontal="left" indent="6"/>
    </xf>
    <xf numFmtId="0" fontId="9" fillId="2" borderId="10" xfId="0" applyFont="1" applyFill="1" applyBorder="1" applyAlignment="1">
      <alignment horizontal="left" indent="4"/>
    </xf>
    <xf numFmtId="41" fontId="9" fillId="2" borderId="18" xfId="1" applyFont="1" applyFill="1" applyBorder="1" applyAlignment="1">
      <alignment horizontal="left" indent="4"/>
    </xf>
    <xf numFmtId="42" fontId="11" fillId="2" borderId="4" xfId="0" applyNumberFormat="1" applyFont="1" applyFill="1" applyBorder="1" applyAlignment="1">
      <alignment horizontal="left" indent="7"/>
    </xf>
    <xf numFmtId="0" fontId="18" fillId="2" borderId="9" xfId="0" quotePrefix="1" applyFont="1" applyFill="1" applyBorder="1" applyAlignment="1">
      <alignment horizontal="left" indent="4"/>
    </xf>
    <xf numFmtId="0" fontId="18" fillId="2" borderId="4" xfId="0" applyFont="1" applyFill="1" applyBorder="1" applyAlignment="1">
      <alignment horizontal="left" indent="9"/>
    </xf>
    <xf numFmtId="42" fontId="18" fillId="2" borderId="4" xfId="0" applyNumberFormat="1" applyFont="1" applyFill="1" applyBorder="1" applyAlignment="1">
      <alignment horizontal="left" indent="6"/>
    </xf>
    <xf numFmtId="0" fontId="18" fillId="2" borderId="10" xfId="0" applyFont="1" applyFill="1" applyBorder="1" applyAlignment="1">
      <alignment horizontal="left" indent="4"/>
    </xf>
    <xf numFmtId="41" fontId="19" fillId="2" borderId="18" xfId="1" applyFont="1" applyFill="1" applyBorder="1" applyAlignment="1">
      <alignment horizontal="left" indent="4"/>
    </xf>
    <xf numFmtId="41" fontId="7" fillId="0" borderId="0" xfId="1" applyFont="1"/>
    <xf numFmtId="41" fontId="15" fillId="4" borderId="3" xfId="1" applyFont="1" applyFill="1" applyBorder="1" applyAlignment="1">
      <alignment horizontal="center"/>
    </xf>
    <xf numFmtId="41" fontId="17" fillId="0" borderId="32" xfId="1" applyFont="1" applyBorder="1" applyAlignment="1">
      <alignment horizontal="center" wrapText="1"/>
    </xf>
    <xf numFmtId="41" fontId="32" fillId="15" borderId="33" xfId="1" quotePrefix="1" applyFont="1" applyFill="1" applyBorder="1" applyAlignment="1">
      <alignment horizontal="left"/>
    </xf>
    <xf numFmtId="41" fontId="30" fillId="16" borderId="33" xfId="1" quotePrefix="1" applyFont="1" applyFill="1" applyBorder="1" applyAlignment="1">
      <alignment horizontal="left" vertical="center"/>
    </xf>
    <xf numFmtId="41" fontId="40" fillId="0" borderId="0" xfId="1" quotePrefix="1" applyFont="1" applyFill="1" applyBorder="1" applyAlignment="1">
      <alignment horizontal="left" vertical="center"/>
    </xf>
    <xf numFmtId="0" fontId="41" fillId="20" borderId="0" xfId="0" applyFont="1" applyFill="1"/>
    <xf numFmtId="2" fontId="41" fillId="20" borderId="0" xfId="0" applyNumberFormat="1" applyFont="1" applyFill="1"/>
    <xf numFmtId="41" fontId="41" fillId="20" borderId="0" xfId="1" applyFont="1" applyFill="1"/>
    <xf numFmtId="164" fontId="41" fillId="20" borderId="0" xfId="1" applyNumberFormat="1" applyFont="1" applyFill="1"/>
    <xf numFmtId="42" fontId="41" fillId="20" borderId="0" xfId="2" applyFont="1" applyFill="1"/>
    <xf numFmtId="41" fontId="41" fillId="20" borderId="0" xfId="0" applyNumberFormat="1" applyFont="1" applyFill="1"/>
    <xf numFmtId="14" fontId="41" fillId="20" borderId="0" xfId="1" applyNumberFormat="1" applyFont="1" applyFill="1"/>
    <xf numFmtId="42" fontId="0" fillId="0" borderId="0" xfId="2" applyFont="1" applyFill="1"/>
    <xf numFmtId="42" fontId="0" fillId="0" borderId="0" xfId="2" applyFont="1" applyBorder="1"/>
    <xf numFmtId="42" fontId="0" fillId="0" borderId="0" xfId="2" applyFont="1" applyBorder="1" applyAlignment="1">
      <alignment horizontal="right"/>
    </xf>
    <xf numFmtId="17" fontId="42" fillId="0" borderId="32" xfId="0" applyNumberFormat="1" applyFont="1" applyBorder="1" applyAlignment="1">
      <alignment horizontal="center" vertical="center" wrapText="1"/>
    </xf>
    <xf numFmtId="17" fontId="43" fillId="7" borderId="32" xfId="0" applyNumberFormat="1" applyFont="1" applyFill="1" applyBorder="1" applyAlignment="1">
      <alignment horizontal="center" vertical="center" wrapText="1"/>
    </xf>
    <xf numFmtId="17" fontId="44" fillId="8" borderId="32" xfId="0" applyNumberFormat="1" applyFont="1" applyFill="1" applyBorder="1" applyAlignment="1">
      <alignment horizontal="center" vertical="center" wrapText="1"/>
    </xf>
    <xf numFmtId="3" fontId="28" fillId="0" borderId="0" xfId="0" applyNumberFormat="1" applyFont="1"/>
    <xf numFmtId="42" fontId="21" fillId="0" borderId="0" xfId="2" applyFont="1" applyBorder="1" applyAlignment="1">
      <alignment horizontal="center" vertical="center"/>
    </xf>
    <xf numFmtId="0" fontId="21" fillId="0" borderId="0" xfId="0" applyFont="1"/>
    <xf numFmtId="164" fontId="0" fillId="0" borderId="0" xfId="0" applyNumberFormat="1"/>
    <xf numFmtId="0" fontId="28" fillId="0" borderId="0" xfId="0" applyFont="1"/>
    <xf numFmtId="0" fontId="0" fillId="20" borderId="0" xfId="0" applyFill="1"/>
    <xf numFmtId="2" fontId="0" fillId="20" borderId="0" xfId="0" applyNumberFormat="1" applyFill="1"/>
    <xf numFmtId="41" fontId="0" fillId="20" borderId="0" xfId="1" applyFont="1" applyFill="1"/>
    <xf numFmtId="14" fontId="0" fillId="20" borderId="0" xfId="1" applyNumberFormat="1" applyFont="1" applyFill="1"/>
    <xf numFmtId="42" fontId="0" fillId="20" borderId="0" xfId="2" applyFont="1" applyFill="1"/>
    <xf numFmtId="41" fontId="0" fillId="20" borderId="0" xfId="0" applyNumberFormat="1" applyFill="1"/>
    <xf numFmtId="41" fontId="0" fillId="0" borderId="0" xfId="1" applyFont="1" applyBorder="1"/>
    <xf numFmtId="165" fontId="0" fillId="6" borderId="0" xfId="1" applyNumberFormat="1" applyFont="1" applyFill="1"/>
    <xf numFmtId="0" fontId="0" fillId="6" borderId="0" xfId="0" applyFill="1"/>
    <xf numFmtId="0" fontId="14" fillId="14" borderId="0" xfId="1" applyNumberFormat="1" applyFont="1" applyFill="1"/>
    <xf numFmtId="165" fontId="14" fillId="14" borderId="0" xfId="1" applyNumberFormat="1" applyFont="1" applyFill="1"/>
    <xf numFmtId="164" fontId="14" fillId="14" borderId="0" xfId="0" applyNumberFormat="1" applyFont="1" applyFill="1"/>
    <xf numFmtId="0" fontId="14" fillId="14" borderId="0" xfId="0" applyFont="1" applyFill="1"/>
    <xf numFmtId="42" fontId="14" fillId="14" borderId="0" xfId="2" applyFont="1" applyFill="1"/>
    <xf numFmtId="0" fontId="48" fillId="14" borderId="0" xfId="0" applyFont="1" applyFill="1"/>
    <xf numFmtId="164" fontId="14" fillId="14" borderId="0" xfId="1" applyNumberFormat="1" applyFont="1" applyFill="1"/>
    <xf numFmtId="14" fontId="14" fillId="14" borderId="0" xfId="1" applyNumberFormat="1" applyFont="1" applyFill="1"/>
    <xf numFmtId="0" fontId="14" fillId="14" borderId="0" xfId="1" applyNumberFormat="1" applyFont="1" applyFill="1" applyBorder="1"/>
    <xf numFmtId="165" fontId="14" fillId="14" borderId="0" xfId="1" applyNumberFormat="1" applyFont="1" applyFill="1" applyBorder="1"/>
    <xf numFmtId="42" fontId="14" fillId="14" borderId="0" xfId="2" applyFont="1" applyFill="1" applyBorder="1"/>
    <xf numFmtId="42" fontId="46" fillId="14" borderId="0" xfId="10" applyNumberFormat="1" applyFill="1"/>
    <xf numFmtId="0" fontId="48" fillId="14" borderId="0" xfId="0" applyFont="1" applyFill="1" applyAlignment="1">
      <alignment vertical="center" wrapText="1"/>
    </xf>
    <xf numFmtId="42" fontId="49" fillId="14" borderId="0" xfId="10" applyNumberFormat="1" applyFont="1" applyFill="1"/>
    <xf numFmtId="17" fontId="49" fillId="14" borderId="0" xfId="10" applyNumberFormat="1" applyFont="1" applyFill="1"/>
    <xf numFmtId="0" fontId="49" fillId="14" borderId="0" xfId="10" applyFont="1" applyFill="1"/>
    <xf numFmtId="0" fontId="0" fillId="6" borderId="0" xfId="1" applyNumberFormat="1" applyFont="1" applyFill="1"/>
    <xf numFmtId="164" fontId="0" fillId="6" borderId="0" xfId="0" applyNumberFormat="1" applyFill="1"/>
    <xf numFmtId="42" fontId="0" fillId="6" borderId="0" xfId="2" applyFont="1" applyFill="1"/>
    <xf numFmtId="0" fontId="28" fillId="6" borderId="0" xfId="0" applyFont="1" applyFill="1"/>
    <xf numFmtId="42" fontId="0" fillId="9" borderId="0" xfId="2" applyFont="1" applyFill="1"/>
    <xf numFmtId="0" fontId="7" fillId="0" borderId="0" xfId="0" applyFont="1" applyAlignment="1">
      <alignment horizontal="left" indent="2"/>
    </xf>
    <xf numFmtId="0" fontId="26" fillId="0" borderId="0" xfId="0" applyFont="1" applyAlignment="1">
      <alignment horizontal="left" indent="2"/>
    </xf>
    <xf numFmtId="0" fontId="7" fillId="0" borderId="0" xfId="0" applyFont="1" applyAlignment="1">
      <alignment horizontal="left" indent="4"/>
    </xf>
    <xf numFmtId="0" fontId="27" fillId="0" borderId="0" xfId="0" applyFont="1" applyAlignment="1">
      <alignment horizontal="left" indent="2"/>
    </xf>
    <xf numFmtId="0" fontId="27" fillId="0" borderId="0" xfId="0" applyFont="1" applyAlignment="1">
      <alignment horizontal="left" indent="4"/>
    </xf>
    <xf numFmtId="0" fontId="34" fillId="0" borderId="0" xfId="0" applyFont="1"/>
    <xf numFmtId="17" fontId="50" fillId="0" borderId="6" xfId="0" applyNumberFormat="1" applyFont="1" applyBorder="1" applyAlignment="1">
      <alignment horizontal="center" vertical="center" wrapText="1"/>
    </xf>
    <xf numFmtId="41" fontId="9" fillId="21" borderId="18" xfId="1" applyFont="1" applyFill="1" applyBorder="1" applyAlignment="1">
      <alignment horizontal="left" indent="4"/>
    </xf>
    <xf numFmtId="41" fontId="7" fillId="0" borderId="0" xfId="0" applyNumberFormat="1" applyFont="1"/>
    <xf numFmtId="0" fontId="0" fillId="17" borderId="0" xfId="1" applyNumberFormat="1" applyFont="1" applyFill="1"/>
    <xf numFmtId="165" fontId="0" fillId="17" borderId="0" xfId="1" applyNumberFormat="1" applyFont="1" applyFill="1"/>
    <xf numFmtId="0" fontId="18" fillId="22" borderId="9" xfId="0" quotePrefix="1" applyFont="1" applyFill="1" applyBorder="1" applyAlignment="1">
      <alignment horizontal="left" indent="2"/>
    </xf>
    <xf numFmtId="0" fontId="18" fillId="22" borderId="4" xfId="0" applyFont="1" applyFill="1" applyBorder="1" applyAlignment="1">
      <alignment horizontal="left" indent="8"/>
    </xf>
    <xf numFmtId="42" fontId="18" fillId="22" borderId="4" xfId="0" applyNumberFormat="1" applyFont="1" applyFill="1" applyBorder="1" applyAlignment="1">
      <alignment horizontal="left" indent="4"/>
    </xf>
    <xf numFmtId="0" fontId="18" fillId="22" borderId="10" xfId="0" applyFont="1" applyFill="1" applyBorder="1" applyAlignment="1">
      <alignment horizontal="left" indent="2"/>
    </xf>
    <xf numFmtId="41" fontId="19" fillId="22" borderId="18" xfId="1" applyFont="1" applyFill="1" applyBorder="1" applyAlignment="1">
      <alignment horizontal="left" indent="2"/>
    </xf>
    <xf numFmtId="41" fontId="10" fillId="22" borderId="18" xfId="1" applyFont="1" applyFill="1" applyBorder="1" applyAlignment="1">
      <alignment horizontal="left" indent="4"/>
    </xf>
    <xf numFmtId="41" fontId="9" fillId="22" borderId="18" xfId="1" applyFont="1" applyFill="1" applyBorder="1" applyAlignment="1">
      <alignment horizontal="left" indent="4"/>
    </xf>
    <xf numFmtId="0" fontId="0" fillId="0" borderId="0" xfId="0" pivotButton="1"/>
    <xf numFmtId="0" fontId="0" fillId="0" borderId="0" xfId="0" applyAlignment="1">
      <alignment horizontal="left"/>
    </xf>
    <xf numFmtId="167" fontId="0" fillId="0" borderId="0" xfId="0" applyNumberFormat="1"/>
    <xf numFmtId="0" fontId="51" fillId="0" borderId="0" xfId="0" applyFont="1"/>
    <xf numFmtId="6" fontId="21" fillId="0" borderId="36" xfId="0" applyNumberFormat="1" applyFont="1" applyBorder="1"/>
    <xf numFmtId="2" fontId="0" fillId="0" borderId="0" xfId="0" applyNumberFormat="1"/>
    <xf numFmtId="41" fontId="0" fillId="0" borderId="0" xfId="0" applyNumberFormat="1"/>
    <xf numFmtId="41" fontId="20" fillId="0" borderId="14" xfId="1" applyFont="1" applyBorder="1" applyAlignment="1">
      <alignment horizontal="right"/>
    </xf>
    <xf numFmtId="41" fontId="0" fillId="0" borderId="15" xfId="1" applyFont="1" applyBorder="1"/>
    <xf numFmtId="0" fontId="0" fillId="0" borderId="1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38" fillId="6" borderId="14" xfId="0" applyFont="1" applyFill="1" applyBorder="1" applyAlignment="1">
      <alignment horizontal="center" vertical="center"/>
    </xf>
    <xf numFmtId="0" fontId="38" fillId="6" borderId="11" xfId="0" applyFont="1" applyFill="1" applyBorder="1" applyAlignment="1">
      <alignment horizontal="center" vertical="center"/>
    </xf>
    <xf numFmtId="42" fontId="0" fillId="0" borderId="16" xfId="2" applyFont="1" applyBorder="1" applyAlignment="1">
      <alignment horizontal="center" vertical="center"/>
    </xf>
    <xf numFmtId="0" fontId="52" fillId="0" borderId="0" xfId="0" applyFont="1"/>
    <xf numFmtId="1" fontId="0" fillId="0" borderId="0" xfId="1" applyNumberFormat="1" applyFont="1"/>
    <xf numFmtId="42" fontId="0" fillId="0" borderId="11" xfId="2" applyFont="1" applyBorder="1"/>
    <xf numFmtId="42" fontId="0" fillId="0" borderId="12" xfId="2" applyFont="1" applyBorder="1"/>
    <xf numFmtId="42" fontId="0" fillId="0" borderId="13" xfId="2" applyFont="1" applyBorder="1"/>
    <xf numFmtId="1" fontId="0" fillId="0" borderId="0" xfId="0" applyNumberFormat="1"/>
    <xf numFmtId="0" fontId="12" fillId="23" borderId="9" xfId="0" quotePrefix="1" applyFont="1" applyFill="1" applyBorder="1" applyAlignment="1">
      <alignment horizontal="left" indent="2"/>
    </xf>
    <xf numFmtId="0" fontId="12" fillId="23" borderId="4" xfId="0" applyFont="1" applyFill="1" applyBorder="1" applyAlignment="1">
      <alignment horizontal="left" indent="3"/>
    </xf>
    <xf numFmtId="42" fontId="12" fillId="23" borderId="4" xfId="0" applyNumberFormat="1" applyFont="1" applyFill="1" applyBorder="1" applyAlignment="1">
      <alignment horizontal="left" indent="3"/>
    </xf>
    <xf numFmtId="0" fontId="12" fillId="23" borderId="10" xfId="0" applyFont="1" applyFill="1" applyBorder="1" applyAlignment="1">
      <alignment horizontal="left" indent="2"/>
    </xf>
    <xf numFmtId="41" fontId="12" fillId="23" borderId="9" xfId="1" applyFont="1" applyFill="1" applyBorder="1" applyAlignment="1">
      <alignment horizontal="left" indent="2"/>
    </xf>
    <xf numFmtId="0" fontId="12" fillId="23" borderId="9" xfId="0" quotePrefix="1" applyFont="1" applyFill="1" applyBorder="1" applyAlignment="1">
      <alignment horizontal="left"/>
    </xf>
    <xf numFmtId="0" fontId="12" fillId="23" borderId="4" xfId="0" applyFont="1" applyFill="1" applyBorder="1" applyAlignment="1">
      <alignment horizontal="left" indent="1"/>
    </xf>
    <xf numFmtId="42" fontId="12" fillId="23" borderId="4" xfId="0" applyNumberFormat="1" applyFont="1" applyFill="1" applyBorder="1" applyAlignment="1">
      <alignment horizontal="left" indent="1"/>
    </xf>
    <xf numFmtId="0" fontId="12" fillId="23" borderId="10" xfId="0" applyFont="1" applyFill="1" applyBorder="1"/>
    <xf numFmtId="41" fontId="11" fillId="23" borderId="9" xfId="1" applyFont="1" applyFill="1" applyBorder="1"/>
    <xf numFmtId="41" fontId="11" fillId="23" borderId="9" xfId="1" applyFont="1" applyFill="1" applyBorder="1" applyAlignment="1">
      <alignment horizontal="left" indent="2"/>
    </xf>
    <xf numFmtId="0" fontId="11" fillId="23" borderId="9" xfId="0" quotePrefix="1" applyFont="1" applyFill="1" applyBorder="1" applyAlignment="1">
      <alignment horizontal="left" indent="2"/>
    </xf>
    <xf numFmtId="0" fontId="11" fillId="23" borderId="4" xfId="0" applyFont="1" applyFill="1" applyBorder="1" applyAlignment="1">
      <alignment horizontal="left" indent="3"/>
    </xf>
    <xf numFmtId="42" fontId="11" fillId="23" borderId="4" xfId="0" applyNumberFormat="1" applyFont="1" applyFill="1" applyBorder="1" applyAlignment="1">
      <alignment horizontal="left" indent="3"/>
    </xf>
    <xf numFmtId="0" fontId="11" fillId="23" borderId="10" xfId="0" applyFont="1" applyFill="1" applyBorder="1" applyAlignment="1">
      <alignment horizontal="left" indent="2"/>
    </xf>
    <xf numFmtId="42" fontId="12" fillId="23" borderId="4" xfId="0" applyNumberFormat="1" applyFont="1" applyFill="1" applyBorder="1" applyAlignment="1">
      <alignment horizontal="left" indent="4"/>
    </xf>
    <xf numFmtId="42" fontId="12" fillId="23" borderId="4" xfId="0" applyNumberFormat="1" applyFont="1" applyFill="1" applyBorder="1" applyAlignment="1">
      <alignment horizontal="left" indent="2"/>
    </xf>
    <xf numFmtId="41" fontId="12" fillId="23" borderId="9" xfId="1" quotePrefix="1" applyFont="1" applyFill="1" applyBorder="1" applyAlignment="1">
      <alignment horizontal="left" indent="2"/>
    </xf>
    <xf numFmtId="0" fontId="12" fillId="23" borderId="9" xfId="0" quotePrefix="1" applyFont="1" applyFill="1" applyBorder="1" applyAlignment="1">
      <alignment horizontal="left" vertical="center" indent="2"/>
    </xf>
    <xf numFmtId="0" fontId="12" fillId="23" borderId="4" xfId="0" applyFont="1" applyFill="1" applyBorder="1" applyAlignment="1">
      <alignment horizontal="left" vertical="center" indent="3"/>
    </xf>
    <xf numFmtId="42" fontId="12" fillId="23" borderId="4" xfId="0" applyNumberFormat="1" applyFont="1" applyFill="1" applyBorder="1" applyAlignment="1">
      <alignment horizontal="left" vertical="center" indent="3"/>
    </xf>
    <xf numFmtId="0" fontId="12" fillId="23" borderId="10" xfId="0" applyFont="1" applyFill="1" applyBorder="1" applyAlignment="1">
      <alignment horizontal="left" vertical="center" indent="2"/>
    </xf>
    <xf numFmtId="41" fontId="11" fillId="23" borderId="9" xfId="1" applyFont="1" applyFill="1" applyBorder="1" applyAlignment="1">
      <alignment horizontal="left" vertical="center" indent="2"/>
    </xf>
    <xf numFmtId="0" fontId="30" fillId="10" borderId="23" xfId="0" quotePrefix="1" applyFont="1" applyFill="1" applyBorder="1" applyAlignment="1">
      <alignment horizontal="left" vertical="center"/>
    </xf>
    <xf numFmtId="42" fontId="30" fillId="10" borderId="24" xfId="0" applyNumberFormat="1" applyFont="1" applyFill="1" applyBorder="1" applyAlignment="1">
      <alignment vertical="center"/>
    </xf>
    <xf numFmtId="0" fontId="30" fillId="10" borderId="25" xfId="0" applyFont="1" applyFill="1" applyBorder="1" applyAlignment="1">
      <alignment vertical="center"/>
    </xf>
    <xf numFmtId="41" fontId="30" fillId="10" borderId="23" xfId="1" quotePrefix="1" applyFont="1" applyFill="1" applyBorder="1" applyAlignment="1">
      <alignment horizontal="left" vertical="center"/>
    </xf>
    <xf numFmtId="41" fontId="40" fillId="10" borderId="0" xfId="1" quotePrefix="1" applyFont="1" applyFill="1" applyBorder="1" applyAlignment="1">
      <alignment horizontal="left" vertical="center"/>
    </xf>
    <xf numFmtId="0" fontId="7" fillId="10" borderId="0" xfId="0" applyFont="1" applyFill="1"/>
    <xf numFmtId="0" fontId="30" fillId="24" borderId="23" xfId="0" quotePrefix="1" applyFont="1" applyFill="1" applyBorder="1" applyAlignment="1">
      <alignment horizontal="left" vertical="center"/>
    </xf>
    <xf numFmtId="42" fontId="30" fillId="24" borderId="24" xfId="0" applyNumberFormat="1" applyFont="1" applyFill="1" applyBorder="1" applyAlignment="1">
      <alignment vertical="center"/>
    </xf>
    <xf numFmtId="0" fontId="30" fillId="24" borderId="25" xfId="0" applyFont="1" applyFill="1" applyBorder="1" applyAlignment="1">
      <alignment vertical="center"/>
    </xf>
    <xf numFmtId="41" fontId="30" fillId="24" borderId="23" xfId="1" quotePrefix="1" applyFont="1" applyFill="1" applyBorder="1" applyAlignment="1">
      <alignment horizontal="left" vertical="center"/>
    </xf>
    <xf numFmtId="41" fontId="30" fillId="24" borderId="20" xfId="1" quotePrefix="1" applyFont="1" applyFill="1" applyBorder="1" applyAlignment="1">
      <alignment horizontal="left" vertical="center"/>
    </xf>
    <xf numFmtId="41" fontId="30" fillId="16" borderId="0" xfId="1" quotePrefix="1" applyFont="1" applyFill="1" applyBorder="1" applyAlignment="1">
      <alignment horizontal="left" vertical="center"/>
    </xf>
    <xf numFmtId="41" fontId="30" fillId="10" borderId="0" xfId="1" quotePrefix="1" applyFont="1" applyFill="1" applyBorder="1" applyAlignment="1">
      <alignment horizontal="left" vertical="center"/>
    </xf>
    <xf numFmtId="0" fontId="38" fillId="2" borderId="0" xfId="0" applyFont="1" applyFill="1" applyAlignment="1">
      <alignment horizontal="left" indent="4"/>
    </xf>
    <xf numFmtId="0" fontId="7" fillId="2" borderId="0" xfId="0" applyFont="1" applyFill="1" applyAlignment="1">
      <alignment horizontal="left" indent="4"/>
    </xf>
    <xf numFmtId="0" fontId="18" fillId="2" borderId="9" xfId="0" quotePrefix="1" applyFont="1" applyFill="1" applyBorder="1" applyAlignment="1">
      <alignment horizontal="left" indent="2"/>
    </xf>
    <xf numFmtId="42" fontId="18" fillId="2" borderId="4" xfId="0" applyNumberFormat="1" applyFont="1" applyFill="1" applyBorder="1" applyAlignment="1">
      <alignment horizontal="left" indent="4"/>
    </xf>
    <xf numFmtId="0" fontId="18" fillId="2" borderId="10" xfId="0" applyFont="1" applyFill="1" applyBorder="1" applyAlignment="1">
      <alignment horizontal="left" indent="2"/>
    </xf>
    <xf numFmtId="41" fontId="19" fillId="2" borderId="18" xfId="1" applyFont="1" applyFill="1" applyBorder="1" applyAlignment="1">
      <alignment horizontal="left" indent="2"/>
    </xf>
    <xf numFmtId="41" fontId="23" fillId="21" borderId="18" xfId="1" applyFont="1" applyFill="1" applyBorder="1" applyAlignment="1">
      <alignment horizontal="left" indent="4"/>
    </xf>
    <xf numFmtId="41" fontId="23" fillId="2" borderId="18" xfId="1" applyFont="1" applyFill="1" applyBorder="1" applyAlignment="1">
      <alignment horizontal="left" indent="4"/>
    </xf>
    <xf numFmtId="0" fontId="7" fillId="2" borderId="0" xfId="1" applyNumberFormat="1" applyFont="1" applyFill="1"/>
    <xf numFmtId="165" fontId="7" fillId="2" borderId="0" xfId="1" applyNumberFormat="1" applyFont="1" applyFill="1"/>
    <xf numFmtId="164" fontId="7" fillId="2" borderId="0" xfId="0" applyNumberFormat="1" applyFont="1" applyFill="1"/>
    <xf numFmtId="0" fontId="7" fillId="2" borderId="0" xfId="0" quotePrefix="1" applyFont="1" applyFill="1"/>
    <xf numFmtId="42" fontId="7" fillId="2" borderId="0" xfId="2" applyFont="1" applyFill="1"/>
    <xf numFmtId="42" fontId="53" fillId="2" borderId="0" xfId="10" applyNumberFormat="1" applyFont="1" applyFill="1"/>
    <xf numFmtId="0" fontId="53" fillId="2" borderId="0" xfId="10" applyFont="1" applyFill="1"/>
    <xf numFmtId="0" fontId="54" fillId="2" borderId="0" xfId="0" applyFont="1" applyFill="1"/>
    <xf numFmtId="0" fontId="38" fillId="2" borderId="0" xfId="1" applyNumberFormat="1" applyFont="1" applyFill="1"/>
    <xf numFmtId="165" fontId="38" fillId="2" borderId="0" xfId="1" applyNumberFormat="1" applyFont="1" applyFill="1"/>
    <xf numFmtId="164" fontId="38" fillId="2" borderId="0" xfId="0" applyNumberFormat="1" applyFont="1" applyFill="1"/>
    <xf numFmtId="0" fontId="38" fillId="2" borderId="0" xfId="0" applyFont="1" applyFill="1"/>
    <xf numFmtId="42" fontId="38" fillId="2" borderId="0" xfId="2" applyFont="1" applyFill="1"/>
    <xf numFmtId="0" fontId="7" fillId="25" borderId="35" xfId="1" applyNumberFormat="1" applyFont="1" applyFill="1" applyBorder="1"/>
    <xf numFmtId="165" fontId="7" fillId="25" borderId="35" xfId="1" applyNumberFormat="1" applyFont="1" applyFill="1" applyBorder="1"/>
    <xf numFmtId="164" fontId="7" fillId="25" borderId="35" xfId="0" applyNumberFormat="1" applyFont="1" applyFill="1" applyBorder="1"/>
    <xf numFmtId="0" fontId="7" fillId="25" borderId="35" xfId="0" applyFont="1" applyFill="1" applyBorder="1"/>
    <xf numFmtId="42" fontId="7" fillId="25" borderId="35" xfId="2" applyFont="1" applyFill="1" applyBorder="1"/>
    <xf numFmtId="164" fontId="7" fillId="2" borderId="0" xfId="3" applyNumberFormat="1" applyFont="1" applyFill="1"/>
    <xf numFmtId="0" fontId="29" fillId="2" borderId="0" xfId="3" applyFill="1"/>
    <xf numFmtId="0" fontId="7" fillId="2" borderId="0" xfId="1" applyNumberFormat="1" applyFont="1" applyFill="1" applyBorder="1"/>
    <xf numFmtId="165" fontId="7" fillId="2" borderId="0" xfId="1" applyNumberFormat="1" applyFont="1" applyFill="1" applyBorder="1"/>
    <xf numFmtId="42" fontId="7" fillId="2" borderId="0" xfId="2" applyFont="1" applyFill="1" applyBorder="1"/>
    <xf numFmtId="6" fontId="7" fillId="2" borderId="0" xfId="1" applyNumberFormat="1" applyFont="1" applyFill="1"/>
    <xf numFmtId="6" fontId="38" fillId="2" borderId="0" xfId="1" applyNumberFormat="1" applyFont="1" applyFill="1"/>
    <xf numFmtId="6" fontId="7" fillId="25" borderId="35" xfId="1" applyNumberFormat="1" applyFont="1" applyFill="1" applyBorder="1"/>
    <xf numFmtId="6" fontId="7" fillId="2" borderId="0" xfId="1" applyNumberFormat="1" applyFont="1" applyFill="1" applyBorder="1"/>
    <xf numFmtId="6" fontId="14" fillId="14" borderId="0" xfId="1" applyNumberFormat="1" applyFont="1" applyFill="1"/>
    <xf numFmtId="6" fontId="0" fillId="0" borderId="0" xfId="1" applyNumberFormat="1" applyFont="1"/>
    <xf numFmtId="6" fontId="0" fillId="6" borderId="0" xfId="1" applyNumberFormat="1" applyFont="1" applyFill="1"/>
    <xf numFmtId="6" fontId="0" fillId="9" borderId="0" xfId="1" applyNumberFormat="1" applyFont="1" applyFill="1"/>
    <xf numFmtId="6" fontId="14" fillId="14" borderId="0" xfId="1" quotePrefix="1" applyNumberFormat="1" applyFont="1" applyFill="1"/>
    <xf numFmtId="6" fontId="14" fillId="14" borderId="0" xfId="1" applyNumberFormat="1" applyFont="1" applyFill="1" applyBorder="1"/>
    <xf numFmtId="6" fontId="14" fillId="14" borderId="34" xfId="1" applyNumberFormat="1" applyFont="1" applyFill="1" applyBorder="1"/>
    <xf numFmtId="6" fontId="0" fillId="0" borderId="0" xfId="1" applyNumberFormat="1" applyFont="1" applyBorder="1"/>
    <xf numFmtId="0" fontId="15" fillId="4" borderId="1" xfId="0" applyFont="1" applyFill="1" applyBorder="1" applyAlignment="1">
      <alignment horizontal="center"/>
    </xf>
    <xf numFmtId="0" fontId="15" fillId="4" borderId="2" xfId="0" applyFont="1" applyFill="1" applyBorder="1" applyAlignment="1">
      <alignment horizontal="center"/>
    </xf>
    <xf numFmtId="0" fontId="15" fillId="4" borderId="3" xfId="0" applyFont="1" applyFill="1" applyBorder="1" applyAlignment="1">
      <alignment horizontal="center"/>
    </xf>
    <xf numFmtId="0" fontId="15" fillId="7" borderId="1" xfId="0" applyFont="1" applyFill="1" applyBorder="1" applyAlignment="1">
      <alignment horizontal="center"/>
    </xf>
    <xf numFmtId="0" fontId="15" fillId="7" borderId="2" xfId="0" applyFont="1" applyFill="1" applyBorder="1" applyAlignment="1">
      <alignment horizontal="center"/>
    </xf>
    <xf numFmtId="0" fontId="15" fillId="7" borderId="3" xfId="0" applyFont="1" applyFill="1" applyBorder="1" applyAlignment="1">
      <alignment horizontal="center"/>
    </xf>
    <xf numFmtId="0" fontId="15" fillId="8" borderId="1" xfId="0" applyFont="1" applyFill="1" applyBorder="1" applyAlignment="1">
      <alignment horizontal="center"/>
    </xf>
    <xf numFmtId="0" fontId="15" fillId="8" borderId="2" xfId="0" applyFont="1" applyFill="1" applyBorder="1" applyAlignment="1">
      <alignment horizontal="center"/>
    </xf>
    <xf numFmtId="0" fontId="15" fillId="8" borderId="3" xfId="0" applyFont="1" applyFill="1" applyBorder="1" applyAlignment="1">
      <alignment horizontal="center"/>
    </xf>
    <xf numFmtId="0" fontId="15" fillId="16" borderId="2" xfId="0" applyFont="1" applyFill="1" applyBorder="1" applyAlignment="1">
      <alignment horizontal="center"/>
    </xf>
    <xf numFmtId="41" fontId="20" fillId="13" borderId="0" xfId="0" applyNumberFormat="1" applyFont="1" applyFill="1" applyAlignment="1">
      <alignment horizontal="center"/>
    </xf>
    <xf numFmtId="0" fontId="39" fillId="0" borderId="0" xfId="0" applyFont="1" applyAlignment="1">
      <alignment horizontal="left" vertical="top"/>
    </xf>
    <xf numFmtId="164" fontId="0" fillId="0" borderId="0" xfId="0" applyNumberFormat="1" applyFont="1"/>
    <xf numFmtId="42" fontId="0" fillId="0" borderId="0" xfId="2" applyNumberFormat="1" applyFont="1"/>
  </cellXfs>
  <cellStyles count="13">
    <cellStyle name="Hipervínculo" xfId="10" builtinId="8"/>
    <cellStyle name="Millares [0]" xfId="1" builtinId="6"/>
    <cellStyle name="Millares [0] 2" xfId="6" xr:uid="{0E9FE00B-848A-4D4F-AE5B-217B63614B85}"/>
    <cellStyle name="Millares [0] 3" xfId="9" xr:uid="{632D7434-1BF2-4BE9-B417-305BBEFCF328}"/>
    <cellStyle name="Moneda [0]" xfId="2" builtinId="7"/>
    <cellStyle name="Moneda [0] 2" xfId="5" xr:uid="{10B82888-2D84-419A-884C-F6C1EF27684F}"/>
    <cellStyle name="Normal" xfId="0" builtinId="0"/>
    <cellStyle name="Normal 2" xfId="3" xr:uid="{D504D70E-F128-4115-BC16-C05ECEDFC522}"/>
    <cellStyle name="Normal 3" xfId="4" xr:uid="{12D37F3D-ED25-47BF-B688-EA99860D85FA}"/>
    <cellStyle name="Normal 4" xfId="7" xr:uid="{1FD1FE20-6D42-4904-AA5B-07D78F3A6005}"/>
    <cellStyle name="Normal 5" xfId="8" xr:uid="{9B27CB6C-941F-4B09-A080-3AF76514198E}"/>
    <cellStyle name="Normal 6" xfId="11" xr:uid="{4D5F55D0-3BF6-413D-BB3D-54169227C4A9}"/>
    <cellStyle name="Normal 7" xfId="12" xr:uid="{67F026B5-ABCB-4090-A0A7-C868E2531852}"/>
  </cellStyles>
  <dxfs count="128"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9" formatCode="dd/mm/yyyy"/>
      <alignment horizontal="righ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33" formatCode="_ * #,##0_ ;_ * \-#,##0_ ;_ * &quot;-&quot;_ ;_ @_ "/>
    </dxf>
    <dxf>
      <numFmt numFmtId="32" formatCode="_ &quot;$&quot;* #,##0_ ;_ &quot;$&quot;* \-#,##0_ ;_ &quot;$&quot;* &quot;-&quot;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numFmt numFmtId="2" formatCode="0.00"/>
    </dxf>
    <dxf>
      <alignment horizontal="center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6"/>
        <color auto="1"/>
        <name val="Courier New"/>
        <family val="1"/>
        <scheme val="none"/>
      </font>
      <fill>
        <patternFill patternType="solid">
          <fgColor indexed="64"/>
          <bgColor theme="4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6"/>
        <color auto="1"/>
        <name val="Courier New"/>
        <family val="1"/>
        <scheme val="none"/>
      </font>
      <fill>
        <patternFill patternType="solid">
          <fgColor indexed="64"/>
          <bgColor theme="4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6"/>
        <color auto="1"/>
        <name val="Courier New"/>
        <family val="1"/>
        <scheme val="none"/>
      </font>
      <fill>
        <patternFill patternType="solid">
          <fgColor indexed="64"/>
          <bgColor theme="4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6"/>
        <color auto="1"/>
        <name val="Courier New"/>
        <family val="1"/>
        <scheme val="none"/>
      </font>
      <fill>
        <patternFill patternType="solid">
          <fgColor indexed="64"/>
          <bgColor theme="4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6"/>
        <color auto="1"/>
        <name val="Courier New"/>
        <family val="1"/>
        <scheme val="none"/>
      </font>
      <fill>
        <patternFill patternType="solid">
          <fgColor indexed="64"/>
          <bgColor theme="4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6"/>
        <name val="Courier New"/>
        <family val="1"/>
        <scheme val="none"/>
      </font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6"/>
        <name val="Courier New"/>
        <family val="1"/>
        <scheme val="none"/>
      </font>
      <numFmt numFmtId="32" formatCode="_ &quot;$&quot;* #,##0_ ;_ &quot;$&quot;* \-#,##0_ ;_ &quot;$&quot;* &quot;-&quot;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6"/>
        <name val="Courier New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Courier New"/>
        <family val="1"/>
        <scheme val="none"/>
      </font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6"/>
        <name val="Courier New"/>
        <family val="1"/>
        <scheme val="none"/>
      </font>
    </dxf>
    <dxf>
      <border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6"/>
        <color theme="0"/>
        <name val="Aptos Narrow"/>
        <scheme val="minor"/>
      </font>
      <alignment horizont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outline val="0"/>
        <shadow val="0"/>
        <u val="none"/>
        <vertAlign val="baseline"/>
        <sz val="16"/>
        <color auto="1"/>
        <name val="Courier New"/>
        <family val="1"/>
        <scheme val="none"/>
      </font>
      <fill>
        <patternFill patternType="solid">
          <fgColor indexed="64"/>
          <bgColor theme="4"/>
        </patternFill>
      </fill>
      <alignment horizontal="left" vertical="bottom" textRotation="0" wrapText="0" indent="0" justifyLastLine="0" shrinkToFit="0" readingOrder="0"/>
      <border diagonalUp="0" diagonalDown="0">
        <left style="double">
          <color rgb="FFFF0000"/>
        </left>
        <right style="double">
          <color rgb="FFFF0000"/>
        </right>
        <top style="thin">
          <color indexed="64"/>
        </top>
        <bottom style="thin">
          <color indexed="64"/>
        </bottom>
        <vertical/>
        <horizontal/>
      </border>
    </dxf>
    <dxf>
      <numFmt numFmtId="33" formatCode="_ * #,##0_ ;_ * \-#,##0_ ;_ * &quot;-&quot;_ ;_ @_ "/>
    </dxf>
    <dxf>
      <numFmt numFmtId="33" formatCode="_ * #,##0_ ;_ * \-#,##0_ ;_ * &quot;-&quot;_ ;_ @_ "/>
    </dxf>
    <dxf>
      <numFmt numFmtId="33" formatCode="_ * #,##0_ ;_ * \-#,##0_ ;_ * &quot;-&quot;_ ;_ @_ "/>
    </dxf>
    <dxf>
      <numFmt numFmtId="33" formatCode="_ * #,##0_ ;_ * \-#,##0_ ;_ * &quot;-&quot;_ ;_ @_ "/>
    </dxf>
    <dxf>
      <numFmt numFmtId="33" formatCode="_ * #,##0_ ;_ * \-#,##0_ ;_ * &quot;-&quot;_ ;_ @_ "/>
    </dxf>
    <dxf>
      <numFmt numFmtId="33" formatCode="_ * #,##0_ ;_ * \-#,##0_ ;_ * &quot;-&quot;_ ;_ @_ "/>
    </dxf>
    <dxf>
      <numFmt numFmtId="33" formatCode="_ * #,##0_ ;_ * \-#,##0_ ;_ * &quot;-&quot;_ ;_ @_ "/>
    </dxf>
    <dxf>
      <numFmt numFmtId="33" formatCode="_ * #,##0_ ;_ * \-#,##0_ ;_ * &quot;-&quot;_ ;_ @_ "/>
    </dxf>
    <dxf>
      <numFmt numFmtId="33" formatCode="_ * #,##0_ ;_ * \-#,##0_ ;_ * &quot;-&quot;_ ;_ @_ "/>
    </dxf>
    <dxf>
      <numFmt numFmtId="33" formatCode="_ * #,##0_ ;_ * \-#,##0_ ;_ * &quot;-&quot;_ ;_ @_ "/>
    </dxf>
    <dxf>
      <numFmt numFmtId="33" formatCode="_ * #,##0_ ;_ * \-#,##0_ ;_ * &quot;-&quot;_ ;_ @_ "/>
    </dxf>
    <dxf>
      <numFmt numFmtId="33" formatCode="_ * #,##0_ ;_ * \-#,##0_ ;_ * &quot;-&quot;_ ;_ @_ "/>
    </dxf>
    <dxf>
      <numFmt numFmtId="33" formatCode="_ * #,##0_ ;_ * \-#,##0_ ;_ * &quot;-&quot;_ ;_ @_ "/>
      <border diagonalUp="0" diagonalDown="0">
        <left style="double">
          <color rgb="FFFF0000"/>
        </left>
        <right style="double">
          <color rgb="FFFF0000"/>
        </right>
        <vertic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ourier New"/>
        <family val="1"/>
        <scheme val="none"/>
      </font>
      <fill>
        <patternFill patternType="solid">
          <fgColor indexed="64"/>
          <bgColor theme="4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ourier New"/>
        <family val="1"/>
        <scheme val="none"/>
      </font>
      <fill>
        <patternFill patternType="solid">
          <fgColor indexed="64"/>
          <bgColor theme="4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ourier New"/>
        <family val="1"/>
        <scheme val="none"/>
      </font>
      <fill>
        <patternFill patternType="solid">
          <fgColor indexed="64"/>
          <bgColor theme="4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ourier New"/>
        <family val="1"/>
        <scheme val="none"/>
      </font>
      <fill>
        <patternFill patternType="solid">
          <fgColor indexed="64"/>
          <bgColor theme="4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ourier New"/>
        <family val="1"/>
        <scheme val="none"/>
      </font>
      <fill>
        <patternFill patternType="solid">
          <fgColor indexed="64"/>
          <bgColor theme="4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ourier New"/>
        <family val="1"/>
        <scheme val="none"/>
      </font>
      <fill>
        <patternFill patternType="solid">
          <fgColor indexed="64"/>
          <bgColor theme="4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ourier New"/>
        <family val="1"/>
        <scheme val="none"/>
      </font>
      <fill>
        <patternFill patternType="solid">
          <fgColor indexed="64"/>
          <bgColor theme="4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ourier New"/>
        <family val="1"/>
        <scheme val="none"/>
      </font>
      <fill>
        <patternFill patternType="solid">
          <fgColor indexed="64"/>
          <bgColor theme="4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ourier New"/>
        <family val="1"/>
        <scheme val="none"/>
      </font>
      <fill>
        <patternFill patternType="solid">
          <fgColor indexed="64"/>
          <bgColor theme="4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ourier New"/>
        <family val="1"/>
        <scheme val="none"/>
      </font>
      <fill>
        <patternFill patternType="solid">
          <fgColor indexed="64"/>
          <bgColor theme="4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ourier New"/>
        <family val="1"/>
        <scheme val="none"/>
      </font>
      <fill>
        <patternFill patternType="solid">
          <fgColor indexed="64"/>
          <bgColor theme="4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</font>
      <numFmt numFmtId="33" formatCode="_ * #,##0_ ;_ * \-#,##0_ ;_ * &quot;-&quot;_ ;_ @_ "/>
      <border diagonalUp="0" diagonalDown="0">
        <left style="double">
          <color rgb="FFFF0000"/>
        </left>
        <right style="double">
          <color rgb="FFFF0000"/>
        </right>
        <vertical/>
      </border>
    </dxf>
    <dxf>
      <font>
        <b/>
        <strike val="0"/>
        <outline val="0"/>
        <shadow val="0"/>
        <u val="none"/>
        <vertAlign val="baseline"/>
        <sz val="16"/>
        <color auto="1"/>
        <name val="Courier New"/>
        <family val="1"/>
        <scheme val="none"/>
      </font>
      <fill>
        <patternFill patternType="solid">
          <fgColor indexed="64"/>
          <bgColor theme="4"/>
        </patternFill>
      </fill>
      <alignment horizontal="left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6"/>
        <color auto="1"/>
        <name val="Courier New"/>
        <family val="1"/>
        <scheme val="none"/>
      </font>
      <fill>
        <patternFill patternType="solid">
          <fgColor indexed="64"/>
          <bgColor theme="4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6"/>
        <color auto="1"/>
        <name val="Courier New"/>
        <family val="1"/>
        <scheme val="none"/>
      </font>
      <fill>
        <patternFill patternType="solid">
          <fgColor indexed="64"/>
          <bgColor theme="4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6"/>
        <color auto="1"/>
        <name val="Courier New"/>
        <family val="1"/>
        <scheme val="none"/>
      </font>
      <fill>
        <patternFill patternType="solid">
          <fgColor indexed="64"/>
          <bgColor theme="4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6"/>
        <color auto="1"/>
        <name val="Courier New"/>
        <family val="1"/>
        <scheme val="none"/>
      </font>
      <fill>
        <patternFill patternType="solid">
          <fgColor indexed="64"/>
          <bgColor theme="4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6"/>
        <color auto="1"/>
        <name val="Courier New"/>
        <family val="1"/>
        <scheme val="none"/>
      </font>
      <fill>
        <patternFill patternType="solid">
          <fgColor indexed="64"/>
          <bgColor theme="4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6"/>
        <color auto="1"/>
        <name val="Courier New"/>
        <family val="1"/>
        <scheme val="none"/>
      </font>
      <fill>
        <patternFill patternType="solid">
          <fgColor indexed="64"/>
          <bgColor theme="4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6"/>
        <color auto="1"/>
        <name val="Courier New"/>
        <family val="1"/>
        <scheme val="none"/>
      </font>
      <fill>
        <patternFill patternType="solid">
          <fgColor indexed="64"/>
          <bgColor theme="4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6"/>
        <color auto="1"/>
        <name val="Courier New"/>
        <family val="1"/>
        <scheme val="none"/>
      </font>
      <fill>
        <patternFill patternType="solid">
          <fgColor indexed="64"/>
          <bgColor theme="4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6"/>
        <color auto="1"/>
        <name val="Courier New"/>
        <family val="1"/>
        <scheme val="none"/>
      </font>
      <fill>
        <patternFill patternType="solid">
          <fgColor indexed="64"/>
          <bgColor theme="4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6"/>
        <color auto="1"/>
        <name val="Courier New"/>
        <family val="1"/>
        <scheme val="none"/>
      </font>
      <fill>
        <patternFill patternType="solid">
          <fgColor indexed="64"/>
          <bgColor theme="4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6"/>
        <color auto="1"/>
        <name val="Courier New"/>
        <family val="1"/>
        <scheme val="none"/>
      </font>
      <fill>
        <patternFill patternType="solid">
          <fgColor indexed="64"/>
          <bgColor theme="4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3" formatCode="_ * #,##0_ ;_ * \-#,##0_ ;_ * &quot;-&quot;_ ;_ @_ "/>
      <border diagonalUp="0" diagonalDown="0">
        <left style="double">
          <color rgb="FFFF0000"/>
        </left>
        <right style="double">
          <color rgb="FFFF0000"/>
        </right>
        <vertical/>
      </border>
    </dxf>
    <dxf>
      <font>
        <b/>
        <strike val="0"/>
        <outline val="0"/>
        <shadow val="0"/>
        <u val="none"/>
        <vertAlign val="baseline"/>
        <sz val="16"/>
        <color auto="1"/>
        <name val="Courier New"/>
        <family val="1"/>
        <scheme val="none"/>
      </font>
      <fill>
        <patternFill patternType="solid">
          <fgColor indexed="64"/>
          <bgColor theme="4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6"/>
        <color auto="1"/>
        <name val="Courier New"/>
        <family val="1"/>
        <scheme val="none"/>
      </font>
      <fill>
        <patternFill patternType="solid">
          <fgColor indexed="64"/>
          <bgColor theme="4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6"/>
        <color auto="1"/>
        <name val="Courier New"/>
        <family val="1"/>
        <scheme val="none"/>
      </font>
      <fill>
        <patternFill patternType="solid">
          <fgColor indexed="64"/>
          <bgColor theme="4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6"/>
        <color auto="1"/>
        <name val="Courier New"/>
        <family val="1"/>
        <scheme val="none"/>
      </font>
      <fill>
        <patternFill patternType="solid">
          <fgColor indexed="64"/>
          <bgColor theme="4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6"/>
        <color auto="1"/>
        <name val="Courier New"/>
        <family val="1"/>
        <scheme val="none"/>
      </font>
      <fill>
        <patternFill patternType="solid">
          <fgColor indexed="64"/>
          <bgColor theme="4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6"/>
        <color auto="1"/>
        <name val="Courier New"/>
        <family val="1"/>
        <scheme val="none"/>
      </font>
      <fill>
        <patternFill patternType="solid">
          <fgColor indexed="64"/>
          <bgColor theme="4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6"/>
        <color auto="1"/>
        <name val="Courier New"/>
        <family val="1"/>
        <scheme val="none"/>
      </font>
      <fill>
        <patternFill patternType="solid">
          <fgColor indexed="64"/>
          <bgColor theme="4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6"/>
        <color auto="1"/>
        <name val="Courier New"/>
        <family val="1"/>
        <scheme val="none"/>
      </font>
      <fill>
        <patternFill patternType="solid">
          <fgColor indexed="64"/>
          <bgColor theme="4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6"/>
        <color auto="1"/>
        <name val="Courier New"/>
        <family val="1"/>
        <scheme val="none"/>
      </font>
      <fill>
        <patternFill patternType="solid">
          <fgColor indexed="64"/>
          <bgColor theme="4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6"/>
        <color auto="1"/>
        <name val="Courier New"/>
        <family val="1"/>
        <scheme val="none"/>
      </font>
      <fill>
        <patternFill patternType="solid">
          <fgColor indexed="64"/>
          <bgColor theme="4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6"/>
        <color auto="1"/>
        <name val="Courier New"/>
        <family val="1"/>
        <scheme val="none"/>
      </font>
      <fill>
        <patternFill patternType="solid">
          <fgColor indexed="64"/>
          <bgColor theme="4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6"/>
        <color auto="1"/>
        <name val="Courier New"/>
        <family val="1"/>
        <scheme val="none"/>
      </font>
      <fill>
        <patternFill patternType="solid">
          <fgColor indexed="64"/>
          <bgColor theme="4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3" formatCode="_ * #,##0_ ;_ * \-#,##0_ ;_ * &quot;-&quot;_ ;_ @_ "/>
      <border diagonalUp="0" diagonalDown="0">
        <left style="double">
          <color rgb="FFFF0000"/>
        </left>
        <right style="double">
          <color rgb="FFFF0000"/>
        </right>
        <vertical/>
      </border>
    </dxf>
    <dxf>
      <font>
        <b/>
        <strike val="0"/>
        <outline val="0"/>
        <shadow val="0"/>
        <u val="none"/>
        <vertAlign val="baseline"/>
        <sz val="16"/>
        <color auto="1"/>
        <name val="Courier New"/>
        <family val="1"/>
        <scheme val="none"/>
      </font>
      <fill>
        <patternFill patternType="solid">
          <fgColor indexed="64"/>
          <bgColor theme="4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6"/>
        <color auto="1"/>
        <name val="Courier New"/>
        <family val="1"/>
        <scheme val="none"/>
      </font>
      <fill>
        <patternFill patternType="solid">
          <fgColor indexed="64"/>
          <bgColor theme="4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6"/>
        <color auto="1"/>
        <name val="Courier New"/>
        <family val="1"/>
        <scheme val="none"/>
      </font>
      <fill>
        <patternFill patternType="solid">
          <fgColor indexed="64"/>
          <bgColor theme="4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6"/>
        <color auto="1"/>
        <name val="Courier New"/>
        <family val="1"/>
        <scheme val="none"/>
      </font>
      <fill>
        <patternFill patternType="solid">
          <fgColor indexed="64"/>
          <bgColor theme="4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6"/>
        <color auto="1"/>
        <name val="Courier New"/>
        <family val="1"/>
        <scheme val="none"/>
      </font>
      <fill>
        <patternFill patternType="solid">
          <fgColor indexed="64"/>
          <bgColor theme="4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6"/>
        <color auto="1"/>
        <name val="Courier New"/>
        <family val="1"/>
        <scheme val="none"/>
      </font>
      <fill>
        <patternFill patternType="solid">
          <fgColor indexed="64"/>
          <bgColor theme="4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6"/>
        <color auto="1"/>
        <name val="Courier New"/>
        <family val="1"/>
        <scheme val="none"/>
      </font>
      <fill>
        <patternFill patternType="solid">
          <fgColor indexed="64"/>
          <bgColor theme="4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6"/>
        <color auto="1"/>
        <name val="Courier New"/>
        <family val="1"/>
        <scheme val="none"/>
      </font>
      <fill>
        <patternFill patternType="solid">
          <fgColor indexed="64"/>
          <bgColor theme="4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6"/>
        <color auto="1"/>
        <name val="Courier New"/>
        <family val="1"/>
        <scheme val="none"/>
      </font>
      <fill>
        <patternFill patternType="solid">
          <fgColor indexed="64"/>
          <bgColor theme="4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6"/>
        <color auto="1"/>
        <name val="Courier New"/>
        <family val="1"/>
        <scheme val="none"/>
      </font>
      <fill>
        <patternFill patternType="solid">
          <fgColor indexed="64"/>
          <bgColor theme="4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6"/>
        <color auto="1"/>
        <name val="Courier New"/>
        <family val="1"/>
        <scheme val="none"/>
      </font>
      <fill>
        <patternFill patternType="solid">
          <fgColor indexed="64"/>
          <bgColor theme="4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6"/>
        <color auto="1"/>
        <name val="Courier New"/>
        <family val="1"/>
        <scheme val="none"/>
      </font>
      <fill>
        <patternFill patternType="solid">
          <fgColor indexed="64"/>
          <bgColor theme="4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3" formatCode="_ * #,##0_ ;_ * \-#,##0_ ;_ * &quot;-&quot;_ ;_ @_ "/>
      <border diagonalUp="0" diagonalDown="0">
        <left style="double">
          <color rgb="FFFF0000"/>
        </left>
        <right style="double">
          <color rgb="FFFF0000"/>
        </right>
        <vertical/>
      </border>
    </dxf>
    <dxf>
      <font>
        <b/>
        <strike val="0"/>
        <outline val="0"/>
        <shadow val="0"/>
        <u val="none"/>
        <vertAlign val="baseline"/>
        <sz val="16"/>
        <color auto="1"/>
        <name val="Courier New"/>
        <family val="1"/>
        <scheme val="none"/>
      </font>
      <fill>
        <patternFill patternType="solid">
          <fgColor indexed="64"/>
          <bgColor theme="4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6"/>
        <color auto="1"/>
        <name val="Courier New"/>
        <family val="1"/>
        <scheme val="none"/>
      </font>
      <fill>
        <patternFill patternType="solid">
          <fgColor indexed="64"/>
          <bgColor theme="4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6"/>
        <color auto="1"/>
        <name val="Courier New"/>
        <family val="1"/>
        <scheme val="none"/>
      </font>
      <fill>
        <patternFill patternType="solid">
          <fgColor indexed="64"/>
          <bgColor theme="4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6"/>
        <color auto="1"/>
        <name val="Courier New"/>
        <family val="1"/>
        <scheme val="none"/>
      </font>
      <fill>
        <patternFill patternType="solid">
          <fgColor indexed="64"/>
          <bgColor theme="4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6"/>
        <name val="Courier New"/>
        <family val="1"/>
        <scheme val="none"/>
      </font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6"/>
        <name val="Courier New"/>
        <family val="1"/>
        <scheme val="none"/>
      </font>
      <numFmt numFmtId="32" formatCode="_ &quot;$&quot;* #,##0_ ;_ &quot;$&quot;* \-#,##0_ ;_ &quot;$&quot;* &quot;-&quot;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6"/>
        <name val="Courier New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Courier New"/>
        <family val="1"/>
        <scheme val="none"/>
      </font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6"/>
        <name val="Courier New"/>
        <family val="1"/>
        <scheme val="none"/>
      </font>
    </dxf>
    <dxf>
      <border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6"/>
        <color theme="0"/>
        <name val="Aptos Narrow"/>
        <scheme val="minor"/>
      </font>
      <alignment horizont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2" formatCode="_ &quot;$&quot;* #,##0_ ;_ &quot;$&quot;* \-#,##0_ ;_ &quot;$&quot;* &quot;-&quot;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0" formatCode="&quot;$&quot;#,##0;[Red]&quot;$&quot;\-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0" formatCode="&quot;$&quot;#,##0;[Red]&quot;$&quot;\-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0" formatCode="&quot;$&quot;#,##0;[Red]&quot;$&quot;\-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0" formatCode="&quot;$&quot;#,##0;[Red]&quot;$&quot;\-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0" formatCode="&quot;$&quot;#,##0;[Red]&quot;$&quot;\-#,##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164" formatCode="dd/mm/yyyy;@"/>
    </dxf>
    <dxf>
      <fill>
        <patternFill patternType="solid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mmm/yyyy"/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Invisible" pivot="0" table="0" count="0" xr9:uid="{06FA3DAF-00D0-4174-8EEC-CA9D570AE04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07/relationships/slicerCache" Target="slicerCaches/slicerCache1.xml"/><Relationship Id="rId18" Type="http://schemas.openxmlformats.org/officeDocument/2006/relationships/theme" Target="theme/theme1.xml"/><Relationship Id="rId26" Type="http://schemas.openxmlformats.org/officeDocument/2006/relationships/customXml" Target="../customXml/item2.xml"/><Relationship Id="rId39" Type="http://schemas.openxmlformats.org/officeDocument/2006/relationships/customXml" Target="../customXml/item15.xml"/><Relationship Id="rId21" Type="http://schemas.openxmlformats.org/officeDocument/2006/relationships/sharedStrings" Target="sharedStrings.xml"/><Relationship Id="rId34" Type="http://schemas.openxmlformats.org/officeDocument/2006/relationships/customXml" Target="../customXml/item1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microsoft.com/office/2007/relationships/slicerCache" Target="slicerCaches/slicerCache4.xml"/><Relationship Id="rId20" Type="http://schemas.openxmlformats.org/officeDocument/2006/relationships/styles" Target="styles.xml"/><Relationship Id="rId29" Type="http://schemas.openxmlformats.org/officeDocument/2006/relationships/customXml" Target="../customXml/item5.xml"/><Relationship Id="rId41" Type="http://schemas.openxmlformats.org/officeDocument/2006/relationships/customXml" Target="../customXml/item1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24" Type="http://schemas.openxmlformats.org/officeDocument/2006/relationships/calcChain" Target="calcChain.xml"/><Relationship Id="rId32" Type="http://schemas.openxmlformats.org/officeDocument/2006/relationships/customXml" Target="../customXml/item8.xml"/><Relationship Id="rId37" Type="http://schemas.openxmlformats.org/officeDocument/2006/relationships/customXml" Target="../customXml/item13.xml"/><Relationship Id="rId40" Type="http://schemas.openxmlformats.org/officeDocument/2006/relationships/customXml" Target="../customXml/item16.xml"/><Relationship Id="rId5" Type="http://schemas.openxmlformats.org/officeDocument/2006/relationships/worksheet" Target="worksheets/sheet5.xml"/><Relationship Id="rId15" Type="http://schemas.microsoft.com/office/2007/relationships/slicerCache" Target="slicerCaches/slicerCache3.xml"/><Relationship Id="rId23" Type="http://schemas.openxmlformats.org/officeDocument/2006/relationships/powerPivotData" Target="model/item.data"/><Relationship Id="rId28" Type="http://schemas.openxmlformats.org/officeDocument/2006/relationships/customXml" Target="../customXml/item4.xml"/><Relationship Id="rId36" Type="http://schemas.openxmlformats.org/officeDocument/2006/relationships/customXml" Target="../customXml/item12.xml"/><Relationship Id="rId10" Type="http://schemas.openxmlformats.org/officeDocument/2006/relationships/pivotCacheDefinition" Target="pivotCache/pivotCacheDefinition1.xml"/><Relationship Id="rId19" Type="http://schemas.openxmlformats.org/officeDocument/2006/relationships/connections" Target="connections.xml"/><Relationship Id="rId31" Type="http://schemas.openxmlformats.org/officeDocument/2006/relationships/customXml" Target="../customXml/item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2.xml"/><Relationship Id="rId22" Type="http://schemas.openxmlformats.org/officeDocument/2006/relationships/sheetMetadata" Target="metadata.xml"/><Relationship Id="rId27" Type="http://schemas.openxmlformats.org/officeDocument/2006/relationships/customXml" Target="../customXml/item3.xml"/><Relationship Id="rId30" Type="http://schemas.openxmlformats.org/officeDocument/2006/relationships/customXml" Target="../customXml/item6.xml"/><Relationship Id="rId35" Type="http://schemas.openxmlformats.org/officeDocument/2006/relationships/customXml" Target="../customXml/item1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3.xml"/><Relationship Id="rId17" Type="http://schemas.microsoft.com/office/2007/relationships/slicerCache" Target="slicerCaches/slicerCache5.xml"/><Relationship Id="rId25" Type="http://schemas.openxmlformats.org/officeDocument/2006/relationships/customXml" Target="../customXml/item1.xml"/><Relationship Id="rId33" Type="http://schemas.openxmlformats.org/officeDocument/2006/relationships/customXml" Target="../customXml/item9.xml"/><Relationship Id="rId38" Type="http://schemas.openxmlformats.org/officeDocument/2006/relationships/customXml" Target="../customXml/item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'Para Inf Web'!$D$1</c:f>
          <c:strCache>
            <c:ptCount val="1"/>
            <c:pt idx="0">
              <c:v>FINANZAS DICIEMBRE DEL 2025</c:v>
            </c:pt>
          </c:strCache>
        </c:strRef>
      </c:tx>
      <c:layout>
        <c:manualLayout>
          <c:xMode val="edge"/>
          <c:yMode val="edge"/>
          <c:x val="0.25068949120304329"/>
          <c:y val="1.16414435389988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Egresos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'Para Inf Web'!$H$3</c:f>
              <c:numCache>
                <c:formatCode>_("$"* #,##0_);_("$"* \(#,##0\);_("$"* "-"_);_(@_)</c:formatCode>
                <c:ptCount val="1"/>
                <c:pt idx="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'Para Inf Web'!#REF!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C008-40A2-9CD8-167287CE6408}"/>
            </c:ext>
          </c:extLst>
        </c:ser>
        <c:ser>
          <c:idx val="1"/>
          <c:order val="1"/>
          <c:tx>
            <c:v>Ingresos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'Para Inf Web'!$I$3</c:f>
              <c:numCache>
                <c:formatCode>_("$"* #,##0_);_("$"* \(#,##0\);_("$"*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08-40A2-9CD8-167287CE640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952422159"/>
        <c:axId val="1952412079"/>
      </c:barChart>
      <c:catAx>
        <c:axId val="1952422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952412079"/>
        <c:crosses val="autoZero"/>
        <c:auto val="1"/>
        <c:lblAlgn val="ctr"/>
        <c:lblOffset val="100"/>
        <c:noMultiLvlLbl val="0"/>
      </c:catAx>
      <c:valAx>
        <c:axId val="1952412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_);_(@_)" sourceLinked="1"/>
        <c:majorTickMark val="out"/>
        <c:minorTickMark val="in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952422159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>
        <a:lumMod val="95000"/>
      </a:schemeClr>
    </a:solidFill>
    <a:ln w="12700" cap="flat" cmpd="sng" algn="ctr">
      <a:solidFill>
        <a:schemeClr val="dk1"/>
      </a:solidFill>
      <a:prstDash val="solid"/>
      <a:miter lim="800000"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'Para Inf Web'!$D$2</c:f>
          <c:strCache>
            <c:ptCount val="1"/>
            <c:pt idx="0">
              <c:v>DISTRIBUCIÓN DE LOS EGRESOS A DICIEMBRE DEL 2025</c:v>
            </c:pt>
          </c:strCache>
        </c:strRef>
      </c:tx>
      <c:layout>
        <c:manualLayout>
          <c:xMode val="edge"/>
          <c:yMode val="edge"/>
          <c:x val="0.20231196326670195"/>
          <c:y val="5.0206983625544852E-3"/>
        </c:manualLayout>
      </c:layout>
      <c:overlay val="0"/>
      <c:spPr>
        <a:solidFill>
          <a:schemeClr val="lt1"/>
        </a:solidFill>
        <a:ln w="22225" cap="flat" cmpd="sng" algn="ctr">
          <a:solidFill>
            <a:schemeClr val="dk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10551068013737043"/>
          <c:y val="9.4023987516929489E-2"/>
          <c:w val="0.70842588260755568"/>
          <c:h val="0.78040921045049227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8E6-4F51-AB4C-A75409B0C47B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8E6-4F51-AB4C-A75409B0C47B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8E6-4F51-AB4C-A75409B0C47B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8E6-4F51-AB4C-A75409B0C47B}"/>
              </c:ext>
            </c:extLst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8E6-4F51-AB4C-A75409B0C47B}"/>
              </c:ext>
            </c:extLst>
          </c:dPt>
          <c:dPt>
            <c:idx val="5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58E6-4F51-AB4C-A75409B0C47B}"/>
              </c:ext>
            </c:extLst>
          </c:dPt>
          <c:dPt>
            <c:idx val="6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58E6-4F51-AB4C-A75409B0C47B}"/>
              </c:ext>
            </c:extLst>
          </c:dPt>
          <c:dPt>
            <c:idx val="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58E6-4F51-AB4C-A75409B0C47B}"/>
              </c:ext>
            </c:extLst>
          </c:dPt>
          <c:dPt>
            <c:idx val="8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58E6-4F51-AB4C-A75409B0C47B}"/>
              </c:ext>
            </c:extLst>
          </c:dPt>
          <c:dPt>
            <c:idx val="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58E6-4F51-AB4C-A75409B0C47B}"/>
              </c:ext>
            </c:extLst>
          </c:dPt>
          <c:dPt>
            <c:idx val="10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58E6-4F51-AB4C-A75409B0C47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58E6-4F51-AB4C-A75409B0C47B}"/>
              </c:ext>
            </c:extLst>
          </c:dPt>
          <c:dPt>
            <c:idx val="12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58E6-4F51-AB4C-A75409B0C47B}"/>
              </c:ext>
            </c:extLst>
          </c:dPt>
          <c:dLbls>
            <c:numFmt formatCode="_(&quot;$&quot;* #,##0_);_(&quot;$&quot;* \(#,##0\);_(&quot;$&quot;* &quot;-&quot;_);_(@_)" sourceLinked="0"/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000" b="0" i="0" u="none" strike="noStrike" kern="1200" cap="none" spc="0" baseline="0">
                    <a:ln w="0"/>
                    <a:solidFill>
                      <a:schemeClr val="bg1"/>
                    </a:solidFill>
                    <a:effectLst>
                      <a:outerShdw blurRad="38100" dist="25400" dir="5400000" algn="ctr" rotWithShape="0">
                        <a:srgbClr val="6E747A">
                          <a:alpha val="43000"/>
                        </a:srgb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numRef>
              <c:f>'Para Inf Web'!$M$5:$M$17</c:f>
              <c:numCache>
                <c:formatCode>_(* #,##0_);_(* \(#,##0\);_(* "-"_);_(@_)</c:formatCode>
                <c:ptCount val="13"/>
              </c:numCache>
            </c:numRef>
          </c:cat>
          <c:val>
            <c:numRef>
              <c:f>'Para Inf Web'!$H$5:$H$17</c:f>
              <c:numCache>
                <c:formatCode>_(* #,##0_);_(* \(#,##0\);_(* "-"_);_(@_)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1A-58E6-4F51-AB4C-A75409B0C47B}"/>
            </c:ext>
          </c:extLst>
        </c:ser>
        <c:dLbls>
          <c:dLblPos val="ctr"/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736481866765181"/>
          <c:y val="0.74558849845909625"/>
          <c:w val="0.24019948039333044"/>
          <c:h val="0.22664168819925898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zero"/>
    <c:showDLblsOverMax val="0"/>
  </c:chart>
  <c:spPr>
    <a:solidFill>
      <a:schemeClr val="lt1"/>
    </a:solidFill>
    <a:ln w="19050" cap="flat" cmpd="sng" algn="ctr">
      <a:solidFill>
        <a:schemeClr val="accent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492726</xdr:colOff>
      <xdr:row>0</xdr:row>
      <xdr:rowOff>94241</xdr:rowOff>
    </xdr:from>
    <xdr:to>
      <xdr:col>6</xdr:col>
      <xdr:colOff>405880</xdr:colOff>
      <xdr:row>25</xdr:row>
      <xdr:rowOff>98724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CtaCtbl 2">
              <a:extLst>
                <a:ext uri="{FF2B5EF4-FFF2-40B4-BE49-F238E27FC236}">
                  <a16:creationId xmlns:a16="http://schemas.microsoft.com/office/drawing/2014/main" id="{207DA1B2-0EB0-0F09-7228-C4EFAA82F9A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taCtbl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10185" y="94241"/>
              <a:ext cx="3014942" cy="503368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220980</xdr:colOff>
      <xdr:row>16</xdr:row>
      <xdr:rowOff>102870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97B809B-B147-4072-B5A3-69446AB25A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384643</xdr:colOff>
      <xdr:row>0</xdr:row>
      <xdr:rowOff>8614</xdr:rowOff>
    </xdr:from>
    <xdr:to>
      <xdr:col>18</xdr:col>
      <xdr:colOff>233629</xdr:colOff>
      <xdr:row>38</xdr:row>
      <xdr:rowOff>51909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F079CA2-E679-4402-818F-5EA04F8480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662940</xdr:colOff>
      <xdr:row>0</xdr:row>
      <xdr:rowOff>76200</xdr:rowOff>
    </xdr:from>
    <xdr:to>
      <xdr:col>5</xdr:col>
      <xdr:colOff>53340</xdr:colOff>
      <xdr:row>9</xdr:row>
      <xdr:rowOff>54349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Descripción">
              <a:extLst>
                <a:ext uri="{FF2B5EF4-FFF2-40B4-BE49-F238E27FC236}">
                  <a16:creationId xmlns:a16="http://schemas.microsoft.com/office/drawing/2014/main" id="{F3621541-60C9-FFDD-8902-77E7C0253A1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scripció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08860" y="76200"/>
              <a:ext cx="3970020" cy="1257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6</xdr:col>
      <xdr:colOff>38100</xdr:colOff>
      <xdr:row>0</xdr:row>
      <xdr:rowOff>59056</xdr:rowOff>
    </xdr:from>
    <xdr:to>
      <xdr:col>12</xdr:col>
      <xdr:colOff>129764</xdr:colOff>
      <xdr:row>6</xdr:row>
      <xdr:rowOff>18379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4" name="CtaCtbl">
              <a:extLst>
                <a:ext uri="{FF2B5EF4-FFF2-40B4-BE49-F238E27FC236}">
                  <a16:creationId xmlns:a16="http://schemas.microsoft.com/office/drawing/2014/main" id="{1D44E186-29AC-2F04-4444-AEB1B0720F8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taCtb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64480" y="64771"/>
              <a:ext cx="5840730" cy="12534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91440</xdr:colOff>
      <xdr:row>0</xdr:row>
      <xdr:rowOff>76201</xdr:rowOff>
    </xdr:from>
    <xdr:to>
      <xdr:col>1</xdr:col>
      <xdr:colOff>396240</xdr:colOff>
      <xdr:row>9</xdr:row>
      <xdr:rowOff>92450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5" name="Año">
              <a:extLst>
                <a:ext uri="{FF2B5EF4-FFF2-40B4-BE49-F238E27FC236}">
                  <a16:creationId xmlns:a16="http://schemas.microsoft.com/office/drawing/2014/main" id="{48AD85D8-1CA8-87E8-FE12-87C8B8B3FF9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820" y="76200"/>
              <a:ext cx="762000" cy="223265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440055</xdr:colOff>
      <xdr:row>0</xdr:row>
      <xdr:rowOff>55246</xdr:rowOff>
    </xdr:from>
    <xdr:to>
      <xdr:col>3</xdr:col>
      <xdr:colOff>624840</xdr:colOff>
      <xdr:row>9</xdr:row>
      <xdr:rowOff>56255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6" name="Mes">
              <a:extLst>
                <a:ext uri="{FF2B5EF4-FFF2-40B4-BE49-F238E27FC236}">
                  <a16:creationId xmlns:a16="http://schemas.microsoft.com/office/drawing/2014/main" id="{D1E3802A-4C41-071C-23F4-E4D8F33CB84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1540" y="68580"/>
              <a:ext cx="1371600" cy="224027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udwig Corales Marti" refreshedDate="46021.695340509257" backgroundQuery="1" createdVersion="8" refreshedVersion="8" minRefreshableVersion="3" recordCount="0" supportSubquery="1" supportAdvancedDrill="1" xr:uid="{0DED0089-889D-4A04-9CB8-DAC9EEE6557C}">
  <cacheSource type="external" connectionId="3"/>
  <cacheFields count="5">
    <cacheField name="[Banco].[Mes].[Mes]" caption="Mes" numFmtId="0" hierarchy="1" level="1">
      <sharedItems containsSemiMixedTypes="0" containsNonDate="0" containsString="0"/>
    </cacheField>
    <cacheField name="[Banco].[Año].[Año]" caption="Año" numFmtId="0" level="1">
      <sharedItems containsSemiMixedTypes="0" containsNonDate="0" containsString="0"/>
    </cacheField>
    <cacheField name="[Banco].[Fecha (mes)].[Fecha (mes)]" caption="Fecha (mes)" numFmtId="0" hierarchy="15" level="1">
      <sharedItems count="10">
        <s v="abr"/>
        <s v="may"/>
        <s v="ene"/>
        <s v="jun"/>
        <s v="ago"/>
        <s v="oct"/>
        <s v="feb"/>
        <s v="jul"/>
        <s v="mar"/>
        <s v="sept"/>
      </sharedItems>
    </cacheField>
    <cacheField name="[Banco].[CtaCtbl].[CtaCtbl]" caption="CtaCtbl" numFmtId="0" hierarchy="11" level="1">
      <sharedItems count="5">
        <s v="2.01.01.01.1 - Asesoria Legal - Convenio Fijo Mensual"/>
        <s v="2.01.01.01.2 - Asesoria Legal - Proyectos Negociacion"/>
        <s v="2.01.03.03.1.4 - Uso de Vehiculo personal"/>
        <s v="2.01.04.02 - Alojamiento"/>
        <s v="2.02.06 - Pago Bonos a Socios"/>
      </sharedItems>
    </cacheField>
    <cacheField name="[Banco].[Nombre Cuenta].[Nombre Cuenta]" caption="Nombre Cuenta" numFmtId="0" hierarchy="12" level="1">
      <sharedItems count="4">
        <s v="Cuota Ordinaria"/>
        <s v="Pago Comisiones"/>
        <s v="Sitio corporativo web"/>
        <s v="Taxi, Uber o Similar"/>
      </sharedItems>
    </cacheField>
  </cacheFields>
  <cacheHierarchies count="22">
    <cacheHierarchy uniqueName="[Banco].[Año]" caption="Año" attribute="1" defaultMemberUniqueName="[Banco].[Año].[All]" allUniqueName="[Banco].[Año].[All]" dimensionUniqueName="[Banco]" displayFolder="" count="2" memberValueDatatype="20" unbalanced="0">
      <fieldsUsage count="2">
        <fieldUsage x="-1"/>
        <fieldUsage x="1"/>
      </fieldsUsage>
    </cacheHierarchy>
    <cacheHierarchy uniqueName="[Banco].[Mes]" caption="Mes" attribute="1" defaultMemberUniqueName="[Banco].[Mes].[All]" allUniqueName="[Banco].[Mes].[All]" dimensionUniqueName="[Banco]" displayFolder="" count="2" memberValueDatatype="130" unbalanced="0">
      <fieldsUsage count="2">
        <fieldUsage x="-1"/>
        <fieldUsage x="0"/>
      </fieldsUsage>
    </cacheHierarchy>
    <cacheHierarchy uniqueName="[Banco].[Periodo Contable]" caption="Periodo Contable" attribute="1" defaultMemberUniqueName="[Banco].[Periodo Contable].[All]" allUniqueName="[Banco].[Periodo Contable].[All]" dimensionUniqueName="[Banco]" displayFolder="" count="0" memberValueDatatype="130" unbalanced="0"/>
    <cacheHierarchy uniqueName="[Banco].[Fecha]" caption="Fecha" attribute="1" time="1" defaultMemberUniqueName="[Banco].[Fecha].[All]" allUniqueName="[Banco].[Fecha].[All]" dimensionUniqueName="[Banco]" displayFolder="" count="0" memberValueDatatype="7" unbalanced="0"/>
    <cacheHierarchy uniqueName="[Banco].[Descripción]" caption="Descripción" attribute="1" defaultMemberUniqueName="[Banco].[Descripción].[All]" allUniqueName="[Banco].[Descripción].[All]" dimensionUniqueName="[Banco]" displayFolder="" count="0" memberValueDatatype="130" unbalanced="0"/>
    <cacheHierarchy uniqueName="[Banco].[N° Doc.]" caption="N° Doc." attribute="1" defaultMemberUniqueName="[Banco].[N° Doc.].[All]" allUniqueName="[Banco].[N° Doc.].[All]" dimensionUniqueName="[Banco]" displayFolder="" count="0" memberValueDatatype="130" unbalanced="0"/>
    <cacheHierarchy uniqueName="[Banco].[Egresos]" caption="Egresos" attribute="1" defaultMemberUniqueName="[Banco].[Egresos].[All]" allUniqueName="[Banco].[Egresos].[All]" dimensionUniqueName="[Banco]" displayFolder="" count="0" memberValueDatatype="20" unbalanced="0"/>
    <cacheHierarchy uniqueName="[Banco].[Cargos]" caption="Cargos" attribute="1" defaultMemberUniqueName="[Banco].[Cargos].[All]" allUniqueName="[Banco].[Cargos].[All]" dimensionUniqueName="[Banco]" displayFolder="" count="0" memberValueDatatype="20" unbalanced="0"/>
    <cacheHierarchy uniqueName="[Banco].[Ingresos]" caption="Ingresos" attribute="1" defaultMemberUniqueName="[Banco].[Ingresos].[All]" allUniqueName="[Banco].[Ingresos].[All]" dimensionUniqueName="[Banco]" displayFolder="" count="0" memberValueDatatype="20" unbalanced="0"/>
    <cacheHierarchy uniqueName="[Banco].[Saldo]" caption="Saldo" attribute="1" defaultMemberUniqueName="[Banco].[Saldo].[All]" allUniqueName="[Banco].[Saldo].[All]" dimensionUniqueName="[Banco]" displayFolder="" count="0" memberValueDatatype="20" unbalanced="0"/>
    <cacheHierarchy uniqueName="[Banco].[Monto]" caption="Monto" attribute="1" defaultMemberUniqueName="[Banco].[Monto].[All]" allUniqueName="[Banco].[Monto].[All]" dimensionUniqueName="[Banco]" displayFolder="" count="0" memberValueDatatype="20" unbalanced="0"/>
    <cacheHierarchy uniqueName="[Banco].[CtaCtbl]" caption="CtaCtbl" attribute="1" defaultMemberUniqueName="[Banco].[CtaCtbl].[All]" allUniqueName="[Banco].[CtaCtbl].[All]" dimensionUniqueName="[Banco]" displayFolder="" count="2" memberValueDatatype="130" unbalanced="0">
      <fieldsUsage count="2">
        <fieldUsage x="-1"/>
        <fieldUsage x="3"/>
      </fieldsUsage>
    </cacheHierarchy>
    <cacheHierarchy uniqueName="[Banco].[Nombre Cuenta]" caption="Nombre Cuenta" attribute="1" defaultMemberUniqueName="[Banco].[Nombre Cuenta].[All]" allUniqueName="[Banco].[Nombre Cuenta].[All]" dimensionUniqueName="[Banco]" displayFolder="" count="2" memberValueDatatype="130" unbalanced="0">
      <fieldsUsage count="2">
        <fieldUsage x="-1"/>
        <fieldUsage x="4"/>
      </fieldsUsage>
    </cacheHierarchy>
    <cacheHierarchy uniqueName="[Banco].[Observacion del Gasto o Abono /  Link a Document0o Respaldo]" caption="Observacion del Gasto o Abono /  Link a Document0o Respaldo" attribute="1" defaultMemberUniqueName="[Banco].[Observacion del Gasto o Abono /  Link a Document0o Respaldo].[All]" allUniqueName="[Banco].[Observacion del Gasto o Abono /  Link a Document0o Respaldo].[All]" dimensionUniqueName="[Banco]" displayFolder="" count="0" memberValueDatatype="130" unbalanced="0"/>
    <cacheHierarchy uniqueName="[Banco].[Cartola]" caption="Cartola" attribute="1" defaultMemberUniqueName="[Banco].[Cartola].[All]" allUniqueName="[Banco].[Cartola].[All]" dimensionUniqueName="[Banco]" displayFolder="" count="0" memberValueDatatype="130" unbalanced="0"/>
    <cacheHierarchy uniqueName="[Banco].[Fecha (mes)]" caption="Fecha (mes)" attribute="1" defaultMemberUniqueName="[Banco].[Fecha (mes)].[All]" allUniqueName="[Banco].[Fecha (mes)].[All]" dimensionUniqueName="[Banco]" displayFolder="" count="2" memberValueDatatype="130" unbalanced="0">
      <fieldsUsage count="2">
        <fieldUsage x="-1"/>
        <fieldUsage x="2"/>
      </fieldsUsage>
    </cacheHierarchy>
    <cacheHierarchy uniqueName="[Banco].[Fecha (índice de meses)]" caption="Fecha (índice de meses)" attribute="1" defaultMemberUniqueName="[Banco].[Fecha (índice de meses)].[All]" allUniqueName="[Banco].[Fecha (índice de meses)].[All]" dimensionUniqueName="[Banco]" displayFolder="" count="0" memberValueDatatype="20" unbalanced="0" hidden="1"/>
    <cacheHierarchy uniqueName="[Measures].[__XL_Count Banco]" caption="__XL_Count Banco" measure="1" displayFolder="" measureGroup="Banco" count="0" hidden="1"/>
    <cacheHierarchy uniqueName="[Measures].[__No measures defined]" caption="__No measures defined" measure="1" displayFolder="" count="0" hidden="1"/>
    <cacheHierarchy uniqueName="[Measures].[Suma de Año]" caption="Suma de Año" measure="1" displayFolder="" measureGroup="Banco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Ingresos]" caption="Sum of Ingresos" measure="1" displayFolder="" measureGroup="Banco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a de Cargos]" caption="Suma de Cargos" measure="1" displayFolder="" measureGroup="Banco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name="Banco" uniqueName="[Banco]" caption="Banco"/>
    <dimension measure="1" name="Measures" uniqueName="[Measures]" caption="Measures"/>
  </dimensions>
  <measureGroups count="1">
    <measureGroup name="Banco" caption="Banco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udwig Corales Marti" refreshedDate="46021.695341666666" backgroundQuery="1" createdVersion="8" refreshedVersion="8" minRefreshableVersion="3" recordCount="0" supportSubquery="1" supportAdvancedDrill="1" xr:uid="{C6032E34-3971-4BAC-8302-69AF91D5D559}">
  <cacheSource type="external" connectionId="3"/>
  <cacheFields count="6">
    <cacheField name="[Banco].[Mes].[Mes]" caption="Mes" numFmtId="0" hierarchy="1" level="1">
      <sharedItems containsSemiMixedTypes="0" containsNonDate="0" containsString="0"/>
    </cacheField>
    <cacheField name="[Banco].[Año].[Año]" caption="Año" numFmtId="0" level="1">
      <sharedItems containsSemiMixedTypes="0" containsNonDate="0" containsString="0"/>
    </cacheField>
    <cacheField name="[Measures].[Suma de Cargos]" caption="Suma de Cargos" numFmtId="0" hierarchy="21" level="32767"/>
    <cacheField name="[Banco].[Fecha (mes)].[Fecha (mes)]" caption="Fecha (mes)" numFmtId="0" hierarchy="15" level="1">
      <sharedItems count="2">
        <s v="may"/>
        <s v="oct"/>
      </sharedItems>
    </cacheField>
    <cacheField name="[Banco].[CtaCtbl].[CtaCtbl]" caption="CtaCtbl" numFmtId="0" hierarchy="11" level="1">
      <sharedItems count="5">
        <s v="2.01.01.01.1 - Asesoria Legal - Convenio Fijo Mensual"/>
        <s v="2.01.01.01.2 - Asesoria Legal - Proyectos Negociacion"/>
        <s v="2.01.03.03.1.4 - Uso de Vehiculo personal"/>
        <s v="2.01.04.02 - Alojamiento"/>
        <s v="2.02.06 - Pago Bonos a Socios"/>
      </sharedItems>
    </cacheField>
    <cacheField name="[Banco].[Nombre Cuenta].[Nombre Cuenta]" caption="Nombre Cuenta" numFmtId="0" hierarchy="12" level="1">
      <sharedItems count="4">
        <s v="Cuota Ordinaria"/>
        <s v="Pago Comisiones"/>
        <s v="Sitio corporativo web"/>
        <s v="Taxi, Uber o Similar"/>
      </sharedItems>
    </cacheField>
  </cacheFields>
  <cacheHierarchies count="22">
    <cacheHierarchy uniqueName="[Banco].[Año]" caption="Año" attribute="1" defaultMemberUniqueName="[Banco].[Año].[All]" allUniqueName="[Banco].[Año].[All]" dimensionUniqueName="[Banco]" displayFolder="" count="2" memberValueDatatype="20" unbalanced="0">
      <fieldsUsage count="2">
        <fieldUsage x="-1"/>
        <fieldUsage x="1"/>
      </fieldsUsage>
    </cacheHierarchy>
    <cacheHierarchy uniqueName="[Banco].[Mes]" caption="Mes" attribute="1" defaultMemberUniqueName="[Banco].[Mes].[All]" allUniqueName="[Banco].[Mes].[All]" dimensionUniqueName="[Banco]" displayFolder="" count="2" memberValueDatatype="130" unbalanced="0">
      <fieldsUsage count="2">
        <fieldUsage x="-1"/>
        <fieldUsage x="0"/>
      </fieldsUsage>
    </cacheHierarchy>
    <cacheHierarchy uniqueName="[Banco].[Periodo Contable]" caption="Periodo Contable" attribute="1" defaultMemberUniqueName="[Banco].[Periodo Contable].[All]" allUniqueName="[Banco].[Periodo Contable].[All]" dimensionUniqueName="[Banco]" displayFolder="" count="0" memberValueDatatype="130" unbalanced="0"/>
    <cacheHierarchy uniqueName="[Banco].[Fecha]" caption="Fecha" attribute="1" time="1" defaultMemberUniqueName="[Banco].[Fecha].[All]" allUniqueName="[Banco].[Fecha].[All]" dimensionUniqueName="[Banco]" displayFolder="" count="0" memberValueDatatype="7" unbalanced="0"/>
    <cacheHierarchy uniqueName="[Banco].[Descripción]" caption="Descripción" attribute="1" defaultMemberUniqueName="[Banco].[Descripción].[All]" allUniqueName="[Banco].[Descripción].[All]" dimensionUniqueName="[Banco]" displayFolder="" count="0" memberValueDatatype="130" unbalanced="0"/>
    <cacheHierarchy uniqueName="[Banco].[N° Doc.]" caption="N° Doc." attribute="1" defaultMemberUniqueName="[Banco].[N° Doc.].[All]" allUniqueName="[Banco].[N° Doc.].[All]" dimensionUniqueName="[Banco]" displayFolder="" count="0" memberValueDatatype="130" unbalanced="0"/>
    <cacheHierarchy uniqueName="[Banco].[Egresos]" caption="Egresos" attribute="1" defaultMemberUniqueName="[Banco].[Egresos].[All]" allUniqueName="[Banco].[Egresos].[All]" dimensionUniqueName="[Banco]" displayFolder="" count="0" memberValueDatatype="20" unbalanced="0"/>
    <cacheHierarchy uniqueName="[Banco].[Cargos]" caption="Cargos" attribute="1" defaultMemberUniqueName="[Banco].[Cargos].[All]" allUniqueName="[Banco].[Cargos].[All]" dimensionUniqueName="[Banco]" displayFolder="" count="0" memberValueDatatype="20" unbalanced="0"/>
    <cacheHierarchy uniqueName="[Banco].[Ingresos]" caption="Ingresos" attribute="1" defaultMemberUniqueName="[Banco].[Ingresos].[All]" allUniqueName="[Banco].[Ingresos].[All]" dimensionUniqueName="[Banco]" displayFolder="" count="0" memberValueDatatype="20" unbalanced="0"/>
    <cacheHierarchy uniqueName="[Banco].[Saldo]" caption="Saldo" attribute="1" defaultMemberUniqueName="[Banco].[Saldo].[All]" allUniqueName="[Banco].[Saldo].[All]" dimensionUniqueName="[Banco]" displayFolder="" count="0" memberValueDatatype="20" unbalanced="0"/>
    <cacheHierarchy uniqueName="[Banco].[Monto]" caption="Monto" attribute="1" defaultMemberUniqueName="[Banco].[Monto].[All]" allUniqueName="[Banco].[Monto].[All]" dimensionUniqueName="[Banco]" displayFolder="" count="0" memberValueDatatype="20" unbalanced="0"/>
    <cacheHierarchy uniqueName="[Banco].[CtaCtbl]" caption="CtaCtbl" attribute="1" defaultMemberUniqueName="[Banco].[CtaCtbl].[All]" allUniqueName="[Banco].[CtaCtbl].[All]" dimensionUniqueName="[Banco]" displayFolder="" count="2" memberValueDatatype="130" unbalanced="0">
      <fieldsUsage count="2">
        <fieldUsage x="-1"/>
        <fieldUsage x="4"/>
      </fieldsUsage>
    </cacheHierarchy>
    <cacheHierarchy uniqueName="[Banco].[Nombre Cuenta]" caption="Nombre Cuenta" attribute="1" defaultMemberUniqueName="[Banco].[Nombre Cuenta].[All]" allUniqueName="[Banco].[Nombre Cuenta].[All]" dimensionUniqueName="[Banco]" displayFolder="" count="2" memberValueDatatype="130" unbalanced="0">
      <fieldsUsage count="2">
        <fieldUsage x="-1"/>
        <fieldUsage x="5"/>
      </fieldsUsage>
    </cacheHierarchy>
    <cacheHierarchy uniqueName="[Banco].[Observacion del Gasto o Abono /  Link a Document0o Respaldo]" caption="Observacion del Gasto o Abono /  Link a Document0o Respaldo" attribute="1" defaultMemberUniqueName="[Banco].[Observacion del Gasto o Abono /  Link a Document0o Respaldo].[All]" allUniqueName="[Banco].[Observacion del Gasto o Abono /  Link a Document0o Respaldo].[All]" dimensionUniqueName="[Banco]" displayFolder="" count="0" memberValueDatatype="130" unbalanced="0"/>
    <cacheHierarchy uniqueName="[Banco].[Cartola]" caption="Cartola" attribute="1" defaultMemberUniqueName="[Banco].[Cartola].[All]" allUniqueName="[Banco].[Cartola].[All]" dimensionUniqueName="[Banco]" displayFolder="" count="0" memberValueDatatype="130" unbalanced="0"/>
    <cacheHierarchy uniqueName="[Banco].[Fecha (mes)]" caption="Fecha (mes)" attribute="1" defaultMemberUniqueName="[Banco].[Fecha (mes)].[All]" allUniqueName="[Banco].[Fecha (mes)].[All]" dimensionUniqueName="[Banco]" displayFolder="" count="2" memberValueDatatype="130" unbalanced="0">
      <fieldsUsage count="2">
        <fieldUsage x="-1"/>
        <fieldUsage x="3"/>
      </fieldsUsage>
    </cacheHierarchy>
    <cacheHierarchy uniqueName="[Banco].[Fecha (índice de meses)]" caption="Fecha (índice de meses)" attribute="1" defaultMemberUniqueName="[Banco].[Fecha (índice de meses)].[All]" allUniqueName="[Banco].[Fecha (índice de meses)].[All]" dimensionUniqueName="[Banco]" displayFolder="" count="0" memberValueDatatype="20" unbalanced="0" hidden="1"/>
    <cacheHierarchy uniqueName="[Measures].[__XL_Count Banco]" caption="__XL_Count Banco" measure="1" displayFolder="" measureGroup="Banco" count="0" hidden="1"/>
    <cacheHierarchy uniqueName="[Measures].[__No measures defined]" caption="__No measures defined" measure="1" displayFolder="" count="0" hidden="1"/>
    <cacheHierarchy uniqueName="[Measures].[Suma de Año]" caption="Suma de Año" measure="1" displayFolder="" measureGroup="Banco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Ingresos]" caption="Sum of Ingresos" measure="1" displayFolder="" measureGroup="Banco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a de Cargos]" caption="Suma de Cargos" measure="1" displayFolder="" measureGroup="Banco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name="Banco" uniqueName="[Banco]" caption="Banco"/>
    <dimension measure="1" name="Measures" uniqueName="[Measures]" caption="Measures"/>
  </dimensions>
  <measureGroups count="1">
    <measureGroup name="Banco" caption="Banco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udwig Corales Marti" refreshedDate="46021.695339699072" backgroundQuery="1" createdVersion="3" refreshedVersion="8" minRefreshableVersion="3" recordCount="0" supportSubquery="1" supportAdvancedDrill="1" xr:uid="{DFF1A8C5-FADA-4D4C-BED6-26C174BF00B3}">
  <cacheSource type="external" connectionId="3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2">
    <cacheHierarchy uniqueName="[Banco].[Año]" caption="Año" attribute="1" defaultMemberUniqueName="[Banco].[Año].[All]" allUniqueName="[Banco].[Año].[All]" dimensionUniqueName="[Banco]" displayFolder="" count="0" memberValueDatatype="20" unbalanced="0"/>
    <cacheHierarchy uniqueName="[Banco].[Mes]" caption="Mes" attribute="1" defaultMemberUniqueName="[Banco].[Mes].[All]" allUniqueName="[Banco].[Mes].[All]" dimensionUniqueName="[Banco]" displayFolder="" count="0" memberValueDatatype="130" unbalanced="0"/>
    <cacheHierarchy uniqueName="[Banco].[Periodo Contable]" caption="Periodo Contable" attribute="1" defaultMemberUniqueName="[Banco].[Periodo Contable].[All]" allUniqueName="[Banco].[Periodo Contable].[All]" dimensionUniqueName="[Banco]" displayFolder="" count="0" memberValueDatatype="130" unbalanced="0"/>
    <cacheHierarchy uniqueName="[Banco].[Fecha]" caption="Fecha" attribute="1" time="1" defaultMemberUniqueName="[Banco].[Fecha].[All]" allUniqueName="[Banco].[Fecha].[All]" dimensionUniqueName="[Banco]" displayFolder="" count="0" memberValueDatatype="7" unbalanced="0"/>
    <cacheHierarchy uniqueName="[Banco].[Descripción]" caption="Descripción" attribute="1" defaultMemberUniqueName="[Banco].[Descripción].[All]" allUniqueName="[Banco].[Descripción].[All]" dimensionUniqueName="[Banco]" displayFolder="" count="0" memberValueDatatype="130" unbalanced="0"/>
    <cacheHierarchy uniqueName="[Banco].[N° Doc.]" caption="N° Doc." attribute="1" defaultMemberUniqueName="[Banco].[N° Doc.].[All]" allUniqueName="[Banco].[N° Doc.].[All]" dimensionUniqueName="[Banco]" displayFolder="" count="0" memberValueDatatype="130" unbalanced="0"/>
    <cacheHierarchy uniqueName="[Banco].[Egresos]" caption="Egresos" attribute="1" defaultMemberUniqueName="[Banco].[Egresos].[All]" allUniqueName="[Banco].[Egresos].[All]" dimensionUniqueName="[Banco]" displayFolder="" count="0" memberValueDatatype="20" unbalanced="0"/>
    <cacheHierarchy uniqueName="[Banco].[Cargos]" caption="Cargos" attribute="1" defaultMemberUniqueName="[Banco].[Cargos].[All]" allUniqueName="[Banco].[Cargos].[All]" dimensionUniqueName="[Banco]" displayFolder="" count="0" memberValueDatatype="20" unbalanced="0"/>
    <cacheHierarchy uniqueName="[Banco].[Ingresos]" caption="Ingresos" attribute="1" defaultMemberUniqueName="[Banco].[Ingresos].[All]" allUniqueName="[Banco].[Ingresos].[All]" dimensionUniqueName="[Banco]" displayFolder="" count="0" memberValueDatatype="20" unbalanced="0"/>
    <cacheHierarchy uniqueName="[Banco].[Saldo]" caption="Saldo" attribute="1" defaultMemberUniqueName="[Banco].[Saldo].[All]" allUniqueName="[Banco].[Saldo].[All]" dimensionUniqueName="[Banco]" displayFolder="" count="0" memberValueDatatype="20" unbalanced="0"/>
    <cacheHierarchy uniqueName="[Banco].[Monto]" caption="Monto" attribute="1" defaultMemberUniqueName="[Banco].[Monto].[All]" allUniqueName="[Banco].[Monto].[All]" dimensionUniqueName="[Banco]" displayFolder="" count="0" memberValueDatatype="20" unbalanced="0"/>
    <cacheHierarchy uniqueName="[Banco].[CtaCtbl]" caption="CtaCtbl" attribute="1" defaultMemberUniqueName="[Banco].[CtaCtbl].[All]" allUniqueName="[Banco].[CtaCtbl].[All]" dimensionUniqueName="[Banco]" displayFolder="" count="2" memberValueDatatype="130" unbalanced="0"/>
    <cacheHierarchy uniqueName="[Banco].[Nombre Cuenta]" caption="Nombre Cuenta" attribute="1" defaultMemberUniqueName="[Banco].[Nombre Cuenta].[All]" allUniqueName="[Banco].[Nombre Cuenta].[All]" dimensionUniqueName="[Banco]" displayFolder="" count="0" memberValueDatatype="130" unbalanced="0"/>
    <cacheHierarchy uniqueName="[Banco].[Observacion del Gasto o Abono /  Link a Document0o Respaldo]" caption="Observacion del Gasto o Abono /  Link a Document0o Respaldo" attribute="1" defaultMemberUniqueName="[Banco].[Observacion del Gasto o Abono /  Link a Document0o Respaldo].[All]" allUniqueName="[Banco].[Observacion del Gasto o Abono /  Link a Document0o Respaldo].[All]" dimensionUniqueName="[Banco]" displayFolder="" count="0" memberValueDatatype="130" unbalanced="0"/>
    <cacheHierarchy uniqueName="[Banco].[Cartola]" caption="Cartola" attribute="1" defaultMemberUniqueName="[Banco].[Cartola].[All]" allUniqueName="[Banco].[Cartola].[All]" dimensionUniqueName="[Banco]" displayFolder="" count="0" memberValueDatatype="130" unbalanced="0"/>
    <cacheHierarchy uniqueName="[Banco].[Fecha (mes)]" caption="Fecha (mes)" attribute="1" defaultMemberUniqueName="[Banco].[Fecha (mes)].[All]" allUniqueName="[Banco].[Fecha (mes)].[All]" dimensionUniqueName="[Banco]" displayFolder="" count="0" memberValueDatatype="130" unbalanced="0"/>
    <cacheHierarchy uniqueName="[Banco].[Fecha (índice de meses)]" caption="Fecha (índice de meses)" attribute="1" defaultMemberUniqueName="[Banco].[Fecha (índice de meses)].[All]" allUniqueName="[Banco].[Fecha (índice de meses)].[All]" dimensionUniqueName="[Banco]" displayFolder="" count="0" memberValueDatatype="20" unbalanced="0" hidden="1"/>
    <cacheHierarchy uniqueName="[Measures].[__XL_Count Banco]" caption="__XL_Count Banco" measure="1" displayFolder="" measureGroup="Banco" count="0" hidden="1"/>
    <cacheHierarchy uniqueName="[Measures].[__No measures defined]" caption="__No measures defined" measure="1" displayFolder="" count="0" hidden="1"/>
    <cacheHierarchy uniqueName="[Measures].[Suma de Año]" caption="Suma de Año" measure="1" displayFolder="" measureGroup="Banco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Ingresos]" caption="Sum of Ingresos" measure="1" displayFolder="" measureGroup="Banco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a de Cargos]" caption="Suma de Cargos" measure="1" displayFolder="" measureGroup="Banco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669604654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CEA4DF-134F-46C0-B6C0-500817200433}" name="TablaDinámica1" cacheId="1" dataPosition="0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14">
  <location ref="D5:E10" firstHeaderRow="1" firstDataRow="1" firstDataCol="1" rowPageCount="2" colPageCount="1"/>
  <pivotFields count="6"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  <pivotField allDrilled="1" subtotalTop="0" showAll="0" measureFilter="1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dataSourceSort="1" defaultSubtotal="0">
      <items count="4">
        <item x="0" e="0"/>
        <item x="1" e="0"/>
        <item x="2" e="0"/>
        <item x="3" e="0"/>
      </items>
    </pivotField>
  </pivotFields>
  <rowFields count="2">
    <field x="5"/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2">
    <pageField fld="1" hier="0" name="[Banco].[Año].&amp;[2025]" cap="2025"/>
    <pageField fld="0" hier="1" name="[Banco].[Mes].&amp;[Noviembre]" cap="Noviembre"/>
  </pageFields>
  <dataFields count="1">
    <dataField name="Cargos" fld="2" baseField="0" baseItem="0" numFmtId="167"/>
  </dataFields>
  <pivotHierarchies count="22">
    <pivotHierarchy dragToData="1"/>
    <pivotHierarchy multipleItemSelectionAllowed="1" dragToData="1">
      <members count="1" level="1">
        <member name="[Banco].[Mes].&amp;[Noviembre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argos"/>
  </pivotHierarchies>
  <pivotTableStyleInfo name="PivotStyleLight16" showRowHeaders="1" showColHeaders="1" showRowStripes="0" showColStripes="0" showLastColumn="1"/>
  <filters count="1">
    <filter fld="4" type="count" id="5" iMeasureHier="21">
      <autoFilter ref="A1">
        <filterColumn colId="0">
          <top10 val="5" filterVal="5"/>
        </filterColumn>
      </autoFilter>
    </filter>
  </filters>
  <rowHierarchiesUsage count="2">
    <rowHierarchyUsage hierarchyUsage="12"/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ontabilidad Simplificada.xlsx!Banco">
        <x15:activeTabTopLevelEntity name="[Banc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785561-913C-469E-8343-B3A8294622DC}" name="TablaDinámica2" cacheId="0" dataPosition="0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14">
  <location ref="A5:A10" firstHeaderRow="1" firstDataRow="1" firstDataCol="1" rowPageCount="2" colPageCount="1"/>
  <pivotFields count="5"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llDrilled="1" subtotalTop="0" showAll="0" measureFilter="1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dataSourceSort="1" defaultSubtotal="0">
      <items count="4">
        <item x="0" e="0"/>
        <item x="1" e="0"/>
        <item x="2" e="0"/>
        <item x="3" e="0"/>
      </items>
    </pivotField>
  </pivotFields>
  <rowFields count="2">
    <field x="4"/>
    <field x="2"/>
  </rowFields>
  <rowItems count="5">
    <i>
      <x/>
    </i>
    <i>
      <x v="1"/>
    </i>
    <i>
      <x v="2"/>
    </i>
    <i>
      <x v="3"/>
    </i>
    <i t="grand">
      <x/>
    </i>
  </rowItems>
  <pageFields count="2">
    <pageField fld="1" hier="0" name="[Banco].[Año].&amp;[2025]" cap="2025"/>
    <pageField fld="0" hier="1" name="[Banco].[Mes].&amp;[Noviembre]" cap="Noviembre"/>
  </pageFields>
  <pivotHierarchies count="22">
    <pivotHierarchy dragToData="1"/>
    <pivotHierarchy multipleItemSelectionAllowed="1" dragToData="1">
      <members count="1" level="1">
        <member name="[Banco].[Mes].&amp;[Noviembre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argos"/>
  </pivotHierarchies>
  <pivotTableStyleInfo name="PivotStyleLight16" showRowHeaders="1" showColHeaders="1" showRowStripes="0" showColStripes="0" showLastColumn="1"/>
  <filters count="1">
    <filter fld="3" type="count" id="5" iMeasureHier="21">
      <autoFilter ref="A1">
        <filterColumn colId="0">
          <top10 val="5" filterVal="5"/>
        </filterColumn>
      </autoFilter>
    </filter>
  </filters>
  <rowHierarchiesUsage count="2">
    <rowHierarchyUsage hierarchyUsage="12"/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ontabilidad Simplificada.xlsx!Banco">
        <x15:activeTabTopLevelEntity name="[Banc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taCtbl2" xr10:uid="{4A513739-6D0B-4B02-A493-E48F49E6DB46}" sourceName="[Banco].[CtaCtbl]">
  <pivotTables>
    <pivotTable tabId="32" name="TablaDinámica2"/>
    <pivotTable tabId="32" name="TablaDinámica1"/>
  </pivotTables>
  <data>
    <olap pivotCacheId="669604654">
      <levels count="2">
        <level uniqueName="[Banco].[CtaCtbl].[(All)]" sourceCaption="(All)" count="0"/>
        <level uniqueName="[Banco].[CtaCtbl].[CtaCtbl]" sourceCaption="CtaCtbl" count="36">
          <ranges>
            <range startItem="0">
              <i n="[Banco].[CtaCtbl].&amp;[1.01.01 - Cuota Ordinaria]" c="1.01.01 - Cuota Ordinaria"/>
              <i n="[Banco].[CtaCtbl].&amp;[2.01.03.03.1.7 - Taxi, Uber o Similar]" c="2.01.03.03.1.7 - Taxi, Uber o Similar"/>
              <i n="[Banco].[CtaCtbl].&amp;[2.02.02 - Sitio corporativo web]" c="2.02.02 - Sitio corporativo web"/>
              <i n="[Banco].[CtaCtbl].&amp;[3.03.01 - Pago Comisiones]" c="3.03.01 - Pago Comisiones"/>
              <i n="[Banco].[CtaCtbl].&amp;[1.01.02 - Cuota Extraordinaria]" c="1.01.02 - Cuota Extraordinaria" nd="1"/>
              <i n="[Banco].[CtaCtbl].&amp;[1.03.03 - Otros Aportes]" c="1.03.03 - Otros Aportes" nd="1"/>
              <i n="[Banco].[CtaCtbl].&amp;[1.03.04 - Aporte Colbun]" c="1.03.04 - Aporte Colbun" nd="1"/>
              <i n="[Banco].[CtaCtbl].&amp;[1.04.01 - Utilidades Plazo Fijo]" c="1.04.01 - Utilidades Plazo Fijo" nd="1"/>
              <i n="[Banco].[CtaCtbl].&amp;[1.04.04 - Rescate Plazo Fijo]" c="1.04.04 - Rescate Plazo Fijo" nd="1"/>
              <i n="[Banco].[CtaCtbl].&amp;[1.04.05 - Restitución Fondos / Rechazo Depositos]" c="1.04.05 - Restitución Fondos / Rechazo Depositos" nd="1"/>
              <i n="[Banco].[CtaCtbl].&amp;[2.01.01.01.1 - Asesoria Legal - Convenio Fijo Mensual]" c="2.01.01.01.1 - Asesoria Legal - Convenio Fijo Mensual" nd="1"/>
              <i n="[Banco].[CtaCtbl].&amp;[2.01.01.01.2 - Asesoria Legal - Proyectos Negociacion]" c="2.01.01.01.2 - Asesoria Legal - Proyectos Negociacion" nd="1"/>
              <i n="[Banco].[CtaCtbl].&amp;[2.01.01.04 - Otras Asesorias]" c="2.01.01.04 - Otras Asesorias" nd="1"/>
              <i n="[Banco].[CtaCtbl].&amp;[2.01.02.01 - Impuestos Bancarios]" c="2.01.02.01 - Impuestos Bancarios" nd="1"/>
              <i n="[Banco].[CtaCtbl].&amp;[2.01.03.02 - Mensajeria]" c="2.01.03.02 - Mensajeria" nd="1"/>
              <i n="[Banco].[CtaCtbl].&amp;[2.01.03.03.1.2 - Combustible]" c="2.01.03.03.1.2 - Combustible" nd="1"/>
              <i n="[Banco].[CtaCtbl].&amp;[2.01.03.03.1.3 - Estacionamientos]" c="2.01.03.03.1.3 - Estacionamientos" nd="1"/>
              <i n="[Banco].[CtaCtbl].&amp;[2.01.03.03.1.4 - Uso de Vehiculo personal]" c="2.01.03.03.1.4 - Uso de Vehiculo personal" nd="1"/>
              <i n="[Banco].[CtaCtbl].&amp;[2.01.03.03.1.5 - Pasaje en Bus]" c="2.01.03.03.1.5 - Pasaje en Bus" nd="1"/>
              <i n="[Banco].[CtaCtbl].&amp;[2.01.03.03.1.8 - Peajes]" c="2.01.03.03.1.8 - Peajes" nd="1"/>
              <i n="[Banco].[CtaCtbl].&amp;[2.01.03.03.1.9 - Traslado Terrestre Van/Taxi,etc]" c="2.01.03.03.1.9 - Traslado Terrestre Van/Taxi,etc" nd="1"/>
              <i n="[Banco].[CtaCtbl].&amp;[2.01.03.04 - Comunicaciones]" c="2.01.03.04 - Comunicaciones" nd="1"/>
              <i n="[Banco].[CtaCtbl].&amp;[2.01.04.01.1 - Desayuno]" c="2.01.04.01.1 - Desayuno" nd="1"/>
              <i n="[Banco].[CtaCtbl].&amp;[2.01.04.01.2 - Almuerzo]" c="2.01.04.01.2 - Almuerzo" nd="1"/>
              <i n="[Banco].[CtaCtbl].&amp;[2.01.04.01.3 - Cena]" c="2.01.04.01.3 - Cena" nd="1"/>
              <i n="[Banco].[CtaCtbl].&amp;[2.01.04.02 - Alojamiento]" c="2.01.04.02 - Alojamiento" nd="1"/>
              <i n="[Banco].[CtaCtbl].&amp;[2.01.04.03 - Otros gastos varios]" c="2.01.04.03 - Otros gastos varios" nd="1"/>
              <i n="[Banco].[CtaCtbl].&amp;[2.02.01 - Licencia Software Annual]" c="2.02.01 - Licencia Software Annual" nd="1"/>
              <i n="[Banco].[CtaCtbl].&amp;[2.02.05 - Restitución Fondos Socios]" c="2.02.05 - Restitución Fondos Socios" nd="1"/>
              <i n="[Banco].[CtaCtbl].&amp;[2.02.06 - Pago Bonos a Socios]" c="2.02.06 - Pago Bonos a Socios" nd="1"/>
              <i n="[Banco].[CtaCtbl].&amp;[2.02.06.1 - Regalo Corportivo (Aniversario)]" c="2.02.06.1 - Regalo Corportivo (Aniversario)" nd="1"/>
              <i n="[Banco].[CtaCtbl].&amp;[2.02.07 - Coronas de Caridad Condolencias]" c="2.02.07 - Coronas de Caridad Condolencias" nd="1"/>
              <i n="[Banco].[CtaCtbl].&amp;[2.02.08 - Aporte Extraordinario al Socio]" c="2.02.08 - Aporte Extraordinario al Socio" nd="1"/>
              <i n="[Banco].[CtaCtbl].&amp;[3.01.01 - Deposito a Plazo a 30]" c="3.01.01 - Deposito a Plazo a 30" nd="1"/>
              <i n="[Banco].[CtaCtbl].&amp;[3.03.03 - Otros Pagos]" c="3.03.03 - Otros Pagos" nd="1"/>
              <i n="[Banco].[CtaCtbl].&amp;[3.04.01 - Depositos a Plazo]" c="3.04.01 - Depositos a Plazo" nd="1"/>
            </range>
          </ranges>
        </level>
      </levels>
      <selections count="1">
        <selection n="[Banco].[CtaCtbl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escripción" xr10:uid="{23965C69-C936-4FE5-ABE2-3DD948815AE8}" sourceName="Descripción">
  <extLst>
    <x:ext xmlns:x15="http://schemas.microsoft.com/office/spreadsheetml/2010/11/main" uri="{2F2917AC-EB37-4324-AD4E-5DD8C200BD13}">
      <x15:tableSlicerCache tableId="3" column="2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taCtbl" xr10:uid="{B85CED6C-4A81-4350-AB9E-D1D65D8CBAA7}" sourceName="CtaCtbl">
  <extLst>
    <x:ext xmlns:x15="http://schemas.microsoft.com/office/spreadsheetml/2010/11/main" uri="{2F2917AC-EB37-4324-AD4E-5DD8C200BD13}">
      <x15:tableSlicerCache tableId="3" column="8"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" xr10:uid="{66E8B5AC-7CAF-46BF-BCE9-2447E9D1AA02}" sourceName="Año">
  <extLst>
    <x:ext xmlns:x15="http://schemas.microsoft.com/office/spreadsheetml/2010/11/main" uri="{2F2917AC-EB37-4324-AD4E-5DD8C200BD13}">
      <x15:tableSlicerCache tableId="3" column="10"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" xr10:uid="{30F0CADE-21DF-4F5D-A8E5-033E6A2657DA}" sourceName="Mes">
  <extLst>
    <x:ext xmlns:x15="http://schemas.microsoft.com/office/spreadsheetml/2010/11/main" uri="{2F2917AC-EB37-4324-AD4E-5DD8C200BD13}">
      <x15:tableSlicerCache tableId="3" column="11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taCtbl 2" xr10:uid="{9FC378C2-5B48-4659-8836-3DE57E904529}" cache="SegmentaciónDeDatos_CtaCtbl2" caption="CtaCtbl" level="1" rowHeight="2730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escripción" xr10:uid="{702D1558-F819-47EA-A3C7-13FE525853D9}" cache="SegmentaciónDeDatos_Descripción" caption="Descripción" rowHeight="273050"/>
  <slicer name="CtaCtbl" xr10:uid="{5F1867E8-59E2-4326-87D0-6B796A984E44}" cache="SegmentaciónDeDatos_CtaCtbl" caption="CtaCtbl" startItem="14" rowHeight="273050"/>
  <slicer name="Año" xr10:uid="{CE7F68A9-20FC-482F-A121-D45385E60F7F}" cache="SegmentaciónDeDatos_Año" caption="Columna2" rowHeight="273050"/>
  <slicer name="Mes" xr10:uid="{D0558B7C-CBA6-4B0C-AC84-CAB449AE5624}" cache="SegmentaciónDeDatos_Mes" caption="Mes" startItem="7" rowHeight="2730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9D33B12-3162-49E0-96AA-C56C4D6C7903}" name="Banco" displayName="Banco" ref="A12:O353" headerRowDxfId="127" dataDxfId="126" headerRowCellStyle="Moneda [0]" dataCellStyle="Moneda [0]">
  <autoFilter ref="A12:O353" xr:uid="{F9D33B12-3162-49E0-96AA-C56C4D6C7903}">
    <filterColumn colId="0">
      <filters>
        <filter val="2025"/>
      </filters>
    </filterColumn>
    <filterColumn colId="1">
      <filters>
        <filter val="Diciembre"/>
      </filters>
    </filterColumn>
  </autoFilter>
  <tableColumns count="15">
    <tableColumn id="10" xr3:uid="{2AC59732-E17E-4702-9966-4BE800147036}" name="Año" totalsRowLabel="Total" dataDxfId="125" totalsRowDxfId="124" dataCellStyle="Millares [0]">
      <calculatedColumnFormula>YEAR(Banco[[#This Row],[Fecha]])</calculatedColumnFormula>
    </tableColumn>
    <tableColumn id="11" xr3:uid="{42F6CAF0-F17D-4885-86B8-89CE8AFA93BF}" name="Mes" dataDxfId="123" totalsRowDxfId="122" dataCellStyle="Millares [0]">
      <calculatedColumnFormula>PROPER(TEXT(Banco[[#This Row],[Fecha]],"MMMM"))</calculatedColumnFormula>
    </tableColumn>
    <tableColumn id="3" xr3:uid="{B10F4C60-20DA-4D26-B271-26DA5C59A893}" name="Periodo Contable" dataDxfId="121" totalsRowDxfId="120" dataCellStyle="Millares [0]">
      <calculatedColumnFormula>TEXT(Banco[[#This Row],[Fecha]],"mmm-yyyy")</calculatedColumnFormula>
    </tableColumn>
    <tableColumn id="1" xr3:uid="{B0A0C1F2-5FD7-4E48-821C-EBECB9F2A21B}" name="Fecha" dataDxfId="119"/>
    <tableColumn id="2" xr3:uid="{7977ED34-B8A7-4CB5-8B6C-96BC9B7EDD1D}" name="Descripción"/>
    <tableColumn id="4" xr3:uid="{B0E1CD0E-807E-4DEA-BD45-587B885D6FAF}" name="N° Doc."/>
    <tableColumn id="5" xr3:uid="{D657DE6C-8175-4230-AB95-3EB4857890C3}" name="cargos" totalsRowFunction="sum" dataDxfId="118" dataCellStyle="Millares [0]"/>
    <tableColumn id="14" xr3:uid="{0CADBACF-6A4D-4254-A30D-50B400700349}" name="Egresos" dataDxfId="117" dataCellStyle="Millares [0]">
      <calculatedColumnFormula>Banco[[#This Row],[cargos]]*-1</calculatedColumnFormula>
    </tableColumn>
    <tableColumn id="6" xr3:uid="{8FA87EC7-0EF8-47FE-A6A8-344084E1D288}" name="Ingresos" totalsRowFunction="sum" dataDxfId="116" dataCellStyle="Millares [0]"/>
    <tableColumn id="7" xr3:uid="{C76E447E-175A-4D7A-BB4E-BEC025996721}" name="Saldo" dataDxfId="115" dataCellStyle="Millares [0]"/>
    <tableColumn id="13" xr3:uid="{48FD9746-928C-4D09-A405-F3041520F9F4}" name="Monto" totalsRowFunction="sum" dataDxfId="114" dataCellStyle="Millares [0]">
      <calculatedColumnFormula>+Banco[[#This Row],[cargos]]+Banco[[#This Row],[Ingresos]]</calculatedColumnFormula>
    </tableColumn>
    <tableColumn id="8" xr3:uid="{22D8721F-071C-4BE8-858E-60EBCDFC5247}" name="CtaCtbl" dataDxfId="113" dataCellStyle="Moneda [0]"/>
    <tableColumn id="15" xr3:uid="{7FA1C6FE-E657-4B95-8F94-472D3B4FF868}" name="Nombre Cuenta" dataDxfId="112" dataCellStyle="Moneda [0]">
      <calculatedColumnFormula>MID(Banco[[#This Row],[CtaCtbl]],FIND(" - ",Banco[[#This Row],[CtaCtbl]])+3,40)</calculatedColumnFormula>
    </tableColumn>
    <tableColumn id="12" xr3:uid="{189D7545-2B84-433B-B952-48F6B5A78D5D}" name="Observacion del Gasto o Abono /  Link a Document0o Respaldo" dataDxfId="111" dataCellStyle="Moneda [0]"/>
    <tableColumn id="9" xr3:uid="{B695B0B4-95B5-4D5D-95EC-84464239173E}" name="Cartola" dataDxfId="110" dataCellStyle="Moneda [0]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72D538D-DFEF-4CC0-9025-44751C5F2B13}" name="Tabla17" displayName="Tabla17" ref="A3:BW102" totalsRowShown="0" headerRowDxfId="109" dataDxfId="107" totalsRowDxfId="105" headerRowBorderDxfId="108" tableBorderDxfId="106">
  <autoFilter ref="A3:BW102" xr:uid="{2AA610CB-4F8E-E14F-9E2E-4372D946959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  <filterColumn colId="40" hiddenButton="1"/>
    <filterColumn colId="41" hiddenButton="1"/>
    <filterColumn colId="42" hiddenButton="1"/>
    <filterColumn colId="43" hiddenButton="1"/>
    <filterColumn colId="44" hiddenButton="1"/>
    <filterColumn colId="45" hiddenButton="1"/>
    <filterColumn colId="46" hiddenButton="1"/>
    <filterColumn colId="47" hiddenButton="1"/>
    <filterColumn colId="48" hiddenButton="1"/>
    <filterColumn colId="49" hiddenButton="1"/>
    <filterColumn colId="50" hiddenButton="1"/>
    <filterColumn colId="51" hiddenButton="1"/>
    <filterColumn colId="52" hiddenButton="1"/>
    <filterColumn colId="53" hiddenButton="1"/>
    <filterColumn colId="54" hiddenButton="1"/>
    <filterColumn colId="55" hiddenButton="1"/>
    <filterColumn colId="56" hiddenButton="1"/>
    <filterColumn colId="57" hiddenButton="1"/>
    <filterColumn colId="58" hiddenButton="1"/>
    <filterColumn colId="59" hiddenButton="1"/>
    <filterColumn colId="60" hiddenButton="1"/>
    <filterColumn colId="61" hiddenButton="1"/>
    <filterColumn colId="62" hiddenButton="1"/>
    <filterColumn colId="63" hiddenButton="1"/>
    <filterColumn colId="64" hiddenButton="1"/>
    <filterColumn colId="65" hiddenButton="1"/>
    <filterColumn colId="66" hiddenButton="1"/>
    <filterColumn colId="67" hiddenButton="1"/>
    <filterColumn colId="68" hiddenButton="1"/>
    <filterColumn colId="69" hiddenButton="1"/>
    <filterColumn colId="70" hiddenButton="1"/>
    <filterColumn colId="71" hiddenButton="1"/>
    <filterColumn colId="72" hiddenButton="1"/>
    <filterColumn colId="73" hiddenButton="1"/>
    <filterColumn colId="74" hiddenButton="1"/>
  </autoFilter>
  <tableColumns count="75">
    <tableColumn id="1" xr3:uid="{BABA0074-5C7E-4DCD-B090-39743D107A47}" name="Cuenta" dataDxfId="104" totalsRowDxfId="103"/>
    <tableColumn id="2" xr3:uid="{4319AC6E-F1C2-444D-AC8A-215D8EBE4A73}" name="Descripcion Cuenta" dataDxfId="102"/>
    <tableColumn id="4" xr3:uid="{4AEF12A3-ED1D-4778-9D90-FA71CE1C7C6E}" name="Codigo Cta" dataDxfId="101">
      <calculatedColumnFormula>+Tabla17[[#This Row],[Cuenta]]&amp;" - "&amp;Tabla17[[#This Row],[Descripcion Cuenta]]</calculatedColumnFormula>
    </tableColumn>
    <tableColumn id="3" xr3:uid="{0B0A3C9A-D47C-45B5-8001-86FF617AC084}" name="Observaciones" dataDxfId="100"/>
    <tableColumn id="13" xr3:uid="{2A16E4FF-9A74-4656-A0B5-8F9BC095CE58}" name="sept-21" dataDxfId="99" dataCellStyle="Millares [0]"/>
    <tableColumn id="14" xr3:uid="{BA2E0CBF-37B5-4E66-AC49-5166E3211094}" name="oct-21" dataDxfId="98" dataCellStyle="Millares [0]"/>
    <tableColumn id="15" xr3:uid="{DC815F25-DA85-423A-B410-79226416CE45}" name="nov-21" dataDxfId="97" dataCellStyle="Millares [0]"/>
    <tableColumn id="16" xr3:uid="{F5A342F5-5303-41C9-8836-4E595A31AEFC}" name="dic-21" dataDxfId="96" dataCellStyle="Millares [0]"/>
    <tableColumn id="5" xr3:uid="{A8DD3FB6-B8F4-4BC7-B0E1-9E4EE3AC8A50}" name="Total 2021" dataDxfId="95">
      <calculatedColumnFormula>H6</calculatedColumnFormula>
    </tableColumn>
    <tableColumn id="17" xr3:uid="{1D3A6EF1-25FE-4B87-A34D-B60F2D6D24F9}" name="ene-22" dataDxfId="94" dataCellStyle="Millares [0]"/>
    <tableColumn id="18" xr3:uid="{7C0D5B33-3194-4C26-8934-27B23E197D47}" name="feb-22" dataDxfId="93" dataCellStyle="Millares [0]"/>
    <tableColumn id="19" xr3:uid="{2841DF9C-128C-4748-996B-C7545C4129FE}" name="mar-22" dataDxfId="92" dataCellStyle="Millares [0]"/>
    <tableColumn id="20" xr3:uid="{D1312C4C-562C-4E7A-8A88-8C6C0013BA58}" name="abr-22" dataDxfId="91" dataCellStyle="Millares [0]"/>
    <tableColumn id="21" xr3:uid="{7C96B657-C409-4044-A745-87E1F79ACDE7}" name="may-22" dataDxfId="90" dataCellStyle="Millares [0]"/>
    <tableColumn id="22" xr3:uid="{B073E819-22A2-4CF3-B80A-839D658EB449}" name="jun-22" dataDxfId="89" dataCellStyle="Millares [0]"/>
    <tableColumn id="23" xr3:uid="{D4819D5F-D33E-47B2-991C-CB0A12F4BC37}" name="jul-22" dataDxfId="88" dataCellStyle="Millares [0]"/>
    <tableColumn id="24" xr3:uid="{9D132CF7-56C1-4921-BFA9-3F913D721366}" name="ago-22" dataDxfId="87" dataCellStyle="Millares [0]"/>
    <tableColumn id="25" xr3:uid="{5E663DB3-E23C-4E0E-AC65-5A094AD0C258}" name="sept-22" dataDxfId="86" dataCellStyle="Millares [0]"/>
    <tableColumn id="26" xr3:uid="{F0DDBFFA-41D7-432C-B71F-F1E9817CABFD}" name="oct-22" dataDxfId="85" dataCellStyle="Millares [0]"/>
    <tableColumn id="27" xr3:uid="{E4B64B83-9BD0-4C2B-9FDD-D66C81008102}" name="nov-22" dataDxfId="84" dataCellStyle="Millares [0]"/>
    <tableColumn id="28" xr3:uid="{37F2C1A4-B4BD-4DC9-B8E4-59FFBBF92DF8}" name="dic-22" dataDxfId="83" dataCellStyle="Millares [0]"/>
    <tableColumn id="6" xr3:uid="{D1BE862A-D9F4-4D03-A8CC-114AD46F7266}" name="Total 2022" dataDxfId="82">
      <calculatedColumnFormula>SUBTOTAL(9,V5:V19)</calculatedColumnFormula>
    </tableColumn>
    <tableColumn id="29" xr3:uid="{97B9DF91-9D7F-45FE-B807-9E518C384E49}" name="ene-23" dataDxfId="81" dataCellStyle="Millares [0]"/>
    <tableColumn id="30" xr3:uid="{E4AE0751-0DC6-46A8-B7AD-CCE9754D91E7}" name="feb-23" dataDxfId="80" dataCellStyle="Millares [0]"/>
    <tableColumn id="31" xr3:uid="{CF6B568A-01E0-4BBD-B769-221D8AE6BD5F}" name="mar-23" dataDxfId="79" dataCellStyle="Millares [0]"/>
    <tableColumn id="32" xr3:uid="{4E8FECA8-CFA5-4DD7-8EF4-0172B7C14D98}" name="abr-23" dataDxfId="78" dataCellStyle="Millares [0]"/>
    <tableColumn id="33" xr3:uid="{682517AC-42FE-42E9-8526-D96923C835D7}" name="may-23" dataDxfId="77" dataCellStyle="Millares [0]"/>
    <tableColumn id="34" xr3:uid="{F81DBFC4-FA07-487F-842B-28FFB02CF877}" name="jun-23" dataDxfId="76" dataCellStyle="Millares [0]"/>
    <tableColumn id="35" xr3:uid="{CD68F87D-CE81-4A33-B9CB-46A6669747D3}" name="jul-23" dataDxfId="75" dataCellStyle="Millares [0]"/>
    <tableColumn id="36" xr3:uid="{B97AB992-5D04-4E9C-9C5C-3D19279E1144}" name="ago-23" dataDxfId="74" dataCellStyle="Millares [0]"/>
    <tableColumn id="37" xr3:uid="{E429719E-F043-4C15-8A55-B7CC0C88C16A}" name="sept-23" dataDxfId="73" dataCellStyle="Millares [0]"/>
    <tableColumn id="38" xr3:uid="{2ECABFEB-DE99-4DA8-8530-652E70EC62B0}" name="oct-23" dataDxfId="72" dataCellStyle="Millares [0]"/>
    <tableColumn id="39" xr3:uid="{12DA79D2-2C94-4647-993D-40BCC8DB3AD3}" name="nov-23" dataDxfId="71" dataCellStyle="Millares [0]"/>
    <tableColumn id="40" xr3:uid="{83C7CAFC-0731-4663-B5A1-EC17E4037197}" name="dic-23" dataDxfId="70" dataCellStyle="Millares [0]"/>
    <tableColumn id="7" xr3:uid="{DD564144-D765-41C1-88D1-3D70715878EF}" name="Total 2023" dataDxfId="69">
      <calculatedColumnFormula>SUBTOTAL(9,AI5:AI19)</calculatedColumnFormula>
    </tableColumn>
    <tableColumn id="41" xr3:uid="{34A5A12D-1AB7-4EFC-BAD0-83BAC650F5B1}" name="ene-24" dataDxfId="68" dataCellStyle="Millares [0]"/>
    <tableColumn id="42" xr3:uid="{419F2F1A-A320-4132-97A4-ABF8D053ADC8}" name="feb-24" dataDxfId="67" dataCellStyle="Millares [0]"/>
    <tableColumn id="43" xr3:uid="{DC2E988E-3675-484F-8E97-A2CD3AC9A84E}" name="mar-24" dataDxfId="66" dataCellStyle="Millares [0]"/>
    <tableColumn id="44" xr3:uid="{6E8FF34C-EACE-4D42-A84E-CFD2770002CC}" name="abr-24" dataDxfId="65" dataCellStyle="Millares [0]"/>
    <tableColumn id="45" xr3:uid="{6A52770A-16B5-4751-A42E-8B9E2EE3ACF4}" name="may-24" dataDxfId="64" dataCellStyle="Millares [0]"/>
    <tableColumn id="46" xr3:uid="{0B5667DD-0BCF-4D04-B7A3-CE2B29537D9A}" name="jun-24" dataDxfId="63" dataCellStyle="Millares [0]"/>
    <tableColumn id="47" xr3:uid="{482A3C12-A2AC-46C4-A07F-1456D4832E93}" name="jul-24" dataDxfId="62" dataCellStyle="Millares [0]"/>
    <tableColumn id="48" xr3:uid="{DDDC8F9E-99BE-4D97-B951-E2DEFFB32C09}" name="ago-24" dataDxfId="61" dataCellStyle="Millares [0]"/>
    <tableColumn id="49" xr3:uid="{1BBC479A-687D-4CFB-A27F-23A1949D1DD9}" name="sept-24" dataDxfId="60" dataCellStyle="Millares [0]"/>
    <tableColumn id="50" xr3:uid="{D706D050-4928-4A84-A975-BEE1E0F8D3F0}" name="oct-24" dataDxfId="59" dataCellStyle="Millares [0]"/>
    <tableColumn id="51" xr3:uid="{4E89B6EF-9BDE-47AD-9E65-7CA2107D0883}" name="nov-24" dataDxfId="58" dataCellStyle="Millares [0]"/>
    <tableColumn id="52" xr3:uid="{216997B7-173F-414D-837F-8A570FA80841}" name="dic-24" dataDxfId="57" dataCellStyle="Millares [0]"/>
    <tableColumn id="8" xr3:uid="{52EC2809-10DF-4690-B954-D355DF6D1E97}" name="Total 2024" dataDxfId="56">
      <calculatedColumnFormula>SUBTOTAL(9,AV5:AV19)</calculatedColumnFormula>
    </tableColumn>
    <tableColumn id="57" xr3:uid="{FC69E765-EEFF-4276-83AE-3166F808BF6C}" name="ene-25" dataDxfId="55" dataCellStyle="Millares [0]"/>
    <tableColumn id="58" xr3:uid="{22AB78D5-E469-454D-BA46-410676F20AEE}" name="feb-25" dataDxfId="54" dataCellStyle="Millares [0]"/>
    <tableColumn id="59" xr3:uid="{E2871F63-57F2-4527-98BA-6287B7B3E657}" name="mar-25" dataDxfId="53" dataCellStyle="Millares [0]"/>
    <tableColumn id="60" xr3:uid="{24854C55-3D91-406E-991B-565E0D93C7D2}" name="abr-25" dataDxfId="52" dataCellStyle="Millares [0]"/>
    <tableColumn id="61" xr3:uid="{6E1FB4C0-3B8E-41AA-B7C9-E3FAD1161C7B}" name="may-25" dataDxfId="51" dataCellStyle="Millares [0]"/>
    <tableColumn id="62" xr3:uid="{F9C3B502-1F02-4A8E-BB29-4E63683FE15E}" name="jun-25" dataDxfId="50" dataCellStyle="Millares [0]"/>
    <tableColumn id="63" xr3:uid="{D9997433-0817-4979-9430-FF20F931DDCD}" name="jul-25" dataDxfId="49" dataCellStyle="Millares [0]"/>
    <tableColumn id="64" xr3:uid="{3FFBAF78-1ADA-4F35-8247-E52D5F421CC5}" name="ago-25" dataDxfId="48" dataCellStyle="Millares [0]"/>
    <tableColumn id="65" xr3:uid="{F2023225-56B9-4F04-A9E5-3D28B725CB8B}" name="sept-25" dataDxfId="47" dataCellStyle="Millares [0]"/>
    <tableColumn id="66" xr3:uid="{9DDFCE45-77C4-4AEA-A64D-AA8CC9E675FB}" name="oct-25" dataDxfId="46" dataCellStyle="Millares [0]"/>
    <tableColumn id="77" xr3:uid="{D33CB673-BF5B-4D1F-B45D-3E176115528D}" name="nov-25"/>
    <tableColumn id="67" xr3:uid="{0A0E75F9-E1C6-4EB1-9228-05B65B4476F3}" name="dic-25" dataDxfId="45" dataCellStyle="Millares [0]"/>
    <tableColumn id="9" xr3:uid="{7A1EA806-C2F3-4812-9566-13ADC601849B}" name="Total 2025" dataDxfId="44">
      <calculatedColumnFormula>SUM(Tabla17[[#This Row],[ene-25]:[dic-25]])</calculatedColumnFormula>
    </tableColumn>
    <tableColumn id="10" xr3:uid="{630FCD61-7DC3-4CB6-B65B-BB0E5DA5E574}" name="ene-26" dataDxfId="43">
      <calculatedColumnFormula>SUBTOTAL(9,BJ5:BJ24)</calculatedColumnFormula>
    </tableColumn>
    <tableColumn id="11" xr3:uid="{BE131E01-0474-4788-85E3-A3857388DD38}" name="feb-26" dataDxfId="42">
      <calculatedColumnFormula>SUBTOTAL(9,BK5:BK24)</calculatedColumnFormula>
    </tableColumn>
    <tableColumn id="12" xr3:uid="{7A97B481-38BF-4534-AE6C-F0F6D068CED8}" name="mar-26" dataDxfId="41">
      <calculatedColumnFormula>SUBTOTAL(9,BL5:BL24)</calculatedColumnFormula>
    </tableColumn>
    <tableColumn id="53" xr3:uid="{7869AC5E-7A8D-40ED-9E5F-7C9ED2A2BEA9}" name="abr-26" dataDxfId="40">
      <calculatedColumnFormula>SUBTOTAL(9,BM5:BM24)</calculatedColumnFormula>
    </tableColumn>
    <tableColumn id="54" xr3:uid="{39505ADE-F68E-4C7E-A632-33C5594CFFBA}" name="may-26" dataDxfId="39">
      <calculatedColumnFormula>SUBTOTAL(9,BN5:BN24)</calculatedColumnFormula>
    </tableColumn>
    <tableColumn id="55" xr3:uid="{FB551BD7-2C73-4454-8141-35BE3A0FA989}" name="jun-26" dataDxfId="38">
      <calculatedColumnFormula>SUBTOTAL(9,BO5:BO24)</calculatedColumnFormula>
    </tableColumn>
    <tableColumn id="68" xr3:uid="{AAE4AE6E-48D7-4F89-A2F9-C133DC2A3648}" name="jul-26" dataDxfId="37">
      <calculatedColumnFormula>SUBTOTAL(9,BP5:BP24)</calculatedColumnFormula>
    </tableColumn>
    <tableColumn id="70" xr3:uid="{E4C6993F-8526-41A4-A6D1-0D01D7D81C79}" name="ago-26" dataDxfId="36">
      <calculatedColumnFormula>SUBTOTAL(9,BQ5:BQ24)</calculatedColumnFormula>
    </tableColumn>
    <tableColumn id="71" xr3:uid="{464FD70B-0A34-4406-9BC4-91A639A9523C}" name="sept-26" dataDxfId="35">
      <calculatedColumnFormula>SUBTOTAL(9,BR5:BR24)</calculatedColumnFormula>
    </tableColumn>
    <tableColumn id="72" xr3:uid="{EA8DB52A-DF74-4CB5-83A9-F0CBD9BDE7FD}" name="oct-26" dataDxfId="34">
      <calculatedColumnFormula>SUBTOTAL(9,BS5:BS24)</calculatedColumnFormula>
    </tableColumn>
    <tableColumn id="73" xr3:uid="{0C9336AC-7A5B-4CA1-AAF9-33AE3AAF32F5}" name="nov-26" dataDxfId="33">
      <calculatedColumnFormula>SUBTOTAL(9,BT5:BT24)</calculatedColumnFormula>
    </tableColumn>
    <tableColumn id="74" xr3:uid="{763FA9E4-4080-4298-A355-637DDAD98972}" name="dic-26" dataDxfId="32">
      <calculatedColumnFormula>SUBTOTAL(9,BU5:BU24)</calculatedColumnFormula>
    </tableColumn>
    <tableColumn id="69" xr3:uid="{1273BC14-B8B0-4808-A1D2-BCD110C0E60D}" name="Total 2026"/>
    <tableColumn id="56" xr3:uid="{9DDFC093-8855-4D7A-A9D7-65D5B94C50B0}" name="Total " dataDxfId="31" totalsRowDxfId="30" dataCellStyle="Millares [0]">
      <calculatedColumnFormula>Tabla17[[#This Row],[Total 2021]]+Tabla17[[#This Row],[Total 2022]]+Tabla17[[#This Row],[Total 2023]]+Tabla17[[#This Row],[Total 2024]]+Tabla17[[#This Row],[Total 2025]]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39A23A4-0ED7-4787-ACC9-15E28370F685}" name="Tabla179" displayName="Tabla179" ref="A2:I98" totalsRowShown="0" headerRowDxfId="29" dataDxfId="27" totalsRowDxfId="25" headerRowBorderDxfId="28" tableBorderDxfId="26">
  <autoFilter ref="A2:I98" xr:uid="{2AA610CB-4F8E-E14F-9E2E-4372D946959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C9251F93-D82F-43FA-AFD7-D5B01AE4E694}" name="Cuenta" dataDxfId="24" totalsRowDxfId="23"/>
    <tableColumn id="2" xr3:uid="{8E91F8D4-A66C-4EC2-9A84-258610B8A547}" name="Descripcion Cuenta" dataDxfId="22"/>
    <tableColumn id="4" xr3:uid="{C7B7D132-CAFB-4ACB-8C81-DCECBF84AE79}" name="Codigo Cta" dataDxfId="21">
      <calculatedColumnFormula>+Tabla179[[#This Row],[Cuenta]]&amp;" - "&amp;Tabla179[[#This Row],[Descripcion Cuenta]]</calculatedColumnFormula>
    </tableColumn>
    <tableColumn id="3" xr3:uid="{1E24F7DF-F4CE-463C-9A5D-A90C4A5DC8CD}" name="Observaciones" dataDxfId="20"/>
    <tableColumn id="13" xr3:uid="{5D00AA6B-44F5-4ADD-AAB8-BA10CDBC8FC4}" name="2021" dataDxfId="19" dataCellStyle="Millares [0]"/>
    <tableColumn id="14" xr3:uid="{2F80CFD9-5521-4AEB-8A04-3B51E3AF29D6}" name="2022" dataDxfId="18" dataCellStyle="Millares [0]"/>
    <tableColumn id="15" xr3:uid="{CB52EB88-F386-4C01-8F5E-16900CE820A5}" name="2023" dataDxfId="17" dataCellStyle="Millares [0]"/>
    <tableColumn id="16" xr3:uid="{2B69584F-C672-4F7D-A1D2-240AB9CBD036}" name="2024" dataDxfId="16" dataCellStyle="Millares [0]"/>
    <tableColumn id="17" xr3:uid="{398018C0-8136-46A4-8F90-9DA7D9274FA2}" name="2025" dataDxfId="15" dataCellStyle="Millares [0]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FD3FF57-6C15-4BB2-8328-87832A88FF30}" name="Tabla7" displayName="Tabla7" ref="B4:L9" totalsRowShown="0" headerRowDxfId="14">
  <autoFilter ref="B4:L9" xr:uid="{4FD3FF57-6C15-4BB2-8328-87832A88FF30}"/>
  <sortState xmlns:xlrd2="http://schemas.microsoft.com/office/spreadsheetml/2017/richdata2" ref="B5:K7">
    <sortCondition ref="I4:I7"/>
  </sortState>
  <tableColumns count="11">
    <tableColumn id="1" xr3:uid="{2E63AD6F-D7F2-421E-88DF-09D2642D2A5A}" name="Tipo "/>
    <tableColumn id="2" xr3:uid="{80BA97A2-766C-4394-A1AF-3E9A82906C7B}" name="Tasa Base 360 Dias" dataDxfId="13"/>
    <tableColumn id="3" xr3:uid="{B09A0BE5-365E-4FF3-9556-DCF054E75E73}" name="Plazo "/>
    <tableColumn id="4" xr3:uid="{4B94B002-3232-4C08-8875-8394766994A5}" name="Moneda "/>
    <tableColumn id="5" xr3:uid="{E6F07B78-19A0-4867-94C4-9BA752AE4733}" name="Monto Inicial" dataDxfId="12" dataCellStyle="Millares [0]"/>
    <tableColumn id="10" xr3:uid="{EE8F64FF-78C6-44DE-9CAB-120B183BCD88}" name="Monto Inicial Periodo" dataDxfId="11" dataCellStyle="Millares [0]"/>
    <tableColumn id="6" xr3:uid="{507C4922-2C63-4876-A3EB-305FAC35859C}" name="Acumulado al Termino" dataDxfId="10" dataCellStyle="Millares [0]"/>
    <tableColumn id="7" xr3:uid="{EE9B40B2-1B76-4153-A1FF-81AF520C9323}" name="Proxima Renov"/>
    <tableColumn id="9" xr3:uid="{1D15ADC8-69D8-4953-8947-39D394390044}" name="Interes Periodo" dataDxfId="9" dataCellStyle="Moneda [0]">
      <calculatedColumnFormula>IF(Tabla7[[#This Row],[Acumulado al Termino]]&lt;&gt;"",Tabla7[[#This Row],[Acumulado al Termino]]-Tabla7[[#This Row],[Monto Inicial Periodo]],0)</calculatedColumnFormula>
    </tableColumn>
    <tableColumn id="8" xr3:uid="{870A59B9-1FAE-480C-AF1F-78B5C64E8D72}" name="Intereses Acumulado" dataDxfId="8">
      <calculatedColumnFormula>H5-F5</calculatedColumnFormula>
    </tableColumn>
    <tableColumn id="11" xr3:uid="{0998F06C-56E5-4214-A303-9E5B65C8DFE4}" name="Estad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2EF1C2-FA55-4146-98A9-E5112D1E6CB6}" name="Libro_Diario" displayName="Libro_Diario" ref="A1:I30" totalsRowShown="0" headerRowDxfId="7">
  <tableColumns count="9">
    <tableColumn id="7" xr3:uid="{8F5A21E5-6B6C-D443-9C00-A1F53A2429F3}" name="Num. Documento" dataDxfId="6"/>
    <tableColumn id="1" xr3:uid="{AD6225CF-A20F-2C49-8085-BB2275DFD158}" name="Fecha Documento" dataDxfId="5"/>
    <tableColumn id="9" xr3:uid="{5D7F5529-30D6-AE43-A20A-F4E9035C0A11}" name="Fecha Contable" dataDxfId="4"/>
    <tableColumn id="8" xr3:uid="{A6F6D204-9E64-F94D-8697-265214A23D5D}" name="Periodo Computo" dataDxfId="3">
      <calculatedColumnFormula>IF(Libro_Diario[[#This Row],[Fecha Contable]]&lt;&gt;"",MONTH(C2)&amp;"-"&amp;YEAR(C2),"")</calculatedColumnFormula>
    </tableColumn>
    <tableColumn id="4" xr3:uid="{7D50528B-56A0-5D45-9F16-CF123691EF3A}" name="Año" dataDxfId="2">
      <calculatedColumnFormula>IF(Libro_Diario[[#This Row],[Fecha Contable]]&lt;&gt;"",YEAR(C2),"")</calculatedColumnFormula>
    </tableColumn>
    <tableColumn id="2" xr3:uid="{6B902C25-06EF-444E-A853-E6C5A59B4E11}" name="Cuenta" dataDxfId="1"/>
    <tableColumn id="3" xr3:uid="{0DA5657C-C709-5A4D-804D-88446ED54111}" name="Monto" dataDxfId="0" dataCellStyle="Millares [0]"/>
    <tableColumn id="5" xr3:uid="{827D1466-BBDE-1D46-9195-7C6CCBB2A374}" name="Observaciones / Descripcion del Gasto"/>
    <tableColumn id="6" xr3:uid="{B521682C-31B6-4449-9739-436F28ABA6F7}" name="Link Comproban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../../../../../:b:/g/personal/lcorales_colbun_cl/EToelPFLCu9Llbt1-rlA4OwBdHDkOfdk01Xm8cNmhGhxUA?e=ig3cD9" TargetMode="External"/><Relationship Id="rId21" Type="http://schemas.openxmlformats.org/officeDocument/2006/relationships/hyperlink" Target="../../../../../:b:/g/personal/lcorales_colbun_cl/EZoJhAYmDhpPr18wt3pJ7s4BZWjuHVFaawBfEaCw_f5uvQ?e=Ihs0Yi" TargetMode="External"/><Relationship Id="rId42" Type="http://schemas.openxmlformats.org/officeDocument/2006/relationships/hyperlink" Target="../../../../../:b:/g/personal/lcorales_colbun_cl/EZnqvnx1fhdNrwG0gV0ryFIBIdqWg5ZLgy7wWAOCyxwMBA?e=SLWfTg" TargetMode="External"/><Relationship Id="rId47" Type="http://schemas.openxmlformats.org/officeDocument/2006/relationships/hyperlink" Target="https://colbun-my.sharepoint.https/colbun-my.sharepoint.com/:b:/g/personal/lcorales_colbun_cl/ESHSJsiTxhdFsCVm1mxAQ-kB7Dkf1MxzcRk7WStV3BfOlQ?e=Xgo6agcom/personal/lcorales_colbun_cl/Documents/Sindicato%20N&#176;%207/Tesoreria%20Sindicato%207/presentacion%20contabilidad" TargetMode="External"/><Relationship Id="rId63" Type="http://schemas.openxmlformats.org/officeDocument/2006/relationships/hyperlink" Target="../../../../../:b:/g/personal/lcorales_colbun_cl/EWWVzcFqM7VEtf1sjjAMnmwBZaFuwIpdFEapYKpHGDLStw?e=JNREIU" TargetMode="External"/><Relationship Id="rId68" Type="http://schemas.openxmlformats.org/officeDocument/2006/relationships/table" Target="../tables/table1.xml"/><Relationship Id="rId7" Type="http://schemas.openxmlformats.org/officeDocument/2006/relationships/hyperlink" Target="../../../../../:b:/g/personal/lcorales_colbun_cl/EZv0X2YQOqhAhE-mDdL9-pEBnbkp9ayXD6jiRayrAOmSig?e=LUeaCx" TargetMode="External"/><Relationship Id="rId2" Type="http://schemas.openxmlformats.org/officeDocument/2006/relationships/hyperlink" Target="../../../../../:b:/g/personal/lcorales_colbun_cl/EX5rEZ3xOy5Cm9in8bWsxCkBBBsDmE8aHYdk4Lu18GK3Qg?e=ZMRwF1" TargetMode="External"/><Relationship Id="rId16" Type="http://schemas.openxmlformats.org/officeDocument/2006/relationships/hyperlink" Target="../../../../../:b:/g/personal/lcorales_colbun_cl/ES5lgpytW0dPn547nWyUqOsBybqG6z-zNjB3q-zNZR0ZNg?e=xyeXet" TargetMode="External"/><Relationship Id="rId29" Type="http://schemas.openxmlformats.org/officeDocument/2006/relationships/hyperlink" Target="../../../../../:b:/g/personal/lcorales_colbun_cl/EQI7Cp2TFYBMpiCtQkM6lKMBK4y5TdjDW9AyeEPcbiYMpA?e=a2Pqmg" TargetMode="External"/><Relationship Id="rId11" Type="http://schemas.openxmlformats.org/officeDocument/2006/relationships/hyperlink" Target="../../../../../:b:/g/personal/lcorales_colbun_cl/ETz-GJal19NFuT6mmSDeejEBahSMhZPCJ_gySTvOugYVSQ?e=xYkMPe" TargetMode="External"/><Relationship Id="rId24" Type="http://schemas.openxmlformats.org/officeDocument/2006/relationships/hyperlink" Target="../../../../../:b:/g/personal/lcorales_colbun_cl/EfL1u-3a5f9Ji5aDmGBXSXMB85dCLFd_XjIGGYNqQ0mmSw?e=eU4zlc" TargetMode="External"/><Relationship Id="rId32" Type="http://schemas.openxmlformats.org/officeDocument/2006/relationships/hyperlink" Target="../../../../../:b:/g/personal/lcorales_colbun_cl/EeAEih3VeXVOvaeApXQYPW4B2slE1MRfN2cwbacDGQJTKQ?e=Go7Cvq" TargetMode="External"/><Relationship Id="rId37" Type="http://schemas.openxmlformats.org/officeDocument/2006/relationships/hyperlink" Target="../../../../../:b:/g/personal/lcorales_colbun_cl/EXN_08tZtkFAms0bZK9KPcsBFCkmiYtChOeyVtBwKGZzpg?e=gZyZVC" TargetMode="External"/><Relationship Id="rId40" Type="http://schemas.openxmlformats.org/officeDocument/2006/relationships/hyperlink" Target="../../../../../:b:/g/personal/lcorales_colbun_cl/EXN_08tZtkFAms0bZK9KPcsBFCkmiYtChOeyVtBwKGZzpg?e=gZyZVC" TargetMode="External"/><Relationship Id="rId45" Type="http://schemas.openxmlformats.org/officeDocument/2006/relationships/hyperlink" Target="../../../../../:i:/g/personal/lcorales_colbun_cl/EcOZphJVL29PgJz5I4ez1c8BUqGhLLCZZxGZKpYIn9I9tg?e=UGhREJ" TargetMode="External"/><Relationship Id="rId53" Type="http://schemas.openxmlformats.org/officeDocument/2006/relationships/hyperlink" Target="../../../../../:b:/g/personal/lcorales_colbun_cl/EWcDFnxkrlVErlHI9XFChxgBSKdeEHFNbRIoRUNYhmmcVQ?e=QzZeao" TargetMode="External"/><Relationship Id="rId58" Type="http://schemas.openxmlformats.org/officeDocument/2006/relationships/hyperlink" Target="../../../../../:b:/g/personal/lcorales_colbun_cl/ER9fKb7Lzu1Oicn5-81M9XQBy7obsTTGY9rxQEgMZ3xTBQ?e=z9luqT" TargetMode="External"/><Relationship Id="rId66" Type="http://schemas.openxmlformats.org/officeDocument/2006/relationships/printerSettings" Target="../printerSettings/printerSettings1.bin"/><Relationship Id="rId5" Type="http://schemas.openxmlformats.org/officeDocument/2006/relationships/hyperlink" Target="../../../../../:b:/g/personal/lcorales_colbun_cl/EZcOO8hszf9Aq-5OAncV8_sBEuWTk1x3o2Z6wFvgWsgr8g?e=mAcNe4" TargetMode="External"/><Relationship Id="rId61" Type="http://schemas.openxmlformats.org/officeDocument/2006/relationships/hyperlink" Target="file:///C:\Users\Lcorales\OneDrive%20-%20Colbun%20S.A\Sindicato%20N&#176;%207\Tesoreria%20Sindicato%207\2024\Boletas%20gastos%202024-12-06-KAzat.pdf" TargetMode="External"/><Relationship Id="rId19" Type="http://schemas.openxmlformats.org/officeDocument/2006/relationships/hyperlink" Target="../../../../../:b:/g/personal/lcorales_colbun_cl/EReJfHtBRKxKpJsJyrT30uUBYLwbncpqsMxuGkcDHnbK5A?e=TvcpAt" TargetMode="External"/><Relationship Id="rId14" Type="http://schemas.openxmlformats.org/officeDocument/2006/relationships/hyperlink" Target="../../../../../:b:/g/personal/lcorales_colbun_cl/EaWxBHuLpspFlogfqPhYuycB1Y7Sk-4vN-y_PTasuFpWoA?e=eBV2fN" TargetMode="External"/><Relationship Id="rId22" Type="http://schemas.openxmlformats.org/officeDocument/2006/relationships/hyperlink" Target="../../../../../:b:/g/personal/lcorales_colbun_cl/ESFSdQYKwjtDno07QuyExN4BjId5Zu_YgfxxX3MDgWk2UQ?e=XsIgZs" TargetMode="External"/><Relationship Id="rId27" Type="http://schemas.openxmlformats.org/officeDocument/2006/relationships/hyperlink" Target="../../../../../:b:/g/personal/lcorales_colbun_cl/EToelPFLCu9Llbt1-rlA4OwBdHDkOfdk01Xm8cNmhGhxUA?e=ig3cD9" TargetMode="External"/><Relationship Id="rId30" Type="http://schemas.openxmlformats.org/officeDocument/2006/relationships/hyperlink" Target="../../../../../:b:/g/personal/lcorales_colbun_cl/EXjn97e7wxtOsh7dvz1SRsYBGw3HaChuQlBHFZLtv9JRUg?e=0bZDa4" TargetMode="External"/><Relationship Id="rId35" Type="http://schemas.openxmlformats.org/officeDocument/2006/relationships/hyperlink" Target="../../../../../:b:/g/personal/lcorales_colbun_cl/EXN_08tZtkFAms0bZK9KPcsBFCkmiYtChOeyVtBwKGZzpg?e=gZyZVC" TargetMode="External"/><Relationship Id="rId43" Type="http://schemas.openxmlformats.org/officeDocument/2006/relationships/hyperlink" Target="../../../../../:b:/g/personal/lcorales_colbun_cl/EVGaBselXVhKonjcUdzy5pQBhvDIjiZkxcUMZvDVmVWb8Q?e=rrSpGn" TargetMode="External"/><Relationship Id="rId48" Type="http://schemas.openxmlformats.org/officeDocument/2006/relationships/hyperlink" Target="../../../../../:u:/g/personal/lcorales_colbun_cl/ERCuYjptAIhFpkplXco61AQBhjbikSNahBUJObRNAw6GnQ?e=saV57t" TargetMode="External"/><Relationship Id="rId56" Type="http://schemas.openxmlformats.org/officeDocument/2006/relationships/hyperlink" Target="../../../../../:b:/g/personal/lcorales_colbun_cl/Ee-Tw9vXxHVOkYt7Sl9R-w0BPp-0LFv3SkeoqekMueXi6w?e=VFCJDD" TargetMode="External"/><Relationship Id="rId64" Type="http://schemas.openxmlformats.org/officeDocument/2006/relationships/hyperlink" Target="../../../../../:b:/g/personal/lcorales_colbun_cl/EWWVzcFqM7VEtf1sjjAMnmwBZaFuwIpdFEapYKpHGDLStw?e=JNREIU" TargetMode="External"/><Relationship Id="rId69" Type="http://schemas.microsoft.com/office/2007/relationships/slicer" Target="../slicers/slicer2.xml"/><Relationship Id="rId8" Type="http://schemas.openxmlformats.org/officeDocument/2006/relationships/hyperlink" Target="../../../../../:b:/g/personal/lcorales_colbun_cl/ERuA0o9nolZPmozvXwLheK0B8ugf_nZkCgm_roAc1pM9_g?e=4ZDu8p" TargetMode="External"/><Relationship Id="rId51" Type="http://schemas.openxmlformats.org/officeDocument/2006/relationships/hyperlink" Target="../../../../../:b:/g/personal/lcorales_colbun_cl/EWnOAlFT2HBNr2ujGdwfizYBj1Qu2kD7lAyl52byGMJFJg?e=lrvCnc" TargetMode="External"/><Relationship Id="rId3" Type="http://schemas.openxmlformats.org/officeDocument/2006/relationships/hyperlink" Target="../../../../../:b:/g/personal/lcorales_colbun_cl/EX5rEZ3xOy5Cm9in8bWsxCkBBBsDmE8aHYdk4Lu18GK3Qg?e=ZMRwF1" TargetMode="External"/><Relationship Id="rId12" Type="http://schemas.openxmlformats.org/officeDocument/2006/relationships/hyperlink" Target="../../../../../:b:/g/personal/lcorales_colbun_cl/EVHQuSUSZaNMnlQDEuWtB7ABffboCSZFSwZKePtAFiMZug?e=c0Gw3W" TargetMode="External"/><Relationship Id="rId17" Type="http://schemas.openxmlformats.org/officeDocument/2006/relationships/hyperlink" Target="../../../../../:b:/g/personal/lcorales_colbun_cl/EcHM5q_ccRJMptHC_KaPCdMBLRaa0JG4rjW9V5kH95QGUg?e=7iXpQc" TargetMode="External"/><Relationship Id="rId25" Type="http://schemas.openxmlformats.org/officeDocument/2006/relationships/hyperlink" Target="../../../../../:b:/g/personal/lcorales_colbun_cl/EfL1u-3a5f9Ji5aDmGBXSXMB85dCLFd_XjIGGYNqQ0mmSw?e=eU4zlc" TargetMode="External"/><Relationship Id="rId33" Type="http://schemas.openxmlformats.org/officeDocument/2006/relationships/hyperlink" Target="../../../../../:b:/g/personal/lcorales_colbun_cl/EeAEih3VeXVOvaeApXQYPW4B2slE1MRfN2cwbacDGQJTKQ?e=Go7Cvq" TargetMode="External"/><Relationship Id="rId38" Type="http://schemas.openxmlformats.org/officeDocument/2006/relationships/hyperlink" Target="../../../../../:b:/g/personal/lcorales_colbun_cl/EXN_08tZtkFAms0bZK9KPcsBFCkmiYtChOeyVtBwKGZzpg?e=gZyZVC" TargetMode="External"/><Relationship Id="rId46" Type="http://schemas.openxmlformats.org/officeDocument/2006/relationships/hyperlink" Target="../../../../../:b:/g/personal/lcorales_colbun_cl/EY3Yv8mCITNEurbFiz--F2wBGAal3qFUmV8ooW5KKuxz0w?e=Hk60yl" TargetMode="External"/><Relationship Id="rId59" Type="http://schemas.openxmlformats.org/officeDocument/2006/relationships/hyperlink" Target="../../../../../:b:/g/personal/lcorales_colbun_cl/ETbhx0JS6ytOlMSZBOegnFIBVXasPSoodku7ysREQsq0gA?e=RAJ3Nc" TargetMode="External"/><Relationship Id="rId67" Type="http://schemas.openxmlformats.org/officeDocument/2006/relationships/drawing" Target="../drawings/drawing3.xml"/><Relationship Id="rId20" Type="http://schemas.openxmlformats.org/officeDocument/2006/relationships/hyperlink" Target="../../../../../:b:/g/personal/lcorales_colbun_cl/EReJfHtBRKxKpJsJyrT30uUBYLwbncpqsMxuGkcDHnbK5A?e=TvcpAt" TargetMode="External"/><Relationship Id="rId41" Type="http://schemas.openxmlformats.org/officeDocument/2006/relationships/hyperlink" Target="../../../../../:b:/g/personal/lcorales_colbun_cl/EZ5mPY8eWc1Pokc-g0_GsWYBYURjXtMfX5_hQLDvVk4Feg?e=JXrfA7" TargetMode="External"/><Relationship Id="rId54" Type="http://schemas.openxmlformats.org/officeDocument/2006/relationships/hyperlink" Target="../../../../../:b:/g/personal/lcorales_colbun_cl/EWrD34A15gtLgePj_JYyUoIB7AUVGKluJuiuSfCOXwI47A?e=b2GRyk" TargetMode="External"/><Relationship Id="rId62" Type="http://schemas.openxmlformats.org/officeDocument/2006/relationships/hyperlink" Target="../../../../../:b:/g/personal/lcorales_colbun_cl/EVOfSWcJt-5OsX6EnPuHcqgBZH1tfrsbgHnffGsnCBKzvQ?e=cbF51V" TargetMode="External"/><Relationship Id="rId1" Type="http://schemas.openxmlformats.org/officeDocument/2006/relationships/hyperlink" Target="../../../../../:b:/g/personal/lcorales_colbun_cl/EQsamN37r11NqU60j-CyF24BuXhAOMOAqwXkv-5ACqAbpQ?e=nRwNgH" TargetMode="External"/><Relationship Id="rId6" Type="http://schemas.openxmlformats.org/officeDocument/2006/relationships/hyperlink" Target="../../../../../:b:/g/personal/lcorales_colbun_cl/EX85X5-4A1pGu_hvov3nhS4BT57tIQxma1oi7UJ8CQPj-w?e=4Ra1mw" TargetMode="External"/><Relationship Id="rId15" Type="http://schemas.openxmlformats.org/officeDocument/2006/relationships/hyperlink" Target="../../../../../:b:/g/personal/lcorales_colbun_cl/ES5lgpytW0dPn547nWyUqOsBybqG6z-zNjB3q-zNZR0ZNg?e=xyeXet" TargetMode="External"/><Relationship Id="rId23" Type="http://schemas.openxmlformats.org/officeDocument/2006/relationships/hyperlink" Target="../../../../../:b:/g/personal/lcorales_colbun_cl/ESFSdQYKwjtDno07QuyExN4BjId5Zu_YgfxxX3MDgWk2UQ?e=XsIgZs" TargetMode="External"/><Relationship Id="rId28" Type="http://schemas.openxmlformats.org/officeDocument/2006/relationships/hyperlink" Target="../../../../../:b:/g/personal/lcorales_colbun_cl/EQI7Cp2TFYBMpiCtQkM6lKMBK4y5TdjDW9AyeEPcbiYMpA?e=a2Pqmg" TargetMode="External"/><Relationship Id="rId36" Type="http://schemas.openxmlformats.org/officeDocument/2006/relationships/hyperlink" Target="../../../../../:b:/g/personal/lcorales_colbun_cl/EXN_08tZtkFAms0bZK9KPcsBFCkmiYtChOeyVtBwKGZzpg?e=gZyZVC" TargetMode="External"/><Relationship Id="rId49" Type="http://schemas.openxmlformats.org/officeDocument/2006/relationships/hyperlink" Target="../../../../../:u:/g/personal/lcorales_colbun_cl/EXimfVMC68xMre2FjX1vGeEBxJC4ugl7CU4MZYP-MTmqVA?e=Y1CLyB" TargetMode="External"/><Relationship Id="rId57" Type="http://schemas.openxmlformats.org/officeDocument/2006/relationships/hyperlink" Target="../../../../../:b:/g/personal/lcorales_colbun_cl/EWLxtpqOm1hDtmHalKiojPIBKzRfnwd9W-xeDhTAB9RxfQ?e=0x8nBB" TargetMode="External"/><Relationship Id="rId10" Type="http://schemas.openxmlformats.org/officeDocument/2006/relationships/hyperlink" Target="../../../../../:b:/g/personal/lcorales_colbun_cl/EW9zyDdAtBpDnqs61rmd14IBETTIF-0X5ONOhz14ZviAQA?e=H2xJ4W" TargetMode="External"/><Relationship Id="rId31" Type="http://schemas.openxmlformats.org/officeDocument/2006/relationships/hyperlink" Target="../../../../../:b:/g/personal/lcorales_colbun_cl/EeAEih3VeXVOvaeApXQYPW4B2slE1MRfN2cwbacDGQJTKQ?e=Go7Cvq" TargetMode="External"/><Relationship Id="rId44" Type="http://schemas.openxmlformats.org/officeDocument/2006/relationships/hyperlink" Target="../../../../../:b:/g/personal/lcorales_colbun_cl/EbbUj--WJDFNh7_xJGdJmY4B5aL4vb0ae8L1fkqBzq9hww?e=w3zwsm" TargetMode="External"/><Relationship Id="rId52" Type="http://schemas.openxmlformats.org/officeDocument/2006/relationships/hyperlink" Target="../../../../../:b:/g/personal/lcorales_colbun_cl/EVN9Qwx2m5hPkZhsLUlv7ggB-gqWoNL8hjOtU7hJSXg8gg?e=GBPNWt" TargetMode="External"/><Relationship Id="rId60" Type="http://schemas.openxmlformats.org/officeDocument/2006/relationships/hyperlink" Target="../../../../../:b:/g/personal/lcorales_colbun_cl/Edo_weorbVJEtwAHxxfYhLsB9o1U-QCeNrXfDtgdquE8KA?e=53g9U7" TargetMode="External"/><Relationship Id="rId65" Type="http://schemas.openxmlformats.org/officeDocument/2006/relationships/hyperlink" Target="../../../../../:b:/g/personal/lcorales_colbun_cl/ERpiGC-hiWBNpq4jTyYEHykBSXLT23NbAyH1mqgKAFHcdQ?e=dJrdvt" TargetMode="External"/><Relationship Id="rId4" Type="http://schemas.openxmlformats.org/officeDocument/2006/relationships/hyperlink" Target="../../../../../:b:/g/personal/lcorales_colbun_cl/Ee8fqnf3ZOhFo1aPSUThbuUBzRli1382SIs5t3MNgiRNzA?e=zulTF2" TargetMode="External"/><Relationship Id="rId9" Type="http://schemas.openxmlformats.org/officeDocument/2006/relationships/hyperlink" Target="../../../../../:b:/g/personal/lcorales_colbun_cl/EVcujhRS4wFMkNz7OMrOZnwB2J8KDY8Nev_dYGWTAStm5A?e=pzvyLI" TargetMode="External"/><Relationship Id="rId13" Type="http://schemas.openxmlformats.org/officeDocument/2006/relationships/hyperlink" Target="../../../../../:b:/g/personal/lcorales_colbun_cl/EVHQuSUSZaNMnlQDEuWtB7ABffboCSZFSwZKePtAFiMZug?e=c0Gw3W" TargetMode="External"/><Relationship Id="rId18" Type="http://schemas.openxmlformats.org/officeDocument/2006/relationships/hyperlink" Target="../../../../../:b:/g/personal/lcorales_colbun_cl/EcHM5q_ccRJMptHC_KaPCdMBLRaa0JG4rjW9V5kH95QGUg?e=7iXpQc" TargetMode="External"/><Relationship Id="rId39" Type="http://schemas.openxmlformats.org/officeDocument/2006/relationships/hyperlink" Target="../../../../../:b:/g/personal/lcorales_colbun_cl/EXN_08tZtkFAms0bZK9KPcsBFCkmiYtChOeyVtBwKGZzpg?e=gZyZVC" TargetMode="External"/><Relationship Id="rId34" Type="http://schemas.openxmlformats.org/officeDocument/2006/relationships/hyperlink" Target="../../../../../:b:/g/personal/lcorales_colbun_cl/EbgW9Em99QBNpNwYQWc213ABlmEACQhfXayRWhU7Thqyaw?e=RhVZsm" TargetMode="External"/><Relationship Id="rId50" Type="http://schemas.openxmlformats.org/officeDocument/2006/relationships/hyperlink" Target="../../../../../:u:/g/personal/lcorales_colbun_cl/ERFBOi3QujBHq9o3ZSyz8IkBsfm5NM5Vxpa41u0Up_7lMQ?e=fx89Am" TargetMode="External"/><Relationship Id="rId55" Type="http://schemas.openxmlformats.org/officeDocument/2006/relationships/hyperlink" Target="../../../../../:b:/g/personal/lcorales_colbun_cl/EWrD34A15gtLgePj_JYyUoIB7AUVGKluJuiuSfCOXwI47A?e=b2GRyk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693F4-1D39-4DBA-B23A-5EDE34A3192F}">
  <dimension ref="A1:E38"/>
  <sheetViews>
    <sheetView zoomScale="85" zoomScaleNormal="85" workbookViewId="0">
      <selection activeCell="H6" sqref="H6"/>
    </sheetView>
  </sheetViews>
  <sheetFormatPr baseColWidth="10" defaultRowHeight="15.6"/>
  <cols>
    <col min="1" max="1" width="20.3984375" bestFit="1" customWidth="1"/>
    <col min="2" max="2" width="12.09765625" bestFit="1" customWidth="1"/>
    <col min="3" max="3" width="3.5" customWidth="1"/>
    <col min="4" max="4" width="20.3984375" bestFit="1" customWidth="1"/>
    <col min="5" max="5" width="12.09765625" bestFit="1" customWidth="1"/>
    <col min="6" max="6" width="40.69921875" bestFit="1" customWidth="1"/>
    <col min="7" max="7" width="12.5" bestFit="1" customWidth="1"/>
    <col min="8" max="8" width="41" bestFit="1" customWidth="1"/>
    <col min="9" max="9" width="11.5" bestFit="1" customWidth="1"/>
    <col min="10" max="10" width="27.8984375" bestFit="1" customWidth="1"/>
    <col min="11" max="11" width="8.69921875" bestFit="1" customWidth="1"/>
    <col min="12" max="12" width="27.8984375" bestFit="1" customWidth="1"/>
    <col min="13" max="13" width="8.69921875" bestFit="1" customWidth="1"/>
    <col min="14" max="14" width="27.5" bestFit="1" customWidth="1"/>
    <col min="15" max="15" width="11.5" bestFit="1" customWidth="1"/>
    <col min="16" max="16" width="35" bestFit="1" customWidth="1"/>
    <col min="17" max="17" width="8.69921875" bestFit="1" customWidth="1"/>
    <col min="18" max="18" width="26.69921875" bestFit="1" customWidth="1"/>
    <col min="19" max="19" width="8.69921875" bestFit="1" customWidth="1"/>
    <col min="20" max="20" width="35.09765625" bestFit="1" customWidth="1"/>
    <col min="21" max="21" width="10.3984375" bestFit="1" customWidth="1"/>
    <col min="22" max="22" width="11.69921875" bestFit="1" customWidth="1"/>
    <col min="23" max="23" width="12.5" bestFit="1" customWidth="1"/>
  </cols>
  <sheetData>
    <row r="1" spans="1:5" ht="23.4">
      <c r="A1" s="314" t="s">
        <v>490</v>
      </c>
      <c r="D1" s="314" t="s">
        <v>491</v>
      </c>
    </row>
    <row r="2" spans="1:5">
      <c r="A2" s="311" t="s">
        <v>1</v>
      </c>
      <c r="B2" t="s" vm="1">
        <v>429</v>
      </c>
      <c r="D2" s="311" t="s">
        <v>1</v>
      </c>
      <c r="E2" t="s" vm="1">
        <v>429</v>
      </c>
    </row>
    <row r="3" spans="1:5">
      <c r="A3" s="311" t="s">
        <v>2</v>
      </c>
      <c r="B3" t="s" vm="2">
        <v>507</v>
      </c>
      <c r="D3" s="311" t="s">
        <v>2</v>
      </c>
      <c r="E3" t="s" vm="2">
        <v>507</v>
      </c>
    </row>
    <row r="5" spans="1:5">
      <c r="A5" s="311" t="s">
        <v>487</v>
      </c>
      <c r="D5" s="311" t="s">
        <v>487</v>
      </c>
      <c r="E5" t="s">
        <v>7</v>
      </c>
    </row>
    <row r="6" spans="1:5">
      <c r="A6" s="312" t="s">
        <v>249</v>
      </c>
      <c r="D6" s="312" t="s">
        <v>249</v>
      </c>
      <c r="E6" s="313">
        <v>0</v>
      </c>
    </row>
    <row r="7" spans="1:5">
      <c r="A7" s="312" t="s">
        <v>409</v>
      </c>
      <c r="D7" s="312" t="s">
        <v>409</v>
      </c>
      <c r="E7" s="313">
        <v>23569</v>
      </c>
    </row>
    <row r="8" spans="1:5">
      <c r="A8" s="312" t="s">
        <v>367</v>
      </c>
      <c r="D8" s="312" t="s">
        <v>367</v>
      </c>
      <c r="E8" s="313">
        <v>207152</v>
      </c>
    </row>
    <row r="9" spans="1:5">
      <c r="A9" s="312" t="s">
        <v>327</v>
      </c>
      <c r="D9" s="312" t="s">
        <v>327</v>
      </c>
      <c r="E9" s="313">
        <v>6294</v>
      </c>
    </row>
    <row r="10" spans="1:5">
      <c r="A10" s="312" t="s">
        <v>488</v>
      </c>
      <c r="D10" s="312" t="s">
        <v>488</v>
      </c>
      <c r="E10" s="313">
        <v>237015</v>
      </c>
    </row>
    <row r="37" spans="4:4">
      <c r="D37" s="315"/>
    </row>
    <row r="38" spans="4:4">
      <c r="D38" s="315"/>
    </row>
  </sheetData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15647-C314-4B83-85B3-69535CF4D480}">
  <dimension ref="A1:N32"/>
  <sheetViews>
    <sheetView showGridLines="0" zoomScaleNormal="100" workbookViewId="0">
      <selection activeCell="A6" sqref="A6"/>
    </sheetView>
  </sheetViews>
  <sheetFormatPr baseColWidth="10" defaultRowHeight="15.6"/>
  <cols>
    <col min="1" max="1" width="21.59765625" customWidth="1"/>
    <col min="2" max="2" width="10.69921875" customWidth="1"/>
    <col min="3" max="3" width="9.69921875" bestFit="1" customWidth="1"/>
    <col min="4" max="4" width="10.09765625" bestFit="1" customWidth="1"/>
    <col min="5" max="5" width="27" customWidth="1"/>
    <col min="6" max="6" width="20.69921875" hidden="1" customWidth="1"/>
    <col min="7" max="8" width="13.296875" customWidth="1"/>
    <col min="9" max="9" width="12" customWidth="1"/>
    <col min="10" max="10" width="2.796875" customWidth="1"/>
    <col min="11" max="12" width="11.19921875" customWidth="1"/>
    <col min="13" max="13" width="32.69921875" customWidth="1"/>
    <col min="14" max="14" width="68.09765625" hidden="1" customWidth="1"/>
    <col min="15" max="15" width="0" hidden="1" customWidth="1"/>
  </cols>
  <sheetData>
    <row r="1" spans="1:13" ht="16.2" thickBot="1">
      <c r="A1" s="322" t="s">
        <v>1</v>
      </c>
      <c r="B1" s="320">
        <v>2025</v>
      </c>
      <c r="D1" t="str">
        <f>UPPER("Finanzas "&amp;B2&amp;" del "&amp;B1)</f>
        <v>FINANZAS DICIEMBRE DEL 2025</v>
      </c>
    </row>
    <row r="2" spans="1:13" ht="21.6" thickBot="1">
      <c r="A2" s="323" t="s">
        <v>2</v>
      </c>
      <c r="B2" s="321" t="s">
        <v>517</v>
      </c>
      <c r="D2" t="str">
        <f>UPPER("Distribución de los Egresos a "&amp;B2&amp;" del "&amp;B1)</f>
        <v>DISTRIBUCIÓN DE LOS EGRESOS A DICIEMBRE DEL 2025</v>
      </c>
      <c r="G2" s="318" t="s">
        <v>0</v>
      </c>
      <c r="H2" s="319"/>
      <c r="I2" s="324">
        <f>G3+I3</f>
        <v>17877600</v>
      </c>
    </row>
    <row r="3" spans="1:13" ht="16.2" thickBot="1">
      <c r="G3" s="327">
        <f>SUBTOTAL(9,G5:G1000)</f>
        <v>17877600</v>
      </c>
      <c r="H3" s="328">
        <f>SUBTOTAL(9,H5:H1000)</f>
        <v>0</v>
      </c>
      <c r="I3" s="329">
        <f>SUBTOTAL(9,I5:I1000)</f>
        <v>0</v>
      </c>
    </row>
    <row r="5" spans="1:13">
      <c r="A5" s="325" cm="1">
        <f t="array" ref="A5:G12">_xlfn.LET(
_xlpm.Filtrados,
_xlfn.LET(
_xlpm.datos,_xlfn.CHOOSECOLS(Banco[],1,2,8,9,13),
_xlfn._xlws.FILTER(_xlpm.datos,(_xlfn.CHOOSECOLS(_xlpm.datos,1)=B1)*(_xlfn.CHOOSECOLS(_xlpm.datos,2)=B2),"Sin Datos")
),
_xlfn.GROUPBY(
_xlpm.Filtrados,_xlfn.CHOOSECOLS(_xlpm.Filtrados,3,4),_xleta.SUM
)
)</f>
        <v>2025</v>
      </c>
      <c r="B5" t="str">
        <v>Diciembre</v>
      </c>
      <c r="C5" s="330">
        <v>0</v>
      </c>
      <c r="D5" s="330">
        <v>8938800</v>
      </c>
      <c r="E5" t="str">
        <v>Cuota Ordinaria</v>
      </c>
      <c r="F5">
        <v>0</v>
      </c>
      <c r="G5" s="253">
        <v>8938800</v>
      </c>
      <c r="H5" s="253"/>
      <c r="I5" s="253"/>
      <c r="J5" s="269"/>
      <c r="K5" s="269"/>
    </row>
    <row r="6" spans="1:13">
      <c r="A6">
        <v>2025</v>
      </c>
      <c r="B6" s="3" t="str">
        <v>Diciembre</v>
      </c>
      <c r="C6" s="326">
        <v>23588</v>
      </c>
      <c r="D6" s="326">
        <v>0</v>
      </c>
      <c r="E6" s="3" t="str">
        <v>Pago Comisiones</v>
      </c>
      <c r="F6" s="3">
        <v>23588</v>
      </c>
      <c r="G6" s="269">
        <v>0</v>
      </c>
      <c r="H6" s="269"/>
      <c r="I6" s="269"/>
      <c r="J6" s="269"/>
      <c r="K6" s="269"/>
      <c r="L6" s="3"/>
      <c r="M6" s="3"/>
    </row>
    <row r="7" spans="1:13">
      <c r="A7">
        <v>2025</v>
      </c>
      <c r="B7" s="3" t="str">
        <v>Diciembre</v>
      </c>
      <c r="C7" s="326">
        <v>39500</v>
      </c>
      <c r="D7" s="326">
        <v>0</v>
      </c>
      <c r="E7" s="3" t="str">
        <v>Coronas de Caridad Condolencias</v>
      </c>
      <c r="F7" s="3">
        <v>39500</v>
      </c>
      <c r="G7" s="269">
        <v>0</v>
      </c>
      <c r="H7" s="269"/>
      <c r="I7" s="269"/>
      <c r="J7" s="269"/>
      <c r="K7" s="269"/>
      <c r="L7" s="3"/>
      <c r="M7" s="3"/>
    </row>
    <row r="8" spans="1:13">
      <c r="A8">
        <v>2025</v>
      </c>
      <c r="B8" s="3" t="str">
        <v>Diciembre</v>
      </c>
      <c r="C8" s="326">
        <v>350000</v>
      </c>
      <c r="D8" s="326">
        <v>0</v>
      </c>
      <c r="E8" s="3" t="str">
        <v>Asesoria Legal - Convenio Fijo Mensual</v>
      </c>
      <c r="F8" s="3">
        <v>1400000</v>
      </c>
      <c r="G8" s="269">
        <v>0</v>
      </c>
      <c r="H8" s="269"/>
      <c r="I8" s="269"/>
      <c r="J8" s="269"/>
      <c r="K8" s="269"/>
      <c r="L8" s="3"/>
      <c r="M8" s="3"/>
    </row>
    <row r="9" spans="1:13">
      <c r="A9">
        <v>2025</v>
      </c>
      <c r="B9" s="3" t="str">
        <v>Diciembre</v>
      </c>
      <c r="C9" s="3">
        <v>500000</v>
      </c>
      <c r="D9" s="3">
        <v>0</v>
      </c>
      <c r="E9" s="3" t="str">
        <v>Regalo Corportivo (Aniversario)</v>
      </c>
      <c r="F9" s="3">
        <v>500000</v>
      </c>
      <c r="G9" s="269">
        <v>0</v>
      </c>
      <c r="H9" s="269"/>
      <c r="I9" s="269"/>
      <c r="J9" s="269"/>
      <c r="K9" s="269"/>
      <c r="L9" s="3"/>
      <c r="M9" s="3"/>
    </row>
    <row r="10" spans="1:13">
      <c r="A10">
        <v>2025</v>
      </c>
      <c r="B10" s="3" t="str">
        <v>Diciembre</v>
      </c>
      <c r="C10" s="3">
        <v>1457600</v>
      </c>
      <c r="D10" s="3">
        <v>0</v>
      </c>
      <c r="E10" s="3" t="str">
        <v>Regalo Corportivo (Aniversario)</v>
      </c>
      <c r="F10" s="3">
        <v>1457600</v>
      </c>
      <c r="G10" s="269">
        <v>0</v>
      </c>
      <c r="H10" s="269"/>
      <c r="I10" s="269"/>
      <c r="J10" s="269"/>
      <c r="K10" s="269"/>
      <c r="L10" s="3"/>
      <c r="M10" s="3"/>
    </row>
    <row r="11" spans="1:13">
      <c r="A11">
        <v>2025</v>
      </c>
      <c r="B11" s="3" t="str">
        <v>Diciembre</v>
      </c>
      <c r="C11" s="3">
        <v>5000000</v>
      </c>
      <c r="D11" s="3">
        <v>0</v>
      </c>
      <c r="E11" s="3" t="str">
        <v>Regalo Corportivo (Aniversario)</v>
      </c>
      <c r="F11" s="3">
        <v>15000000</v>
      </c>
      <c r="G11" s="269">
        <v>0</v>
      </c>
      <c r="H11" s="269"/>
      <c r="I11" s="269"/>
      <c r="J11" s="269"/>
      <c r="K11" s="269"/>
      <c r="L11" s="3"/>
      <c r="M11" s="3"/>
    </row>
    <row r="12" spans="1:13">
      <c r="A12" t="str">
        <v>Total</v>
      </c>
      <c r="B12" s="3" t="str">
        <v/>
      </c>
      <c r="C12" s="3" t="str">
        <v/>
      </c>
      <c r="D12" s="3" t="str">
        <v/>
      </c>
      <c r="E12" s="3" t="str">
        <v/>
      </c>
      <c r="F12" s="3">
        <v>18420688</v>
      </c>
      <c r="G12" s="269">
        <v>8938800</v>
      </c>
      <c r="H12" s="269"/>
      <c r="I12" s="269"/>
      <c r="J12" s="269"/>
      <c r="K12" s="269"/>
      <c r="L12" s="3"/>
      <c r="M12" s="3"/>
    </row>
    <row r="13" spans="1:13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>
      <c r="G14" s="89"/>
      <c r="H14" s="89"/>
      <c r="I14" s="89"/>
    </row>
    <row r="15" spans="1:13">
      <c r="G15" s="89"/>
      <c r="H15" s="89"/>
      <c r="I15" s="89"/>
    </row>
    <row r="16" spans="1:13">
      <c r="G16" s="89"/>
      <c r="H16" s="89"/>
      <c r="I16" s="89"/>
    </row>
    <row r="17" spans="2:9">
      <c r="G17" s="89"/>
      <c r="H17" s="89"/>
      <c r="I17" s="89"/>
    </row>
    <row r="18" spans="2:9">
      <c r="G18" s="89"/>
      <c r="H18" s="89"/>
      <c r="I18" s="89"/>
    </row>
    <row r="32" spans="2:9">
      <c r="B32" t="e" cm="1">
        <f t="array" aca="1" ref="B32" ca="1">_xludf.UNIQUE(_xlfn._xlws.FILTER(Banco[Nombre Cuenta],(Banco[Año]=B1)*(Banco[Mes]=B2)))</f>
        <v>#NAME?</v>
      </c>
    </row>
  </sheetData>
  <dataConsolidate/>
  <phoneticPr fontId="4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C766F9E-924F-4CA8-9F64-7272F74601C6}">
          <x14:formula1>
            <xm:f>Hoja1!$T$2:$T$7</xm:f>
          </x14:formula1>
          <xm:sqref>B1</xm:sqref>
        </x14:dataValidation>
        <x14:dataValidation type="list" allowBlank="1" showInputMessage="1" showErrorMessage="1" xr:uid="{4D8B3AD8-1AA0-4289-A583-7E169E745DA8}">
          <x14:formula1>
            <xm:f>Hoja1!$U$2:$U$13</xm:f>
          </x14:formula1>
          <xm:sqref>B2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A86ED-8731-4B0F-AD38-23F2303B0BFA}">
  <dimension ref="T1:U13"/>
  <sheetViews>
    <sheetView topLeftCell="L1" workbookViewId="0">
      <selection activeCell="T4" sqref="T4:U13"/>
    </sheetView>
  </sheetViews>
  <sheetFormatPr baseColWidth="10" defaultRowHeight="15.6"/>
  <sheetData>
    <row r="1" spans="20:21">
      <c r="T1" t="s">
        <v>1</v>
      </c>
      <c r="U1" t="s">
        <v>2</v>
      </c>
    </row>
    <row r="2" spans="20:21">
      <c r="T2">
        <v>2021</v>
      </c>
      <c r="U2" t="s">
        <v>27</v>
      </c>
    </row>
    <row r="3" spans="20:21">
      <c r="T3">
        <v>2022</v>
      </c>
      <c r="U3" t="s">
        <v>508</v>
      </c>
    </row>
    <row r="4" spans="20:21">
      <c r="T4">
        <v>2023</v>
      </c>
      <c r="U4" t="s">
        <v>509</v>
      </c>
    </row>
    <row r="5" spans="20:21">
      <c r="T5">
        <v>2024</v>
      </c>
      <c r="U5" t="s">
        <v>510</v>
      </c>
    </row>
    <row r="6" spans="20:21">
      <c r="T6">
        <v>2025</v>
      </c>
      <c r="U6" t="s">
        <v>511</v>
      </c>
    </row>
    <row r="7" spans="20:21">
      <c r="T7">
        <v>2026</v>
      </c>
      <c r="U7" t="s">
        <v>512</v>
      </c>
    </row>
    <row r="8" spans="20:21">
      <c r="U8" t="s">
        <v>513</v>
      </c>
    </row>
    <row r="9" spans="20:21">
      <c r="U9" t="s">
        <v>514</v>
      </c>
    </row>
    <row r="10" spans="20:21">
      <c r="U10" t="s">
        <v>515</v>
      </c>
    </row>
    <row r="11" spans="20:21">
      <c r="U11" t="s">
        <v>516</v>
      </c>
    </row>
    <row r="12" spans="20:21">
      <c r="U12" t="s">
        <v>507</v>
      </c>
    </row>
    <row r="13" spans="20:21">
      <c r="U13" t="s">
        <v>517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78CD9-5E17-4B74-880B-874D1B68D489}">
  <sheetPr codeName="Hoja1"/>
  <dimension ref="A2:O353"/>
  <sheetViews>
    <sheetView tabSelected="1" topLeftCell="C1" zoomScale="85" zoomScaleNormal="85" workbookViewId="0">
      <pane ySplit="12" topLeftCell="A333" activePane="bottomLeft" state="frozen"/>
      <selection activeCell="K15" sqref="K15"/>
      <selection pane="bottomLeft" activeCell="M348" sqref="M348"/>
    </sheetView>
  </sheetViews>
  <sheetFormatPr baseColWidth="10" defaultColWidth="11" defaultRowHeight="15.6"/>
  <cols>
    <col min="1" max="1" width="5.8984375" customWidth="1"/>
    <col min="2" max="2" width="7.09765625" customWidth="1"/>
    <col min="3" max="3" width="8.69921875" customWidth="1"/>
    <col min="4" max="4" width="10.69921875" customWidth="1"/>
    <col min="5" max="5" width="36.3984375" customWidth="1"/>
    <col min="6" max="6" width="1.09765625" style="89" customWidth="1"/>
    <col min="7" max="7" width="19.19921875" style="89" customWidth="1"/>
    <col min="8" max="8" width="12" style="89" hidden="1" customWidth="1"/>
    <col min="9" max="9" width="13.3984375" style="89" bestFit="1" customWidth="1"/>
    <col min="10" max="11" width="17.3984375" hidden="1" customWidth="1"/>
    <col min="12" max="12" width="43.09765625" customWidth="1"/>
    <col min="13" max="13" width="32.3984375" customWidth="1"/>
    <col min="14" max="14" width="49.3984375" customWidth="1"/>
    <col min="15" max="15" width="15.69921875" customWidth="1"/>
  </cols>
  <sheetData>
    <row r="2" spans="1:15" ht="16.2" thickBot="1"/>
    <row r="3" spans="1:15" ht="17.399999999999999" customHeight="1" thickBot="1">
      <c r="F3" s="91"/>
      <c r="J3" s="253"/>
      <c r="K3" s="253"/>
      <c r="L3" s="3"/>
      <c r="M3" s="3"/>
    </row>
    <row r="4" spans="1:15" ht="17.399999999999999" customHeight="1" thickBot="1">
      <c r="F4" s="91"/>
      <c r="G4" s="253"/>
      <c r="H4" s="253"/>
      <c r="I4" s="259"/>
      <c r="J4" s="253"/>
      <c r="K4" s="253"/>
      <c r="L4" s="100"/>
      <c r="M4" s="100"/>
    </row>
    <row r="5" spans="1:15" ht="17.399999999999999" customHeight="1">
      <c r="F5" s="6"/>
      <c r="G5" s="253"/>
      <c r="H5" s="253"/>
      <c r="I5" s="259"/>
      <c r="J5" s="253"/>
      <c r="K5" s="253"/>
      <c r="L5" s="100"/>
      <c r="M5" s="100"/>
    </row>
    <row r="6" spans="1:15" ht="17.399999999999999" customHeight="1">
      <c r="F6" s="6"/>
      <c r="G6" s="253"/>
      <c r="H6" s="253"/>
      <c r="I6" s="259"/>
      <c r="J6" s="253"/>
      <c r="K6" s="253"/>
      <c r="L6" s="100"/>
      <c r="M6" s="100"/>
    </row>
    <row r="7" spans="1:15" ht="17.399999999999999" customHeight="1">
      <c r="F7" s="6"/>
      <c r="G7" s="253"/>
      <c r="H7" s="253"/>
      <c r="I7" s="259"/>
      <c r="J7" s="253"/>
      <c r="K7" s="253"/>
      <c r="L7" s="100"/>
      <c r="M7" s="100"/>
    </row>
    <row r="8" spans="1:15">
      <c r="F8" s="6"/>
      <c r="G8" s="253"/>
      <c r="H8" s="253"/>
      <c r="I8" s="259"/>
      <c r="J8" s="253"/>
      <c r="K8" s="253"/>
      <c r="L8" s="100"/>
      <c r="M8" s="100"/>
    </row>
    <row r="9" spans="1:15">
      <c r="F9" s="6"/>
      <c r="G9" s="254" t="s">
        <v>0</v>
      </c>
      <c r="H9" s="254"/>
      <c r="I9" s="89">
        <f>I11+G11</f>
        <v>8361633</v>
      </c>
      <c r="J9" s="253"/>
      <c r="K9" s="253"/>
      <c r="L9" s="100"/>
      <c r="M9" s="100"/>
    </row>
    <row r="10" spans="1:15">
      <c r="F10" s="6"/>
      <c r="G10" s="253"/>
      <c r="H10" s="253"/>
      <c r="I10" s="259"/>
      <c r="J10" s="253"/>
      <c r="K10" s="253"/>
      <c r="L10" s="100"/>
      <c r="M10" s="100"/>
    </row>
    <row r="11" spans="1:15">
      <c r="F11" s="89">
        <f>SUBTOTAL(9,F231:F10064)</f>
        <v>0</v>
      </c>
      <c r="G11" s="89">
        <f>SUBTOTAL(9,G13:G1028)</f>
        <v>-18824299</v>
      </c>
      <c r="I11" s="89">
        <f>SUBTOTAL(9,I13:I1028)</f>
        <v>27185932</v>
      </c>
      <c r="J11" s="89">
        <f>SUBTOTAL(9,J13:J10064)</f>
        <v>0</v>
      </c>
      <c r="K11" s="89">
        <f>SUBTOTAL(9,(K12:K1028))</f>
        <v>8361633</v>
      </c>
    </row>
    <row r="12" spans="1:15" s="4" customFormat="1" ht="24" customHeight="1">
      <c r="A12" s="97" t="s">
        <v>1</v>
      </c>
      <c r="B12" s="97" t="s">
        <v>2</v>
      </c>
      <c r="C12" s="97" t="s">
        <v>3</v>
      </c>
      <c r="D12" s="98" t="s">
        <v>4</v>
      </c>
      <c r="E12" s="4" t="s">
        <v>5</v>
      </c>
      <c r="F12" s="4" t="s">
        <v>6</v>
      </c>
      <c r="G12" s="99" t="s">
        <v>518</v>
      </c>
      <c r="H12" s="99" t="s">
        <v>281</v>
      </c>
      <c r="I12" s="99" t="s">
        <v>245</v>
      </c>
      <c r="J12" s="99" t="s">
        <v>0</v>
      </c>
      <c r="K12" s="99" t="s">
        <v>8</v>
      </c>
      <c r="L12" s="97" t="s">
        <v>9</v>
      </c>
      <c r="M12" s="97" t="s">
        <v>489</v>
      </c>
      <c r="N12" s="97" t="s">
        <v>10</v>
      </c>
      <c r="O12" s="97" t="s">
        <v>11</v>
      </c>
    </row>
    <row r="13" spans="1:15" hidden="1">
      <c r="A13" s="375">
        <f>YEAR(Banco[[#This Row],[Fecha]])</f>
        <v>2021</v>
      </c>
      <c r="B13" s="375" t="str">
        <f>PROPER(TEXT(Banco[[#This Row],[Fecha]],"MMMM"))</f>
        <v>Septiembre</v>
      </c>
      <c r="C13" s="376" t="str">
        <f>TEXT(Banco[[#This Row],[Fecha]],"mmm-yyyy")</f>
        <v>sept-2021</v>
      </c>
      <c r="D13" s="377">
        <v>44440</v>
      </c>
      <c r="E13" s="102" t="s">
        <v>12</v>
      </c>
      <c r="F13" s="378" t="s">
        <v>13</v>
      </c>
      <c r="G13" s="398">
        <v>0</v>
      </c>
      <c r="H13" s="398">
        <f>Banco[[#This Row],[cargos]]*-1</f>
        <v>0</v>
      </c>
      <c r="I13" s="398">
        <v>0</v>
      </c>
      <c r="J13" s="398">
        <v>0</v>
      </c>
      <c r="K13" s="398">
        <f>+Banco[[#This Row],[cargos]]+Banco[[#This Row],[Ingresos]]</f>
        <v>0</v>
      </c>
      <c r="L13" s="379" t="s">
        <v>14</v>
      </c>
      <c r="M13" s="379" t="str">
        <f>MID(Banco[[#This Row],[CtaCtbl]],FIND(" - ",Banco[[#This Row],[CtaCtbl]])+3,40)</f>
        <v xml:space="preserve">Otros Pagos </v>
      </c>
      <c r="N13" s="379"/>
      <c r="O13" s="379"/>
    </row>
    <row r="14" spans="1:15" hidden="1">
      <c r="A14" s="375">
        <f>YEAR(Banco[[#This Row],[Fecha]])</f>
        <v>2021</v>
      </c>
      <c r="B14" s="375" t="str">
        <f>PROPER(TEXT(Banco[[#This Row],[Fecha]],"MMMM"))</f>
        <v>Octubre</v>
      </c>
      <c r="C14" s="376" t="str">
        <f>TEXT(Banco[[#This Row],[Fecha]],"mmm-yyyy")</f>
        <v>oct-2021</v>
      </c>
      <c r="D14" s="377">
        <v>44496</v>
      </c>
      <c r="E14" s="102" t="s">
        <v>15</v>
      </c>
      <c r="F14" s="378"/>
      <c r="G14" s="398">
        <v>0</v>
      </c>
      <c r="H14" s="398">
        <f>Banco[[#This Row],[cargos]]*-1</f>
        <v>0</v>
      </c>
      <c r="I14" s="398">
        <v>2349346</v>
      </c>
      <c r="J14" s="398"/>
      <c r="K14" s="398">
        <f>+Banco[[#This Row],[cargos]]+Banco[[#This Row],[Ingresos]]</f>
        <v>2349346</v>
      </c>
      <c r="L14" s="379" t="s">
        <v>16</v>
      </c>
      <c r="M14" s="379" t="str">
        <f>MID(Banco[[#This Row],[CtaCtbl]],FIND(" - ",Banco[[#This Row],[CtaCtbl]])+3,40)</f>
        <v>Cuota Extraordinaria</v>
      </c>
      <c r="N14" s="379"/>
      <c r="O14" s="379"/>
    </row>
    <row r="15" spans="1:15" hidden="1">
      <c r="A15" s="375">
        <f>YEAR(Banco[[#This Row],[Fecha]])</f>
        <v>2021</v>
      </c>
      <c r="B15" s="375" t="str">
        <f>PROPER(TEXT(Banco[[#This Row],[Fecha]],"MMMM"))</f>
        <v>Octubre</v>
      </c>
      <c r="C15" s="376" t="str">
        <f>TEXT(Banco[[#This Row],[Fecha]],"mmm-yyyy")</f>
        <v>oct-2021</v>
      </c>
      <c r="D15" s="377">
        <v>44496</v>
      </c>
      <c r="E15" s="102" t="s">
        <v>15</v>
      </c>
      <c r="F15" s="102" t="s">
        <v>17</v>
      </c>
      <c r="G15" s="398">
        <v>0</v>
      </c>
      <c r="H15" s="398">
        <f>Banco[[#This Row],[cargos]]*-1</f>
        <v>0</v>
      </c>
      <c r="I15" s="398">
        <v>4445566</v>
      </c>
      <c r="J15" s="398">
        <v>6794912</v>
      </c>
      <c r="K15" s="398">
        <f>+Banco[[#This Row],[cargos]]+Banco[[#This Row],[Ingresos]]</f>
        <v>4445566</v>
      </c>
      <c r="L15" s="379" t="s">
        <v>18</v>
      </c>
      <c r="M15" s="379" t="str">
        <f>MID(Banco[[#This Row],[CtaCtbl]],FIND(" - ",Banco[[#This Row],[CtaCtbl]])+3,40)</f>
        <v>Cuota Ordinaria</v>
      </c>
      <c r="N15" s="379"/>
      <c r="O15" s="379"/>
    </row>
    <row r="16" spans="1:15" hidden="1">
      <c r="A16" s="375">
        <f>YEAR(Banco[[#This Row],[Fecha]])</f>
        <v>2021</v>
      </c>
      <c r="B16" s="375" t="str">
        <f>PROPER(TEXT(Banco[[#This Row],[Fecha]],"MMMM"))</f>
        <v>Noviembre</v>
      </c>
      <c r="C16" s="376" t="str">
        <f>TEXT(Banco[[#This Row],[Fecha]],"mmm-yyyy")</f>
        <v>nov-2021</v>
      </c>
      <c r="D16" s="377">
        <v>44509</v>
      </c>
      <c r="E16" s="102" t="s">
        <v>19</v>
      </c>
      <c r="F16" s="102" t="s">
        <v>17</v>
      </c>
      <c r="G16" s="398">
        <v>-234341</v>
      </c>
      <c r="H16" s="398">
        <f>Banco[[#This Row],[cargos]]*-1</f>
        <v>234341</v>
      </c>
      <c r="I16" s="398">
        <v>0</v>
      </c>
      <c r="J16" s="398">
        <v>6560571</v>
      </c>
      <c r="K16" s="398">
        <f>+Banco[[#This Row],[cargos]]+Banco[[#This Row],[Ingresos]]</f>
        <v>-234341</v>
      </c>
      <c r="L16" s="379" t="s">
        <v>20</v>
      </c>
      <c r="M16" s="379" t="str">
        <f>MID(Banco[[#This Row],[CtaCtbl]],FIND(" - ",Banco[[#This Row],[CtaCtbl]])+3,40)</f>
        <v>Traslado Terrestre Van/Taxi,etc</v>
      </c>
      <c r="N16" s="379"/>
      <c r="O16" s="379"/>
    </row>
    <row r="17" spans="1:15" hidden="1">
      <c r="A17" s="375">
        <f>YEAR(Banco[[#This Row],[Fecha]])</f>
        <v>2021</v>
      </c>
      <c r="B17" s="375" t="str">
        <f>PROPER(TEXT(Banco[[#This Row],[Fecha]],"MMMM"))</f>
        <v>Noviembre</v>
      </c>
      <c r="C17" s="376" t="str">
        <f>TEXT(Banco[[#This Row],[Fecha]],"mmm-yyyy")</f>
        <v>nov-2021</v>
      </c>
      <c r="D17" s="377">
        <v>44509</v>
      </c>
      <c r="E17" s="102" t="s">
        <v>21</v>
      </c>
      <c r="F17" s="102" t="s">
        <v>17</v>
      </c>
      <c r="G17" s="398">
        <v>-380230</v>
      </c>
      <c r="H17" s="398">
        <f>Banco[[#This Row],[cargos]]*-1</f>
        <v>380230</v>
      </c>
      <c r="I17" s="398">
        <v>0</v>
      </c>
      <c r="J17" s="398">
        <v>6180341</v>
      </c>
      <c r="K17" s="398">
        <f>+Banco[[#This Row],[cargos]]+Banco[[#This Row],[Ingresos]]</f>
        <v>-380230</v>
      </c>
      <c r="L17" s="379" t="s">
        <v>20</v>
      </c>
      <c r="M17" s="379" t="str">
        <f>MID(Banco[[#This Row],[CtaCtbl]],FIND(" - ",Banco[[#This Row],[CtaCtbl]])+3,40)</f>
        <v>Traslado Terrestre Van/Taxi,etc</v>
      </c>
      <c r="N17" s="379"/>
      <c r="O17" s="379"/>
    </row>
    <row r="18" spans="1:15" hidden="1">
      <c r="A18" s="375">
        <f>YEAR(Banco[[#This Row],[Fecha]])</f>
        <v>2021</v>
      </c>
      <c r="B18" s="375" t="str">
        <f>PROPER(TEXT(Banco[[#This Row],[Fecha]],"MMMM"))</f>
        <v>Noviembre</v>
      </c>
      <c r="C18" s="376" t="str">
        <f>TEXT(Banco[[#This Row],[Fecha]],"mmm-yyyy")</f>
        <v>nov-2021</v>
      </c>
      <c r="D18" s="377">
        <v>44509</v>
      </c>
      <c r="E18" s="102" t="s">
        <v>22</v>
      </c>
      <c r="F18" s="102" t="s">
        <v>17</v>
      </c>
      <c r="G18" s="398">
        <v>-108500</v>
      </c>
      <c r="H18" s="398">
        <f>Banco[[#This Row],[cargos]]*-1</f>
        <v>108500</v>
      </c>
      <c r="I18" s="398">
        <v>0</v>
      </c>
      <c r="J18" s="398">
        <v>6071841</v>
      </c>
      <c r="K18" s="398">
        <f>+Banco[[#This Row],[cargos]]+Banco[[#This Row],[Ingresos]]</f>
        <v>-108500</v>
      </c>
      <c r="L18" s="379" t="s">
        <v>23</v>
      </c>
      <c r="M18" s="379" t="str">
        <f>MID(Banco[[#This Row],[CtaCtbl]],FIND(" - ",Banco[[#This Row],[CtaCtbl]])+3,40)</f>
        <v>Asesoria Legal - Convenio Fijo Mensual</v>
      </c>
      <c r="N18" s="379"/>
      <c r="O18" s="379"/>
    </row>
    <row r="19" spans="1:15" hidden="1">
      <c r="A19" s="375">
        <f>YEAR(Banco[[#This Row],[Fecha]])</f>
        <v>2021</v>
      </c>
      <c r="B19" s="375" t="str">
        <f>PROPER(TEXT(Banco[[#This Row],[Fecha]],"MMMM"))</f>
        <v>Noviembre</v>
      </c>
      <c r="C19" s="376" t="str">
        <f>TEXT(Banco[[#This Row],[Fecha]],"mmm-yyyy")</f>
        <v>nov-2021</v>
      </c>
      <c r="D19" s="377">
        <v>44526</v>
      </c>
      <c r="E19" s="102" t="s">
        <v>15</v>
      </c>
      <c r="F19" s="102"/>
      <c r="G19" s="398">
        <v>0</v>
      </c>
      <c r="H19" s="398">
        <f>Banco[[#This Row],[cargos]]*-1</f>
        <v>0</v>
      </c>
      <c r="I19" s="398">
        <v>107667</v>
      </c>
      <c r="J19" s="398"/>
      <c r="K19" s="398">
        <f>+Banco[[#This Row],[cargos]]+Banco[[#This Row],[Ingresos]]</f>
        <v>107667</v>
      </c>
      <c r="L19" s="379" t="s">
        <v>16</v>
      </c>
      <c r="M19" s="379" t="str">
        <f>MID(Banco[[#This Row],[CtaCtbl]],FIND(" - ",Banco[[#This Row],[CtaCtbl]])+3,40)</f>
        <v>Cuota Extraordinaria</v>
      </c>
      <c r="N19" s="379"/>
      <c r="O19" s="379"/>
    </row>
    <row r="20" spans="1:15" hidden="1">
      <c r="A20" s="375">
        <f>YEAR(Banco[[#This Row],[Fecha]])</f>
        <v>2021</v>
      </c>
      <c r="B20" s="375" t="str">
        <f>PROPER(TEXT(Banco[[#This Row],[Fecha]],"MMMM"))</f>
        <v>Noviembre</v>
      </c>
      <c r="C20" s="376" t="str">
        <f>TEXT(Banco[[#This Row],[Fecha]],"mmm-yyyy")</f>
        <v>nov-2021</v>
      </c>
      <c r="D20" s="377">
        <v>44526</v>
      </c>
      <c r="E20" s="102" t="s">
        <v>15</v>
      </c>
      <c r="F20" s="102" t="s">
        <v>17</v>
      </c>
      <c r="G20" s="398">
        <v>0</v>
      </c>
      <c r="H20" s="398">
        <f>Banco[[#This Row],[cargos]]*-1</f>
        <v>0</v>
      </c>
      <c r="I20" s="398">
        <v>2476341</v>
      </c>
      <c r="J20" s="398">
        <v>8655849</v>
      </c>
      <c r="K20" s="398">
        <f>+Banco[[#This Row],[cargos]]+Banco[[#This Row],[Ingresos]]</f>
        <v>2476341</v>
      </c>
      <c r="L20" s="379" t="s">
        <v>18</v>
      </c>
      <c r="M20" s="379" t="str">
        <f>MID(Banco[[#This Row],[CtaCtbl]],FIND(" - ",Banco[[#This Row],[CtaCtbl]])+3,40)</f>
        <v>Cuota Ordinaria</v>
      </c>
      <c r="N20" s="379"/>
      <c r="O20" s="379"/>
    </row>
    <row r="21" spans="1:15" hidden="1">
      <c r="A21" s="375">
        <f>YEAR(Banco[[#This Row],[Fecha]])</f>
        <v>2021</v>
      </c>
      <c r="B21" s="375" t="str">
        <f>PROPER(TEXT(Banco[[#This Row],[Fecha]],"MMMM"))</f>
        <v>Diciembre</v>
      </c>
      <c r="C21" s="376" t="str">
        <f>TEXT(Banco[[#This Row],[Fecha]],"mmm-yyyy")</f>
        <v>dic-2021</v>
      </c>
      <c r="D21" s="377">
        <v>44531</v>
      </c>
      <c r="E21" s="102" t="s">
        <v>24</v>
      </c>
      <c r="F21" s="102" t="s">
        <v>17</v>
      </c>
      <c r="G21" s="398">
        <v>-18312</v>
      </c>
      <c r="H21" s="398">
        <f>Banco[[#This Row],[cargos]]*-1</f>
        <v>18312</v>
      </c>
      <c r="I21" s="398">
        <v>0</v>
      </c>
      <c r="J21" s="398">
        <v>8637537</v>
      </c>
      <c r="K21" s="398">
        <f>+Banco[[#This Row],[cargos]]+Banco[[#This Row],[Ingresos]]</f>
        <v>-18312</v>
      </c>
      <c r="L21" s="379" t="s">
        <v>25</v>
      </c>
      <c r="M21" s="379" t="str">
        <f>MID(Banco[[#This Row],[CtaCtbl]],FIND(" - ",Banco[[#This Row],[CtaCtbl]])+3,40)</f>
        <v>Pago Comisiones</v>
      </c>
      <c r="N21" s="379"/>
      <c r="O21" s="379"/>
    </row>
    <row r="22" spans="1:15" hidden="1">
      <c r="A22" s="375">
        <f>YEAR(Banco[[#This Row],[Fecha]])</f>
        <v>2021</v>
      </c>
      <c r="B22" s="375" t="str">
        <f>PROPER(TEXT(Banco[[#This Row],[Fecha]],"MMMM"))</f>
        <v>Diciembre</v>
      </c>
      <c r="C22" s="376" t="str">
        <f>TEXT(Banco[[#This Row],[Fecha]],"mmm-yyyy")</f>
        <v>dic-2021</v>
      </c>
      <c r="D22" s="377">
        <v>44537</v>
      </c>
      <c r="E22" s="102" t="s">
        <v>22</v>
      </c>
      <c r="F22" s="102" t="s">
        <v>17</v>
      </c>
      <c r="G22" s="398">
        <v>-113400</v>
      </c>
      <c r="H22" s="398">
        <f>Banco[[#This Row],[cargos]]*-1</f>
        <v>113400</v>
      </c>
      <c r="I22" s="398">
        <v>0</v>
      </c>
      <c r="J22" s="398">
        <v>8524137</v>
      </c>
      <c r="K22" s="398">
        <f>+Banco[[#This Row],[cargos]]+Banco[[#This Row],[Ingresos]]</f>
        <v>-113400</v>
      </c>
      <c r="L22" s="379" t="s">
        <v>23</v>
      </c>
      <c r="M22" s="379" t="str">
        <f>MID(Banco[[#This Row],[CtaCtbl]],FIND(" - ",Banco[[#This Row],[CtaCtbl]])+3,40)</f>
        <v>Asesoria Legal - Convenio Fijo Mensual</v>
      </c>
      <c r="N22" s="379"/>
      <c r="O22" s="379"/>
    </row>
    <row r="23" spans="1:15" hidden="1">
      <c r="A23" s="375">
        <f>YEAR(Banco[[#This Row],[Fecha]])</f>
        <v>2021</v>
      </c>
      <c r="B23" s="375" t="str">
        <f>PROPER(TEXT(Banco[[#This Row],[Fecha]],"MMMM"))</f>
        <v>Diciembre</v>
      </c>
      <c r="C23" s="376" t="str">
        <f>TEXT(Banco[[#This Row],[Fecha]],"mmm-yyyy")</f>
        <v>dic-2021</v>
      </c>
      <c r="D23" s="377">
        <v>44558</v>
      </c>
      <c r="E23" s="102" t="s">
        <v>15</v>
      </c>
      <c r="F23" s="102"/>
      <c r="G23" s="398">
        <v>0</v>
      </c>
      <c r="H23" s="398">
        <f>Banco[[#This Row],[cargos]]*-1</f>
        <v>0</v>
      </c>
      <c r="I23" s="398">
        <v>216944</v>
      </c>
      <c r="J23" s="398"/>
      <c r="K23" s="398">
        <f>+Banco[[#This Row],[cargos]]+Banco[[#This Row],[Ingresos]]</f>
        <v>216944</v>
      </c>
      <c r="L23" s="379" t="s">
        <v>16</v>
      </c>
      <c r="M23" s="379" t="str">
        <f>MID(Banco[[#This Row],[CtaCtbl]],FIND(" - ",Banco[[#This Row],[CtaCtbl]])+3,40)</f>
        <v>Cuota Extraordinaria</v>
      </c>
      <c r="N23" s="379"/>
      <c r="O23" s="379"/>
    </row>
    <row r="24" spans="1:15" hidden="1">
      <c r="A24" s="375">
        <f>YEAR(Banco[[#This Row],[Fecha]])</f>
        <v>2021</v>
      </c>
      <c r="B24" s="375" t="str">
        <f>PROPER(TEXT(Banco[[#This Row],[Fecha]],"MMMM"))</f>
        <v>Diciembre</v>
      </c>
      <c r="C24" s="376" t="str">
        <f>TEXT(Banco[[#This Row],[Fecha]],"mmm-yyyy")</f>
        <v>dic-2021</v>
      </c>
      <c r="D24" s="377">
        <v>44558</v>
      </c>
      <c r="E24" s="102" t="s">
        <v>15</v>
      </c>
      <c r="F24" s="102" t="s">
        <v>17</v>
      </c>
      <c r="G24" s="398">
        <v>0</v>
      </c>
      <c r="H24" s="398">
        <f>Banco[[#This Row],[cargos]]*-1</f>
        <v>0</v>
      </c>
      <c r="I24" s="398">
        <v>2665312</v>
      </c>
      <c r="J24" s="398">
        <v>11406393</v>
      </c>
      <c r="K24" s="398">
        <f>+Banco[[#This Row],[cargos]]+Banco[[#This Row],[Ingresos]]</f>
        <v>2665312</v>
      </c>
      <c r="L24" s="379" t="s">
        <v>18</v>
      </c>
      <c r="M24" s="379" t="str">
        <f>MID(Banco[[#This Row],[CtaCtbl]],FIND(" - ",Banco[[#This Row],[CtaCtbl]])+3,40)</f>
        <v>Cuota Ordinaria</v>
      </c>
      <c r="N24" s="379"/>
      <c r="O24" s="379"/>
    </row>
    <row r="25" spans="1:15" hidden="1">
      <c r="A25" s="375">
        <f>YEAR(Banco[[#This Row],[Fecha]])</f>
        <v>2022</v>
      </c>
      <c r="B25" s="375" t="str">
        <f>PROPER(TEXT(Banco[[#This Row],[Fecha]],"MMMM"))</f>
        <v>Enero</v>
      </c>
      <c r="C25" s="376" t="str">
        <f>TEXT(Banco[[#This Row],[Fecha]],"mmm-yyyy")</f>
        <v>ene-2022</v>
      </c>
      <c r="D25" s="377">
        <v>44564</v>
      </c>
      <c r="E25" s="102" t="s">
        <v>24</v>
      </c>
      <c r="F25" s="102" t="s">
        <v>17</v>
      </c>
      <c r="G25" s="398">
        <v>-18449</v>
      </c>
      <c r="H25" s="398">
        <f>Banco[[#This Row],[cargos]]*-1</f>
        <v>18449</v>
      </c>
      <c r="I25" s="398">
        <v>0</v>
      </c>
      <c r="J25" s="398">
        <v>11387944</v>
      </c>
      <c r="K25" s="398">
        <f>+Banco[[#This Row],[cargos]]+Banco[[#This Row],[Ingresos]]</f>
        <v>-18449</v>
      </c>
      <c r="L25" s="379" t="s">
        <v>25</v>
      </c>
      <c r="M25" s="379" t="str">
        <f>MID(Banco[[#This Row],[CtaCtbl]],FIND(" - ",Banco[[#This Row],[CtaCtbl]])+3,40)</f>
        <v>Pago Comisiones</v>
      </c>
      <c r="N25" s="379"/>
      <c r="O25" s="379"/>
    </row>
    <row r="26" spans="1:15" hidden="1">
      <c r="A26" s="375">
        <f>YEAR(Banco[[#This Row],[Fecha]])</f>
        <v>2022</v>
      </c>
      <c r="B26" s="375" t="str">
        <f>PROPER(TEXT(Banco[[#This Row],[Fecha]],"MMMM"))</f>
        <v>Enero</v>
      </c>
      <c r="C26" s="376" t="str">
        <f>TEXT(Banco[[#This Row],[Fecha]],"mmm-yyyy")</f>
        <v>ene-2022</v>
      </c>
      <c r="D26" s="377">
        <v>44572</v>
      </c>
      <c r="E26" s="102" t="s">
        <v>22</v>
      </c>
      <c r="F26" s="102" t="s">
        <v>17</v>
      </c>
      <c r="G26" s="398">
        <v>-121100</v>
      </c>
      <c r="H26" s="398">
        <f>Banco[[#This Row],[cargos]]*-1</f>
        <v>121100</v>
      </c>
      <c r="I26" s="398">
        <v>0</v>
      </c>
      <c r="J26" s="398">
        <v>11266844</v>
      </c>
      <c r="K26" s="398">
        <f>+Banco[[#This Row],[cargos]]+Banco[[#This Row],[Ingresos]]</f>
        <v>-121100</v>
      </c>
      <c r="L26" s="379" t="s">
        <v>23</v>
      </c>
      <c r="M26" s="379" t="str">
        <f>MID(Banco[[#This Row],[CtaCtbl]],FIND(" - ",Banco[[#This Row],[CtaCtbl]])+3,40)</f>
        <v>Asesoria Legal - Convenio Fijo Mensual</v>
      </c>
      <c r="N26" s="380" t="s">
        <v>26</v>
      </c>
      <c r="O26" s="379"/>
    </row>
    <row r="27" spans="1:15" hidden="1">
      <c r="A27" s="375">
        <v>2022</v>
      </c>
      <c r="B27" s="375" t="s">
        <v>27</v>
      </c>
      <c r="C27" s="376" t="s">
        <v>28</v>
      </c>
      <c r="D27" s="377">
        <v>44588</v>
      </c>
      <c r="E27" s="102" t="s">
        <v>15</v>
      </c>
      <c r="F27" s="102" t="s">
        <v>17</v>
      </c>
      <c r="G27" s="398">
        <v>0</v>
      </c>
      <c r="H27" s="398">
        <f>Banco[[#This Row],[cargos]]*-1</f>
        <v>0</v>
      </c>
      <c r="I27" s="398">
        <v>109242</v>
      </c>
      <c r="J27" s="398">
        <v>2840292</v>
      </c>
      <c r="K27" s="398">
        <f>+Banco[[#This Row],[cargos]]+Banco[[#This Row],[Ingresos]]</f>
        <v>109242</v>
      </c>
      <c r="L27" s="379" t="s">
        <v>16</v>
      </c>
      <c r="M27" s="379" t="str">
        <f>MID(Banco[[#This Row],[CtaCtbl]],FIND(" - ",Banco[[#This Row],[CtaCtbl]])+3,40)</f>
        <v>Cuota Extraordinaria</v>
      </c>
      <c r="N27" s="102"/>
      <c r="O27" s="379"/>
    </row>
    <row r="28" spans="1:15" hidden="1">
      <c r="A28" s="375">
        <v>2022</v>
      </c>
      <c r="B28" s="375" t="s">
        <v>27</v>
      </c>
      <c r="C28" s="376" t="s">
        <v>28</v>
      </c>
      <c r="D28" s="377">
        <v>44588</v>
      </c>
      <c r="E28" s="102" t="s">
        <v>15</v>
      </c>
      <c r="F28" s="102" t="s">
        <v>17</v>
      </c>
      <c r="G28" s="398">
        <v>0</v>
      </c>
      <c r="H28" s="398">
        <f>Banco[[#This Row],[cargos]]*-1</f>
        <v>0</v>
      </c>
      <c r="I28" s="398">
        <v>2731050</v>
      </c>
      <c r="J28" s="398">
        <v>2840292</v>
      </c>
      <c r="K28" s="398">
        <f>+Banco[[#This Row],[cargos]]+Banco[[#This Row],[Ingresos]]</f>
        <v>2731050</v>
      </c>
      <c r="L28" s="379" t="s">
        <v>18</v>
      </c>
      <c r="M28" s="379" t="str">
        <f>MID(Banco[[#This Row],[CtaCtbl]],FIND(" - ",Banco[[#This Row],[CtaCtbl]])+3,40)</f>
        <v>Cuota Ordinaria</v>
      </c>
      <c r="N28" s="102"/>
      <c r="O28" s="379"/>
    </row>
    <row r="29" spans="1:15" hidden="1">
      <c r="A29" s="375">
        <f>YEAR(Banco[[#This Row],[Fecha]])</f>
        <v>2022</v>
      </c>
      <c r="B29" s="375" t="str">
        <f>PROPER(TEXT(Banco[[#This Row],[Fecha]],"MMMM"))</f>
        <v>Enero</v>
      </c>
      <c r="C29" s="376" t="str">
        <f>TEXT(Banco[[#This Row],[Fecha]],"mmm-yyyy")</f>
        <v>ene-2022</v>
      </c>
      <c r="D29" s="377">
        <v>44589</v>
      </c>
      <c r="E29" s="102" t="s">
        <v>29</v>
      </c>
      <c r="F29" s="102" t="s">
        <v>17</v>
      </c>
      <c r="G29" s="398">
        <v>-34560</v>
      </c>
      <c r="H29" s="398">
        <f>Banco[[#This Row],[cargos]]*-1</f>
        <v>34560</v>
      </c>
      <c r="I29" s="398">
        <v>0</v>
      </c>
      <c r="J29" s="398">
        <v>13972576</v>
      </c>
      <c r="K29" s="398">
        <f>+Banco[[#This Row],[cargos]]+Banco[[#This Row],[Ingresos]]</f>
        <v>-34560</v>
      </c>
      <c r="L29" s="379" t="s">
        <v>30</v>
      </c>
      <c r="M29" s="379" t="str">
        <f>MID(Banco[[#This Row],[CtaCtbl]],FIND(" - ",Banco[[#This Row],[CtaCtbl]])+3,40)</f>
        <v>Almuerzo</v>
      </c>
      <c r="N29" s="379"/>
      <c r="O29" s="379"/>
    </row>
    <row r="30" spans="1:15" hidden="1">
      <c r="A30" s="375">
        <f>YEAR(Banco[[#This Row],[Fecha]])</f>
        <v>2022</v>
      </c>
      <c r="B30" s="375" t="str">
        <f>PROPER(TEXT(Banco[[#This Row],[Fecha]],"MMMM"))</f>
        <v>Enero</v>
      </c>
      <c r="C30" s="376" t="str">
        <f>TEXT(Banco[[#This Row],[Fecha]],"mmm-yyyy")</f>
        <v>ene-2022</v>
      </c>
      <c r="D30" s="377">
        <v>44589</v>
      </c>
      <c r="E30" s="102" t="s">
        <v>21</v>
      </c>
      <c r="F30" s="102" t="s">
        <v>17</v>
      </c>
      <c r="G30" s="398">
        <v>-233827</v>
      </c>
      <c r="H30" s="398">
        <f>Banco[[#This Row],[cargos]]*-1</f>
        <v>233827</v>
      </c>
      <c r="I30" s="398">
        <v>0</v>
      </c>
      <c r="J30" s="398">
        <v>13738749</v>
      </c>
      <c r="K30" s="398">
        <f>+Banco[[#This Row],[cargos]]+Banco[[#This Row],[Ingresos]]</f>
        <v>-233827</v>
      </c>
      <c r="L30" s="379" t="s">
        <v>20</v>
      </c>
      <c r="M30" s="379" t="str">
        <f>MID(Banco[[#This Row],[CtaCtbl]],FIND(" - ",Banco[[#This Row],[CtaCtbl]])+3,40)</f>
        <v>Traslado Terrestre Van/Taxi,etc</v>
      </c>
      <c r="N30" s="379"/>
      <c r="O30" s="379"/>
    </row>
    <row r="31" spans="1:15" hidden="1">
      <c r="A31" s="375">
        <f>YEAR(Banco[[#This Row],[Fecha]])</f>
        <v>2022</v>
      </c>
      <c r="B31" s="375" t="str">
        <f>PROPER(TEXT(Banco[[#This Row],[Fecha]],"MMMM"))</f>
        <v>Enero</v>
      </c>
      <c r="C31" s="376" t="str">
        <f>TEXT(Banco[[#This Row],[Fecha]],"mmm-yyyy")</f>
        <v>ene-2022</v>
      </c>
      <c r="D31" s="377">
        <v>44589</v>
      </c>
      <c r="E31" s="102" t="s">
        <v>31</v>
      </c>
      <c r="F31" s="102" t="s">
        <v>17</v>
      </c>
      <c r="G31" s="398">
        <v>-100000</v>
      </c>
      <c r="H31" s="398">
        <f>Banco[[#This Row],[cargos]]*-1</f>
        <v>100000</v>
      </c>
      <c r="I31" s="398">
        <v>0</v>
      </c>
      <c r="J31" s="398">
        <v>14007136</v>
      </c>
      <c r="K31" s="398">
        <f>+Banco[[#This Row],[cargos]]+Banco[[#This Row],[Ingresos]]</f>
        <v>-100000</v>
      </c>
      <c r="L31" s="379" t="s">
        <v>32</v>
      </c>
      <c r="M31" s="379" t="str">
        <f>MID(Banco[[#This Row],[CtaCtbl]],FIND(" - ",Banco[[#This Row],[CtaCtbl]])+3,40)</f>
        <v>Alojamiento</v>
      </c>
      <c r="N31" s="379"/>
      <c r="O31" s="379"/>
    </row>
    <row r="32" spans="1:15" hidden="1">
      <c r="A32" s="375">
        <f>YEAR(Banco[[#This Row],[Fecha]])</f>
        <v>2022</v>
      </c>
      <c r="B32" s="375" t="str">
        <f>PROPER(TEXT(Banco[[#This Row],[Fecha]],"MMMM"))</f>
        <v>Enero</v>
      </c>
      <c r="C32" s="376" t="str">
        <f>TEXT(Banco[[#This Row],[Fecha]],"mmm-yyyy")</f>
        <v>ene-2022</v>
      </c>
      <c r="D32" s="377">
        <v>44592</v>
      </c>
      <c r="E32" s="102" t="s">
        <v>33</v>
      </c>
      <c r="F32" s="102" t="s">
        <v>17</v>
      </c>
      <c r="G32" s="398">
        <v>-65450</v>
      </c>
      <c r="H32" s="398">
        <f>Banco[[#This Row],[cargos]]*-1</f>
        <v>65450</v>
      </c>
      <c r="I32" s="398">
        <v>0</v>
      </c>
      <c r="J32" s="398">
        <v>13673299</v>
      </c>
      <c r="K32" s="398">
        <f>+Banco[[#This Row],[cargos]]+Banco[[#This Row],[Ingresos]]</f>
        <v>-65450</v>
      </c>
      <c r="L32" s="379" t="s">
        <v>32</v>
      </c>
      <c r="M32" s="379" t="str">
        <f>MID(Banco[[#This Row],[CtaCtbl]],FIND(" - ",Banco[[#This Row],[CtaCtbl]])+3,40)</f>
        <v>Alojamiento</v>
      </c>
      <c r="N32" s="379"/>
      <c r="O32" s="379"/>
    </row>
    <row r="33" spans="1:15" hidden="1">
      <c r="A33" s="375">
        <f>YEAR(Banco[[#This Row],[Fecha]])</f>
        <v>2022</v>
      </c>
      <c r="B33" s="375" t="str">
        <f>PROPER(TEXT(Banco[[#This Row],[Fecha]],"MMMM"))</f>
        <v>Febrero</v>
      </c>
      <c r="C33" s="376" t="str">
        <f>TEXT(Banco[[#This Row],[Fecha]],"mmm-yyyy")</f>
        <v>feb-2022</v>
      </c>
      <c r="D33" s="377">
        <v>44593</v>
      </c>
      <c r="E33" s="102" t="s">
        <v>24</v>
      </c>
      <c r="F33" s="102" t="s">
        <v>17</v>
      </c>
      <c r="G33" s="398">
        <v>-18576</v>
      </c>
      <c r="H33" s="398">
        <f>Banco[[#This Row],[cargos]]*-1</f>
        <v>18576</v>
      </c>
      <c r="I33" s="398">
        <v>0</v>
      </c>
      <c r="J33" s="398">
        <v>13654723</v>
      </c>
      <c r="K33" s="398">
        <f>+Banco[[#This Row],[cargos]]+Banco[[#This Row],[Ingresos]]</f>
        <v>-18576</v>
      </c>
      <c r="L33" s="379" t="s">
        <v>25</v>
      </c>
      <c r="M33" s="379" t="str">
        <f>MID(Banco[[#This Row],[CtaCtbl]],FIND(" - ",Banco[[#This Row],[CtaCtbl]])+3,40)</f>
        <v>Pago Comisiones</v>
      </c>
      <c r="N33" s="379"/>
      <c r="O33" s="379"/>
    </row>
    <row r="34" spans="1:15" hidden="1">
      <c r="A34" s="375">
        <f>YEAR(Banco[[#This Row],[Fecha]])</f>
        <v>2022</v>
      </c>
      <c r="B34" s="375" t="str">
        <f>PROPER(TEXT(Banco[[#This Row],[Fecha]],"MMMM"))</f>
        <v>Febrero</v>
      </c>
      <c r="C34" s="376" t="str">
        <f>TEXT(Banco[[#This Row],[Fecha]],"mmm-yyyy")</f>
        <v>feb-2022</v>
      </c>
      <c r="D34" s="377">
        <v>44602</v>
      </c>
      <c r="E34" s="102" t="s">
        <v>29</v>
      </c>
      <c r="F34" s="102" t="s">
        <v>17</v>
      </c>
      <c r="G34" s="398">
        <v>-119949</v>
      </c>
      <c r="H34" s="398">
        <f>Banco[[#This Row],[cargos]]*-1</f>
        <v>119949</v>
      </c>
      <c r="I34" s="398">
        <v>0</v>
      </c>
      <c r="J34" s="398">
        <v>13446574</v>
      </c>
      <c r="K34" s="398">
        <f>+Banco[[#This Row],[cargos]]+Banco[[#This Row],[Ingresos]]</f>
        <v>-119949</v>
      </c>
      <c r="L34" s="379" t="s">
        <v>20</v>
      </c>
      <c r="M34" s="379" t="str">
        <f>MID(Banco[[#This Row],[CtaCtbl]],FIND(" - ",Banco[[#This Row],[CtaCtbl]])+3,40)</f>
        <v>Traslado Terrestre Van/Taxi,etc</v>
      </c>
      <c r="N34" s="379"/>
      <c r="O34" s="379"/>
    </row>
    <row r="35" spans="1:15" hidden="1">
      <c r="A35" s="375">
        <f>YEAR(Banco[[#This Row],[Fecha]])</f>
        <v>2022</v>
      </c>
      <c r="B35" s="375" t="str">
        <f>PROPER(TEXT(Banco[[#This Row],[Fecha]],"MMMM"))</f>
        <v>Febrero</v>
      </c>
      <c r="C35" s="376" t="str">
        <f>TEXT(Banco[[#This Row],[Fecha]],"mmm-yyyy")</f>
        <v>feb-2022</v>
      </c>
      <c r="D35" s="377">
        <v>44602</v>
      </c>
      <c r="E35" s="102" t="s">
        <v>22</v>
      </c>
      <c r="F35" s="102" t="s">
        <v>17</v>
      </c>
      <c r="G35" s="398">
        <v>-88200</v>
      </c>
      <c r="H35" s="398">
        <f>Banco[[#This Row],[cargos]]*-1</f>
        <v>88200</v>
      </c>
      <c r="I35" s="398">
        <v>0</v>
      </c>
      <c r="J35" s="398">
        <v>13566523</v>
      </c>
      <c r="K35" s="398">
        <f>+Banco[[#This Row],[cargos]]+Banco[[#This Row],[Ingresos]]</f>
        <v>-88200</v>
      </c>
      <c r="L35" s="379" t="s">
        <v>23</v>
      </c>
      <c r="M35" s="379" t="str">
        <f>MID(Banco[[#This Row],[CtaCtbl]],FIND(" - ",Banco[[#This Row],[CtaCtbl]])+3,40)</f>
        <v>Asesoria Legal - Convenio Fijo Mensual</v>
      </c>
      <c r="N35" s="380" t="s">
        <v>34</v>
      </c>
      <c r="O35" s="379"/>
    </row>
    <row r="36" spans="1:15" hidden="1">
      <c r="A36" s="375">
        <f>YEAR(Banco[[#This Row],[Fecha]])</f>
        <v>2022</v>
      </c>
      <c r="B36" s="375" t="str">
        <f>PROPER(TEXT(Banco[[#This Row],[Fecha]],"MMMM"))</f>
        <v>Febrero</v>
      </c>
      <c r="C36" s="376" t="str">
        <f>TEXT(Banco[[#This Row],[Fecha]],"mmm-yyyy")</f>
        <v>feb-2022</v>
      </c>
      <c r="D36" s="377">
        <v>44617</v>
      </c>
      <c r="E36" s="102" t="s">
        <v>15</v>
      </c>
      <c r="F36" s="102"/>
      <c r="G36" s="398">
        <v>0</v>
      </c>
      <c r="H36" s="398">
        <f>Banco[[#This Row],[cargos]]*-1</f>
        <v>0</v>
      </c>
      <c r="I36" s="398">
        <v>282712</v>
      </c>
      <c r="J36" s="398"/>
      <c r="K36" s="398">
        <f>+Banco[[#This Row],[cargos]]+Banco[[#This Row],[Ingresos]]</f>
        <v>282712</v>
      </c>
      <c r="L36" s="379" t="s">
        <v>16</v>
      </c>
      <c r="M36" s="379" t="str">
        <f>MID(Banco[[#This Row],[CtaCtbl]],FIND(" - ",Banco[[#This Row],[CtaCtbl]])+3,40)</f>
        <v>Cuota Extraordinaria</v>
      </c>
      <c r="N36" s="379"/>
      <c r="O36" s="379"/>
    </row>
    <row r="37" spans="1:15" hidden="1">
      <c r="A37" s="375">
        <f>YEAR(Banco[[#This Row],[Fecha]])</f>
        <v>2022</v>
      </c>
      <c r="B37" s="375" t="str">
        <f>PROPER(TEXT(Banco[[#This Row],[Fecha]],"MMMM"))</f>
        <v>Febrero</v>
      </c>
      <c r="C37" s="376" t="str">
        <f>TEXT(Banco[[#This Row],[Fecha]],"mmm-yyyy")</f>
        <v>feb-2022</v>
      </c>
      <c r="D37" s="377">
        <v>44617</v>
      </c>
      <c r="E37" s="102" t="s">
        <v>15</v>
      </c>
      <c r="F37" s="102" t="s">
        <v>17</v>
      </c>
      <c r="G37" s="398">
        <v>0</v>
      </c>
      <c r="H37" s="398">
        <f>Banco[[#This Row],[cargos]]*-1</f>
        <v>0</v>
      </c>
      <c r="I37" s="398">
        <v>2917450</v>
      </c>
      <c r="J37" s="398">
        <v>16646736</v>
      </c>
      <c r="K37" s="398">
        <f>+Banco[[#This Row],[cargos]]+Banco[[#This Row],[Ingresos]]</f>
        <v>2917450</v>
      </c>
      <c r="L37" s="379" t="s">
        <v>18</v>
      </c>
      <c r="M37" s="379" t="str">
        <f>MID(Banco[[#This Row],[CtaCtbl]],FIND(" - ",Banco[[#This Row],[CtaCtbl]])+3,40)</f>
        <v>Cuota Ordinaria</v>
      </c>
      <c r="N37" s="379"/>
      <c r="O37" s="379"/>
    </row>
    <row r="38" spans="1:15" hidden="1">
      <c r="A38" s="375">
        <f>YEAR(Banco[[#This Row],[Fecha]])</f>
        <v>2022</v>
      </c>
      <c r="B38" s="375" t="str">
        <f>PROPER(TEXT(Banco[[#This Row],[Fecha]],"MMMM"))</f>
        <v>Marzo</v>
      </c>
      <c r="C38" s="376" t="str">
        <f>TEXT(Banco[[#This Row],[Fecha]],"mmm-yyyy")</f>
        <v>mar-2022</v>
      </c>
      <c r="D38" s="377">
        <v>44621</v>
      </c>
      <c r="E38" s="102" t="s">
        <v>24</v>
      </c>
      <c r="F38" s="102" t="s">
        <v>17</v>
      </c>
      <c r="G38" s="398">
        <v>-18773</v>
      </c>
      <c r="H38" s="398">
        <f>Banco[[#This Row],[cargos]]*-1</f>
        <v>18773</v>
      </c>
      <c r="I38" s="398">
        <v>0</v>
      </c>
      <c r="J38" s="398">
        <v>16627963</v>
      </c>
      <c r="K38" s="398">
        <f>+Banco[[#This Row],[cargos]]+Banco[[#This Row],[Ingresos]]</f>
        <v>-18773</v>
      </c>
      <c r="L38" s="379" t="s">
        <v>25</v>
      </c>
      <c r="M38" s="379" t="str">
        <f>MID(Banco[[#This Row],[CtaCtbl]],FIND(" - ",Banco[[#This Row],[CtaCtbl]])+3,40)</f>
        <v>Pago Comisiones</v>
      </c>
      <c r="N38" s="379"/>
      <c r="O38" s="379"/>
    </row>
    <row r="39" spans="1:15" hidden="1">
      <c r="A39" s="375">
        <f>YEAR(Banco[[#This Row],[Fecha]])</f>
        <v>2022</v>
      </c>
      <c r="B39" s="375" t="str">
        <f>PROPER(TEXT(Banco[[#This Row],[Fecha]],"MMMM"))</f>
        <v>Marzo</v>
      </c>
      <c r="C39" s="376" t="str">
        <f>TEXT(Banco[[#This Row],[Fecha]],"mmm-yyyy")</f>
        <v>mar-2022</v>
      </c>
      <c r="D39" s="377">
        <v>44628</v>
      </c>
      <c r="E39" s="102" t="s">
        <v>29</v>
      </c>
      <c r="F39" s="102" t="s">
        <v>17</v>
      </c>
      <c r="G39" s="398">
        <v>-2300</v>
      </c>
      <c r="H39" s="398">
        <f>Banco[[#This Row],[cargos]]*-1</f>
        <v>2300</v>
      </c>
      <c r="I39" s="398">
        <v>0</v>
      </c>
      <c r="J39" s="398">
        <v>16609847</v>
      </c>
      <c r="K39" s="398">
        <f>+Banco[[#This Row],[cargos]]+Banco[[#This Row],[Ingresos]]</f>
        <v>-2300</v>
      </c>
      <c r="L39" s="379" t="s">
        <v>20</v>
      </c>
      <c r="M39" s="379" t="str">
        <f>MID(Banco[[#This Row],[CtaCtbl]],FIND(" - ",Banco[[#This Row],[CtaCtbl]])+3,40)</f>
        <v>Traslado Terrestre Van/Taxi,etc</v>
      </c>
      <c r="N39" s="379"/>
      <c r="O39" s="379"/>
    </row>
    <row r="40" spans="1:15" hidden="1">
      <c r="A40" s="375">
        <f>YEAR(Banco[[#This Row],[Fecha]])</f>
        <v>2022</v>
      </c>
      <c r="B40" s="375" t="str">
        <f>PROPER(TEXT(Banco[[#This Row],[Fecha]],"MMMM"))</f>
        <v>Marzo</v>
      </c>
      <c r="C40" s="376" t="str">
        <f>TEXT(Banco[[#This Row],[Fecha]],"mmm-yyyy")</f>
        <v>mar-2022</v>
      </c>
      <c r="D40" s="377">
        <v>44628</v>
      </c>
      <c r="E40" s="102" t="s">
        <v>35</v>
      </c>
      <c r="F40" s="102" t="s">
        <v>17</v>
      </c>
      <c r="G40" s="398">
        <v>-15816</v>
      </c>
      <c r="H40" s="398">
        <f>Banco[[#This Row],[cargos]]*-1</f>
        <v>15816</v>
      </c>
      <c r="I40" s="398">
        <v>0</v>
      </c>
      <c r="J40" s="398">
        <v>16612147</v>
      </c>
      <c r="K40" s="398">
        <f>+Banco[[#This Row],[cargos]]+Banco[[#This Row],[Ingresos]]</f>
        <v>-15816</v>
      </c>
      <c r="L40" s="379" t="s">
        <v>36</v>
      </c>
      <c r="M40" s="379" t="str">
        <f>MID(Banco[[#This Row],[CtaCtbl]],FIND(" - ",Banco[[#This Row],[CtaCtbl]])+3,40)</f>
        <v>Aporte Extraordinario al Socio</v>
      </c>
      <c r="N40" s="379"/>
      <c r="O40" s="379"/>
    </row>
    <row r="41" spans="1:15" hidden="1">
      <c r="A41" s="375">
        <f>YEAR(Banco[[#This Row],[Fecha]])</f>
        <v>2022</v>
      </c>
      <c r="B41" s="375" t="str">
        <f>PROPER(TEXT(Banco[[#This Row],[Fecha]],"MMMM"))</f>
        <v>Marzo</v>
      </c>
      <c r="C41" s="376" t="str">
        <f>TEXT(Banco[[#This Row],[Fecha]],"mmm-yyyy")</f>
        <v>mar-2022</v>
      </c>
      <c r="D41" s="377">
        <v>44628</v>
      </c>
      <c r="E41" s="102" t="s">
        <v>22</v>
      </c>
      <c r="F41" s="102" t="s">
        <v>17</v>
      </c>
      <c r="G41" s="398">
        <v>-107800</v>
      </c>
      <c r="H41" s="398">
        <f>Banco[[#This Row],[cargos]]*-1</f>
        <v>107800</v>
      </c>
      <c r="I41" s="398">
        <v>0</v>
      </c>
      <c r="J41" s="398">
        <v>16502047</v>
      </c>
      <c r="K41" s="398">
        <f>+Banco[[#This Row],[cargos]]+Banco[[#This Row],[Ingresos]]</f>
        <v>-107800</v>
      </c>
      <c r="L41" s="379" t="s">
        <v>23</v>
      </c>
      <c r="M41" s="379" t="str">
        <f>MID(Banco[[#This Row],[CtaCtbl]],FIND(" - ",Banco[[#This Row],[CtaCtbl]])+3,40)</f>
        <v>Asesoria Legal - Convenio Fijo Mensual</v>
      </c>
      <c r="N41" s="380" t="s">
        <v>37</v>
      </c>
      <c r="O41" s="379"/>
    </row>
    <row r="42" spans="1:15" hidden="1">
      <c r="A42" s="375">
        <f>YEAR(Banco[[#This Row],[Fecha]])</f>
        <v>2022</v>
      </c>
      <c r="B42" s="375" t="str">
        <f>PROPER(TEXT(Banco[[#This Row],[Fecha]],"MMMM"))</f>
        <v>Marzo</v>
      </c>
      <c r="C42" s="376" t="str">
        <f>TEXT(Banco[[#This Row],[Fecha]],"mmm-yyyy")</f>
        <v>mar-2022</v>
      </c>
      <c r="D42" s="377">
        <v>44631</v>
      </c>
      <c r="E42" s="102" t="s">
        <v>22</v>
      </c>
      <c r="F42" s="102" t="s">
        <v>17</v>
      </c>
      <c r="G42" s="398">
        <v>-2000000</v>
      </c>
      <c r="H42" s="398">
        <f>Banco[[#This Row],[cargos]]*-1</f>
        <v>2000000</v>
      </c>
      <c r="I42" s="398">
        <v>0</v>
      </c>
      <c r="J42" s="398">
        <v>14502047</v>
      </c>
      <c r="K42" s="398">
        <f>+Banco[[#This Row],[cargos]]+Banco[[#This Row],[Ingresos]]</f>
        <v>-2000000</v>
      </c>
      <c r="L42" s="379" t="s">
        <v>38</v>
      </c>
      <c r="M42" s="379" t="str">
        <f>MID(Banco[[#This Row],[CtaCtbl]],FIND(" - ",Banco[[#This Row],[CtaCtbl]])+3,40)</f>
        <v>Asesoria Legal - Proyectos Negociacion</v>
      </c>
      <c r="N42" s="380" t="s">
        <v>39</v>
      </c>
      <c r="O42" s="379"/>
    </row>
    <row r="43" spans="1:15" hidden="1">
      <c r="A43" s="375">
        <f>YEAR(Banco[[#This Row],[Fecha]])</f>
        <v>2022</v>
      </c>
      <c r="B43" s="375" t="str">
        <f>PROPER(TEXT(Banco[[#This Row],[Fecha]],"MMMM"))</f>
        <v>Marzo</v>
      </c>
      <c r="C43" s="376" t="str">
        <f>TEXT(Banco[[#This Row],[Fecha]],"mmm-yyyy")</f>
        <v>mar-2022</v>
      </c>
      <c r="D43" s="377">
        <v>44645</v>
      </c>
      <c r="E43" s="102" t="s">
        <v>15</v>
      </c>
      <c r="F43" s="102"/>
      <c r="G43" s="398">
        <v>0</v>
      </c>
      <c r="H43" s="398">
        <f>Banco[[#This Row],[cargos]]*-1</f>
        <v>0</v>
      </c>
      <c r="I43" s="398">
        <v>523512</v>
      </c>
      <c r="J43" s="398"/>
      <c r="K43" s="398">
        <f>+Banco[[#This Row],[cargos]]+Banco[[#This Row],[Ingresos]]</f>
        <v>523512</v>
      </c>
      <c r="L43" s="379" t="s">
        <v>16</v>
      </c>
      <c r="M43" s="379" t="str">
        <f>MID(Banco[[#This Row],[CtaCtbl]],FIND(" - ",Banco[[#This Row],[CtaCtbl]])+3,40)</f>
        <v>Cuota Extraordinaria</v>
      </c>
      <c r="N43" s="379"/>
      <c r="O43" s="379"/>
    </row>
    <row r="44" spans="1:15" hidden="1">
      <c r="A44" s="375">
        <f>YEAR(Banco[[#This Row],[Fecha]])</f>
        <v>2022</v>
      </c>
      <c r="B44" s="375" t="str">
        <f>PROPER(TEXT(Banco[[#This Row],[Fecha]],"MMMM"))</f>
        <v>Marzo</v>
      </c>
      <c r="C44" s="376" t="str">
        <f>TEXT(Banco[[#This Row],[Fecha]],"mmm-yyyy")</f>
        <v>mar-2022</v>
      </c>
      <c r="D44" s="377">
        <v>44645</v>
      </c>
      <c r="E44" s="102" t="s">
        <v>15</v>
      </c>
      <c r="F44" s="102" t="s">
        <v>17</v>
      </c>
      <c r="G44" s="398">
        <v>0</v>
      </c>
      <c r="H44" s="398">
        <f>Banco[[#This Row],[cargos]]*-1</f>
        <v>0</v>
      </c>
      <c r="I44" s="398">
        <v>3410760</v>
      </c>
      <c r="J44" s="398">
        <v>18436319</v>
      </c>
      <c r="K44" s="398">
        <f>+Banco[[#This Row],[cargos]]+Banco[[#This Row],[Ingresos]]</f>
        <v>3410760</v>
      </c>
      <c r="L44" s="379" t="s">
        <v>18</v>
      </c>
      <c r="M44" s="379" t="str">
        <f>MID(Banco[[#This Row],[CtaCtbl]],FIND(" - ",Banco[[#This Row],[CtaCtbl]])+3,40)</f>
        <v>Cuota Ordinaria</v>
      </c>
      <c r="N44" s="379"/>
      <c r="O44" s="379"/>
    </row>
    <row r="45" spans="1:15" hidden="1">
      <c r="A45" s="375">
        <f>YEAR(Banco[[#This Row],[Fecha]])</f>
        <v>2022</v>
      </c>
      <c r="B45" s="375" t="str">
        <f>PROPER(TEXT(Banco[[#This Row],[Fecha]],"MMMM"))</f>
        <v>Abril</v>
      </c>
      <c r="C45" s="376" t="str">
        <f>TEXT(Banco[[#This Row],[Fecha]],"mmm-yyyy")</f>
        <v>abr-2022</v>
      </c>
      <c r="D45" s="377">
        <v>44652</v>
      </c>
      <c r="E45" s="102" t="s">
        <v>24</v>
      </c>
      <c r="F45" s="102" t="s">
        <v>17</v>
      </c>
      <c r="G45" s="398">
        <v>-18879</v>
      </c>
      <c r="H45" s="398">
        <f>Banco[[#This Row],[cargos]]*-1</f>
        <v>18879</v>
      </c>
      <c r="I45" s="398">
        <v>0</v>
      </c>
      <c r="J45" s="398">
        <v>18417440</v>
      </c>
      <c r="K45" s="398">
        <f>+Banco[[#This Row],[cargos]]+Banco[[#This Row],[Ingresos]]</f>
        <v>-18879</v>
      </c>
      <c r="L45" s="379" t="s">
        <v>25</v>
      </c>
      <c r="M45" s="379" t="str">
        <f>MID(Banco[[#This Row],[CtaCtbl]],FIND(" - ",Banco[[#This Row],[CtaCtbl]])+3,40)</f>
        <v>Pago Comisiones</v>
      </c>
      <c r="N45" s="379"/>
      <c r="O45" s="379"/>
    </row>
    <row r="46" spans="1:15" hidden="1">
      <c r="A46" s="375">
        <f>YEAR(Banco[[#This Row],[Fecha]])</f>
        <v>2022</v>
      </c>
      <c r="B46" s="375" t="str">
        <f>PROPER(TEXT(Banco[[#This Row],[Fecha]],"MMMM"))</f>
        <v>Abril</v>
      </c>
      <c r="C46" s="376" t="str">
        <f>TEXT(Banco[[#This Row],[Fecha]],"mmm-yyyy")</f>
        <v>abr-2022</v>
      </c>
      <c r="D46" s="377">
        <v>44655</v>
      </c>
      <c r="E46" s="102" t="s">
        <v>40</v>
      </c>
      <c r="F46" s="102" t="s">
        <v>17</v>
      </c>
      <c r="G46" s="398">
        <v>-380572</v>
      </c>
      <c r="H46" s="398">
        <f>Banco[[#This Row],[cargos]]*-1</f>
        <v>380572</v>
      </c>
      <c r="I46" s="398">
        <v>0</v>
      </c>
      <c r="J46" s="398">
        <v>18036868</v>
      </c>
      <c r="K46" s="398">
        <f>+Banco[[#This Row],[cargos]]+Banco[[#This Row],[Ingresos]]</f>
        <v>-380572</v>
      </c>
      <c r="L46" s="379" t="s">
        <v>41</v>
      </c>
      <c r="M46" s="379" t="str">
        <f>MID(Banco[[#This Row],[CtaCtbl]],FIND(" - ",Banco[[#This Row],[CtaCtbl]])+3,40)</f>
        <v>Taxi, Uber o Similar</v>
      </c>
      <c r="N46" s="379"/>
      <c r="O46" s="379"/>
    </row>
    <row r="47" spans="1:15" hidden="1">
      <c r="A47" s="375">
        <f>YEAR(Banco[[#This Row],[Fecha]])</f>
        <v>2022</v>
      </c>
      <c r="B47" s="375" t="str">
        <f>PROPER(TEXT(Banco[[#This Row],[Fecha]],"MMMM"))</f>
        <v>Abril</v>
      </c>
      <c r="C47" s="376" t="str">
        <f>TEXT(Banco[[#This Row],[Fecha]],"mmm-yyyy")</f>
        <v>abr-2022</v>
      </c>
      <c r="D47" s="377">
        <v>44677</v>
      </c>
      <c r="E47" s="102" t="s">
        <v>15</v>
      </c>
      <c r="F47" s="102" t="s">
        <v>17</v>
      </c>
      <c r="G47" s="398">
        <v>0</v>
      </c>
      <c r="H47" s="398">
        <f>Banco[[#This Row],[cargos]]*-1</f>
        <v>0</v>
      </c>
      <c r="I47" s="398">
        <v>3442832</v>
      </c>
      <c r="J47" s="398">
        <v>21479700</v>
      </c>
      <c r="K47" s="398">
        <f>+Banco[[#This Row],[cargos]]+Banco[[#This Row],[Ingresos]]</f>
        <v>3442832</v>
      </c>
      <c r="L47" s="379" t="s">
        <v>18</v>
      </c>
      <c r="M47" s="379" t="str">
        <f>MID(Banco[[#This Row],[CtaCtbl]],FIND(" - ",Banco[[#This Row],[CtaCtbl]])+3,40)</f>
        <v>Cuota Ordinaria</v>
      </c>
      <c r="N47" s="379"/>
      <c r="O47" s="379"/>
    </row>
    <row r="48" spans="1:15" hidden="1">
      <c r="A48" s="375">
        <f>YEAR(Banco[[#This Row],[Fecha]])</f>
        <v>2022</v>
      </c>
      <c r="B48" s="375" t="str">
        <f>PROPER(TEXT(Banco[[#This Row],[Fecha]],"MMMM"))</f>
        <v>Abril</v>
      </c>
      <c r="C48" s="376" t="str">
        <f>TEXT(Banco[[#This Row],[Fecha]],"mmm-yyyy")</f>
        <v>abr-2022</v>
      </c>
      <c r="D48" s="377">
        <v>44677</v>
      </c>
      <c r="E48" s="102" t="s">
        <v>29</v>
      </c>
      <c r="F48" s="102" t="s">
        <v>17</v>
      </c>
      <c r="G48" s="398">
        <v>-63463</v>
      </c>
      <c r="H48" s="398">
        <f>Banco[[#This Row],[cargos]]*-1</f>
        <v>63463</v>
      </c>
      <c r="I48" s="398">
        <v>0</v>
      </c>
      <c r="J48" s="398">
        <v>18016379</v>
      </c>
      <c r="K48" s="398">
        <f>+Banco[[#This Row],[cargos]]+Banco[[#This Row],[Ingresos]]</f>
        <v>-63463</v>
      </c>
      <c r="L48" s="379" t="s">
        <v>42</v>
      </c>
      <c r="M48" s="379" t="str">
        <f>MID(Banco[[#This Row],[CtaCtbl]],FIND(" - ",Banco[[#This Row],[CtaCtbl]])+3,40)</f>
        <v>Otros gastos varios</v>
      </c>
      <c r="N48" s="379"/>
      <c r="O48" s="379"/>
    </row>
    <row r="49" spans="1:15" hidden="1">
      <c r="A49" s="375">
        <f>YEAR(Banco[[#This Row],[Fecha]])</f>
        <v>2022</v>
      </c>
      <c r="B49" s="375" t="str">
        <f>PROPER(TEXT(Banco[[#This Row],[Fecha]],"MMMM"))</f>
        <v>Abril</v>
      </c>
      <c r="C49" s="376" t="str">
        <f>TEXT(Banco[[#This Row],[Fecha]],"mmm-yyyy")</f>
        <v>abr-2022</v>
      </c>
      <c r="D49" s="377">
        <v>44677</v>
      </c>
      <c r="E49" s="102" t="s">
        <v>43</v>
      </c>
      <c r="F49" s="102" t="s">
        <v>17</v>
      </c>
      <c r="G49" s="398">
        <v>-15606</v>
      </c>
      <c r="H49" s="398">
        <f>Banco[[#This Row],[cargos]]*-1</f>
        <v>15606</v>
      </c>
      <c r="I49" s="398">
        <v>0</v>
      </c>
      <c r="J49" s="398">
        <v>18242494</v>
      </c>
      <c r="K49" s="398">
        <f>+Banco[[#This Row],[cargos]]+Banco[[#This Row],[Ingresos]]</f>
        <v>-15606</v>
      </c>
      <c r="L49" s="379" t="s">
        <v>44</v>
      </c>
      <c r="M49" s="379" t="str">
        <f>MID(Banco[[#This Row],[CtaCtbl]],FIND(" - ",Banco[[#This Row],[CtaCtbl]])+3,40)</f>
        <v>Restitución Fondos Socios</v>
      </c>
      <c r="N49" s="379"/>
      <c r="O49" s="379"/>
    </row>
    <row r="50" spans="1:15" hidden="1">
      <c r="A50" s="375">
        <f>YEAR(Banco[[#This Row],[Fecha]])</f>
        <v>2022</v>
      </c>
      <c r="B50" s="375" t="str">
        <f>PROPER(TEXT(Banco[[#This Row],[Fecha]],"MMMM"))</f>
        <v>Abril</v>
      </c>
      <c r="C50" s="376" t="str">
        <f>TEXT(Banco[[#This Row],[Fecha]],"mmm-yyyy")</f>
        <v>abr-2022</v>
      </c>
      <c r="D50" s="377">
        <v>44677</v>
      </c>
      <c r="E50" s="102" t="s">
        <v>19</v>
      </c>
      <c r="F50" s="102" t="s">
        <v>17</v>
      </c>
      <c r="G50" s="398">
        <v>-132356</v>
      </c>
      <c r="H50" s="398">
        <f>Banco[[#This Row],[cargos]]*-1</f>
        <v>132356</v>
      </c>
      <c r="I50" s="398">
        <v>0</v>
      </c>
      <c r="J50" s="398">
        <v>17884023</v>
      </c>
      <c r="K50" s="398">
        <f>+Banco[[#This Row],[cargos]]+Banco[[#This Row],[Ingresos]]</f>
        <v>-132356</v>
      </c>
      <c r="L50" s="379" t="s">
        <v>42</v>
      </c>
      <c r="M50" s="379" t="str">
        <f>MID(Banco[[#This Row],[CtaCtbl]],FIND(" - ",Banco[[#This Row],[CtaCtbl]])+3,40)</f>
        <v>Otros gastos varios</v>
      </c>
      <c r="N50" s="379"/>
      <c r="O50" s="379"/>
    </row>
    <row r="51" spans="1:15" hidden="1">
      <c r="A51" s="375">
        <f>YEAR(Banco[[#This Row],[Fecha]])</f>
        <v>2022</v>
      </c>
      <c r="B51" s="375" t="str">
        <f>PROPER(TEXT(Banco[[#This Row],[Fecha]],"MMMM"))</f>
        <v>Abril</v>
      </c>
      <c r="C51" s="376" t="str">
        <f>TEXT(Banco[[#This Row],[Fecha]],"mmm-yyyy")</f>
        <v>abr-2022</v>
      </c>
      <c r="D51" s="377">
        <v>44677</v>
      </c>
      <c r="E51" s="102" t="s">
        <v>21</v>
      </c>
      <c r="F51" s="102" t="s">
        <v>17</v>
      </c>
      <c r="G51" s="398">
        <v>-162652</v>
      </c>
      <c r="H51" s="398">
        <f>Banco[[#This Row],[cargos]]*-1</f>
        <v>162652</v>
      </c>
      <c r="I51" s="398">
        <v>0</v>
      </c>
      <c r="J51" s="398">
        <v>18079842</v>
      </c>
      <c r="K51" s="398">
        <f>+Banco[[#This Row],[cargos]]+Banco[[#This Row],[Ingresos]]</f>
        <v>-162652</v>
      </c>
      <c r="L51" s="379" t="s">
        <v>42</v>
      </c>
      <c r="M51" s="379" t="str">
        <f>MID(Banco[[#This Row],[CtaCtbl]],FIND(" - ",Banco[[#This Row],[CtaCtbl]])+3,40)</f>
        <v>Otros gastos varios</v>
      </c>
      <c r="N51" s="379"/>
      <c r="O51" s="379"/>
    </row>
    <row r="52" spans="1:15" hidden="1">
      <c r="A52" s="375">
        <f>YEAR(Banco[[#This Row],[Fecha]])</f>
        <v>2022</v>
      </c>
      <c r="B52" s="375" t="str">
        <f>PROPER(TEXT(Banco[[#This Row],[Fecha]],"MMMM"))</f>
        <v>Abril</v>
      </c>
      <c r="C52" s="376" t="str">
        <f>TEXT(Banco[[#This Row],[Fecha]],"mmm-yyyy")</f>
        <v>abr-2022</v>
      </c>
      <c r="D52" s="377">
        <v>44677</v>
      </c>
      <c r="E52" s="102" t="s">
        <v>22</v>
      </c>
      <c r="F52" s="102" t="s">
        <v>17</v>
      </c>
      <c r="G52" s="398">
        <v>-149800</v>
      </c>
      <c r="H52" s="398">
        <f>Banco[[#This Row],[cargos]]*-1</f>
        <v>149800</v>
      </c>
      <c r="I52" s="398">
        <v>0</v>
      </c>
      <c r="J52" s="398">
        <v>21329900</v>
      </c>
      <c r="K52" s="398">
        <f>+Banco[[#This Row],[cargos]]+Banco[[#This Row],[Ingresos]]</f>
        <v>-149800</v>
      </c>
      <c r="L52" s="379" t="s">
        <v>23</v>
      </c>
      <c r="M52" s="379" t="str">
        <f>MID(Banco[[#This Row],[CtaCtbl]],FIND(" - ",Banco[[#This Row],[CtaCtbl]])+3,40)</f>
        <v>Asesoria Legal - Convenio Fijo Mensual</v>
      </c>
      <c r="N52" s="380" t="s">
        <v>45</v>
      </c>
      <c r="O52" s="379"/>
    </row>
    <row r="53" spans="1:15" hidden="1">
      <c r="A53" s="375">
        <f>YEAR(Banco[[#This Row],[Fecha]])</f>
        <v>2022</v>
      </c>
      <c r="B53" s="375" t="str">
        <f>PROPER(TEXT(Banco[[#This Row],[Fecha]],"MMMM"))</f>
        <v>Abril</v>
      </c>
      <c r="C53" s="376" t="str">
        <f>TEXT(Banco[[#This Row],[Fecha]],"mmm-yyyy")</f>
        <v>abr-2022</v>
      </c>
      <c r="D53" s="377">
        <v>44677</v>
      </c>
      <c r="E53" s="102" t="s">
        <v>22</v>
      </c>
      <c r="F53" s="102" t="s">
        <v>17</v>
      </c>
      <c r="G53" s="398">
        <v>-3071800</v>
      </c>
      <c r="H53" s="398">
        <f>Banco[[#This Row],[cargos]]*-1</f>
        <v>3071800</v>
      </c>
      <c r="I53" s="398">
        <v>0</v>
      </c>
      <c r="J53" s="398">
        <v>18258100</v>
      </c>
      <c r="K53" s="398">
        <f>+Banco[[#This Row],[cargos]]+Banco[[#This Row],[Ingresos]]</f>
        <v>-3071800</v>
      </c>
      <c r="L53" s="379" t="s">
        <v>38</v>
      </c>
      <c r="M53" s="379" t="str">
        <f>MID(Banco[[#This Row],[CtaCtbl]],FIND(" - ",Banco[[#This Row],[CtaCtbl]])+3,40)</f>
        <v>Asesoria Legal - Proyectos Negociacion</v>
      </c>
      <c r="N53" s="381" t="s">
        <v>46</v>
      </c>
      <c r="O53" s="379"/>
    </row>
    <row r="54" spans="1:15" hidden="1">
      <c r="A54" s="375">
        <f>YEAR(Banco[[#This Row],[Fecha]])</f>
        <v>2022</v>
      </c>
      <c r="B54" s="375" t="str">
        <f>PROPER(TEXT(Banco[[#This Row],[Fecha]],"MMMM"))</f>
        <v>Mayo</v>
      </c>
      <c r="C54" s="376" t="str">
        <f>TEXT(Banco[[#This Row],[Fecha]],"mmm-yyyy")</f>
        <v>may-2022</v>
      </c>
      <c r="D54" s="377">
        <v>44683</v>
      </c>
      <c r="E54" s="102" t="s">
        <v>24</v>
      </c>
      <c r="F54" s="102" t="s">
        <v>17</v>
      </c>
      <c r="G54" s="398">
        <v>-19169</v>
      </c>
      <c r="H54" s="398">
        <f>Banco[[#This Row],[cargos]]*-1</f>
        <v>19169</v>
      </c>
      <c r="I54" s="398">
        <v>0</v>
      </c>
      <c r="J54" s="398">
        <v>17864854</v>
      </c>
      <c r="K54" s="398">
        <f>+Banco[[#This Row],[cargos]]+Banco[[#This Row],[Ingresos]]</f>
        <v>-19169</v>
      </c>
      <c r="L54" s="379" t="s">
        <v>25</v>
      </c>
      <c r="M54" s="379" t="str">
        <f>MID(Banco[[#This Row],[CtaCtbl]],FIND(" - ",Banco[[#This Row],[CtaCtbl]])+3,40)</f>
        <v>Pago Comisiones</v>
      </c>
      <c r="N54" s="379"/>
      <c r="O54" s="379"/>
    </row>
    <row r="55" spans="1:15" hidden="1">
      <c r="A55" s="375">
        <f>YEAR(Banco[[#This Row],[Fecha]])</f>
        <v>2022</v>
      </c>
      <c r="B55" s="375" t="str">
        <f>PROPER(TEXT(Banco[[#This Row],[Fecha]],"MMMM"))</f>
        <v>Mayo</v>
      </c>
      <c r="C55" s="376" t="str">
        <f>TEXT(Banco[[#This Row],[Fecha]],"mmm-yyyy")</f>
        <v>may-2022</v>
      </c>
      <c r="D55" s="377">
        <v>44707</v>
      </c>
      <c r="E55" s="102" t="s">
        <v>15</v>
      </c>
      <c r="F55" s="102" t="s">
        <v>17</v>
      </c>
      <c r="G55" s="398">
        <v>0</v>
      </c>
      <c r="H55" s="398">
        <f>Banco[[#This Row],[cargos]]*-1</f>
        <v>0</v>
      </c>
      <c r="I55" s="398">
        <v>107000000</v>
      </c>
      <c r="J55" s="398">
        <v>128361614</v>
      </c>
      <c r="K55" s="398">
        <f>+Banco[[#This Row],[cargos]]+Banco[[#This Row],[Ingresos]]</f>
        <v>107000000</v>
      </c>
      <c r="L55" s="379" t="s">
        <v>47</v>
      </c>
      <c r="M55" s="379" t="str">
        <f>MID(Banco[[#This Row],[CtaCtbl]],FIND(" - ",Banco[[#This Row],[CtaCtbl]])+3,40)</f>
        <v>Aporte Colbun</v>
      </c>
      <c r="N55" s="379"/>
      <c r="O55" s="379"/>
    </row>
    <row r="56" spans="1:15" hidden="1">
      <c r="A56" s="375">
        <f>YEAR(Banco[[#This Row],[Fecha]])</f>
        <v>2022</v>
      </c>
      <c r="B56" s="375" t="str">
        <f>PROPER(TEXT(Banco[[#This Row],[Fecha]],"MMMM"))</f>
        <v>Mayo</v>
      </c>
      <c r="C56" s="376" t="str">
        <f>TEXT(Banco[[#This Row],[Fecha]],"mmm-yyyy")</f>
        <v>may-2022</v>
      </c>
      <c r="D56" s="377">
        <v>44707</v>
      </c>
      <c r="E56" s="102" t="s">
        <v>15</v>
      </c>
      <c r="F56" s="102"/>
      <c r="G56" s="398">
        <v>0</v>
      </c>
      <c r="H56" s="398">
        <f>Banco[[#This Row],[cargos]]*-1</f>
        <v>0</v>
      </c>
      <c r="I56" s="398">
        <v>3496760</v>
      </c>
      <c r="J56" s="398"/>
      <c r="K56" s="398">
        <f>+Banco[[#This Row],[cargos]]+Banco[[#This Row],[Ingresos]]</f>
        <v>3496760</v>
      </c>
      <c r="L56" s="379" t="s">
        <v>18</v>
      </c>
      <c r="M56" s="379" t="str">
        <f>MID(Banco[[#This Row],[CtaCtbl]],FIND(" - ",Banco[[#This Row],[CtaCtbl]])+3,40)</f>
        <v>Cuota Ordinaria</v>
      </c>
      <c r="N56" s="379"/>
      <c r="O56" s="379"/>
    </row>
    <row r="57" spans="1:15" hidden="1">
      <c r="A57" s="375">
        <f>YEAR(Banco[[#This Row],[Fecha]])</f>
        <v>2022</v>
      </c>
      <c r="B57" s="375" t="str">
        <f>PROPER(TEXT(Banco[[#This Row],[Fecha]],"MMMM"))</f>
        <v>Mayo</v>
      </c>
      <c r="C57" s="376" t="str">
        <f>TEXT(Banco[[#This Row],[Fecha]],"mmm-yyyy")</f>
        <v>may-2022</v>
      </c>
      <c r="D57" s="377">
        <v>44711</v>
      </c>
      <c r="E57" s="102" t="s">
        <v>22</v>
      </c>
      <c r="F57" s="102" t="s">
        <v>17</v>
      </c>
      <c r="G57" s="398">
        <v>-149800</v>
      </c>
      <c r="H57" s="398">
        <f>Banco[[#This Row],[cargos]]*-1</f>
        <v>149800</v>
      </c>
      <c r="I57" s="398">
        <v>0</v>
      </c>
      <c r="J57" s="398">
        <v>128211814</v>
      </c>
      <c r="K57" s="398">
        <f>+Banco[[#This Row],[cargos]]+Banco[[#This Row],[Ingresos]]</f>
        <v>-149800</v>
      </c>
      <c r="L57" s="379" t="s">
        <v>23</v>
      </c>
      <c r="M57" s="379" t="str">
        <f>MID(Banco[[#This Row],[CtaCtbl]],FIND(" - ",Banco[[#This Row],[CtaCtbl]])+3,40)</f>
        <v>Asesoria Legal - Convenio Fijo Mensual</v>
      </c>
      <c r="N57" s="380" t="s">
        <v>48</v>
      </c>
      <c r="O57" s="379"/>
    </row>
    <row r="58" spans="1:15" hidden="1">
      <c r="A58" s="375">
        <f>YEAR(Banco[[#This Row],[Fecha]])</f>
        <v>2022</v>
      </c>
      <c r="B58" s="375" t="str">
        <f>PROPER(TEXT(Banco[[#This Row],[Fecha]],"MMMM"))</f>
        <v>Mayo</v>
      </c>
      <c r="C58" s="376" t="str">
        <f>TEXT(Banco[[#This Row],[Fecha]],"mmm-yyyy")</f>
        <v>may-2022</v>
      </c>
      <c r="D58" s="377">
        <v>44711</v>
      </c>
      <c r="E58" s="102" t="s">
        <v>22</v>
      </c>
      <c r="F58" s="102" t="s">
        <v>17</v>
      </c>
      <c r="G58" s="398">
        <v>-149800</v>
      </c>
      <c r="H58" s="398">
        <f>Banco[[#This Row],[cargos]]*-1</f>
        <v>149800</v>
      </c>
      <c r="I58" s="398">
        <v>0</v>
      </c>
      <c r="J58" s="398">
        <v>128062014</v>
      </c>
      <c r="K58" s="398">
        <f>+Banco[[#This Row],[cargos]]+Banco[[#This Row],[Ingresos]]</f>
        <v>-149800</v>
      </c>
      <c r="L58" s="379" t="s">
        <v>23</v>
      </c>
      <c r="M58" s="379" t="str">
        <f>MID(Banco[[#This Row],[CtaCtbl]],FIND(" - ",Banco[[#This Row],[CtaCtbl]])+3,40)</f>
        <v>Asesoria Legal - Convenio Fijo Mensual</v>
      </c>
      <c r="N58" s="380" t="s">
        <v>49</v>
      </c>
      <c r="O58" s="379"/>
    </row>
    <row r="59" spans="1:15" hidden="1">
      <c r="A59" s="375">
        <f>YEAR(Banco[[#This Row],[Fecha]])</f>
        <v>2022</v>
      </c>
      <c r="B59" s="375" t="str">
        <f>PROPER(TEXT(Banco[[#This Row],[Fecha]],"MMMM"))</f>
        <v>Mayo</v>
      </c>
      <c r="C59" s="376" t="str">
        <f>TEXT(Banco[[#This Row],[Fecha]],"mmm-yyyy")</f>
        <v>may-2022</v>
      </c>
      <c r="D59" s="377">
        <v>44711</v>
      </c>
      <c r="E59" s="102" t="s">
        <v>40</v>
      </c>
      <c r="F59" s="102" t="s">
        <v>17</v>
      </c>
      <c r="G59" s="398">
        <v>-380572</v>
      </c>
      <c r="H59" s="398">
        <f>Banco[[#This Row],[cargos]]*-1</f>
        <v>380572</v>
      </c>
      <c r="I59" s="398">
        <v>0</v>
      </c>
      <c r="J59" s="398">
        <v>127681442</v>
      </c>
      <c r="K59" s="398">
        <f>+Banco[[#This Row],[cargos]]+Banco[[#This Row],[Ingresos]]</f>
        <v>-380572</v>
      </c>
      <c r="L59" s="379" t="s">
        <v>41</v>
      </c>
      <c r="M59" s="379" t="str">
        <f>MID(Banco[[#This Row],[CtaCtbl]],FIND(" - ",Banco[[#This Row],[CtaCtbl]])+3,40)</f>
        <v>Taxi, Uber o Similar</v>
      </c>
      <c r="N59" s="379"/>
      <c r="O59" s="379"/>
    </row>
    <row r="60" spans="1:15" hidden="1">
      <c r="A60" s="375">
        <f>YEAR(Banco[[#This Row],[Fecha]])</f>
        <v>2022</v>
      </c>
      <c r="B60" s="375" t="str">
        <f>PROPER(TEXT(Banco[[#This Row],[Fecha]],"MMMM"))</f>
        <v>Junio</v>
      </c>
      <c r="C60" s="376" t="str">
        <f>TEXT(Banco[[#This Row],[Fecha]],"mmm-yyyy")</f>
        <v>jun-2022</v>
      </c>
      <c r="D60" s="377">
        <v>44713</v>
      </c>
      <c r="E60" s="102" t="s">
        <v>24</v>
      </c>
      <c r="F60" s="102" t="s">
        <v>17</v>
      </c>
      <c r="G60" s="398">
        <v>-19453</v>
      </c>
      <c r="H60" s="398">
        <f>Banco[[#This Row],[cargos]]*-1</f>
        <v>19453</v>
      </c>
      <c r="I60" s="398">
        <v>0</v>
      </c>
      <c r="J60" s="398">
        <v>127661989</v>
      </c>
      <c r="K60" s="398">
        <f>+Banco[[#This Row],[cargos]]+Banco[[#This Row],[Ingresos]]</f>
        <v>-19453</v>
      </c>
      <c r="L60" s="379" t="s">
        <v>25</v>
      </c>
      <c r="M60" s="379" t="str">
        <f>MID(Banco[[#This Row],[CtaCtbl]],FIND(" - ",Banco[[#This Row],[CtaCtbl]])+3,40)</f>
        <v>Pago Comisiones</v>
      </c>
      <c r="N60" s="379"/>
      <c r="O60" s="379"/>
    </row>
    <row r="61" spans="1:15" hidden="1">
      <c r="A61" s="375">
        <f>YEAR(Banco[[#This Row],[Fecha]])</f>
        <v>2022</v>
      </c>
      <c r="B61" s="375" t="str">
        <f>PROPER(TEXT(Banco[[#This Row],[Fecha]],"MMMM"))</f>
        <v>Junio</v>
      </c>
      <c r="C61" s="376" t="str">
        <f>TEXT(Banco[[#This Row],[Fecha]],"mmm-yyyy")</f>
        <v>jun-2022</v>
      </c>
      <c r="D61" s="377">
        <v>44726</v>
      </c>
      <c r="E61" s="102" t="s">
        <v>50</v>
      </c>
      <c r="F61" s="102" t="s">
        <v>17</v>
      </c>
      <c r="G61" s="398">
        <v>-106000000</v>
      </c>
      <c r="H61" s="398">
        <f>Banco[[#This Row],[cargos]]*-1</f>
        <v>106000000</v>
      </c>
      <c r="I61" s="398">
        <v>0</v>
      </c>
      <c r="J61" s="398">
        <v>21661989</v>
      </c>
      <c r="K61" s="399">
        <f>+Banco[[#This Row],[cargos]]+Banco[[#This Row],[Ingresos]]</f>
        <v>-106000000</v>
      </c>
      <c r="L61" s="379" t="s">
        <v>51</v>
      </c>
      <c r="M61" s="379" t="str">
        <f>MID(Banco[[#This Row],[CtaCtbl]],FIND(" - ",Banco[[#This Row],[CtaCtbl]])+3,40)</f>
        <v>Pago Bonos a Socios</v>
      </c>
      <c r="N61" s="379"/>
      <c r="O61" s="379"/>
    </row>
    <row r="62" spans="1:15" hidden="1">
      <c r="A62" s="375">
        <f>YEAR(Banco[[#This Row],[Fecha]])</f>
        <v>2022</v>
      </c>
      <c r="B62" s="375" t="str">
        <f>PROPER(TEXT(Banco[[#This Row],[Fecha]],"MMMM"))</f>
        <v>Junio</v>
      </c>
      <c r="C62" s="376" t="str">
        <f>TEXT(Banco[[#This Row],[Fecha]],"mmm-yyyy")</f>
        <v>jun-2022</v>
      </c>
      <c r="D62" s="377">
        <v>44727</v>
      </c>
      <c r="E62" s="102" t="s">
        <v>52</v>
      </c>
      <c r="F62" s="102" t="s">
        <v>17</v>
      </c>
      <c r="G62" s="398">
        <v>0</v>
      </c>
      <c r="H62" s="398">
        <f>Banco[[#This Row],[cargos]]*-1</f>
        <v>0</v>
      </c>
      <c r="I62" s="398">
        <v>500000</v>
      </c>
      <c r="J62" s="398">
        <v>22161989</v>
      </c>
      <c r="K62" s="398">
        <f>+Banco[[#This Row],[cargos]]+Banco[[#This Row],[Ingresos]]</f>
        <v>500000</v>
      </c>
      <c r="L62" s="379" t="s">
        <v>53</v>
      </c>
      <c r="M62" s="379" t="str">
        <f>MID(Banco[[#This Row],[CtaCtbl]],FIND(" - ",Banco[[#This Row],[CtaCtbl]])+3,40)</f>
        <v>Otros Aportes</v>
      </c>
      <c r="N62" s="379"/>
      <c r="O62" s="379"/>
    </row>
    <row r="63" spans="1:15" hidden="1">
      <c r="A63" s="375">
        <f>YEAR(Banco[[#This Row],[Fecha]])</f>
        <v>2022</v>
      </c>
      <c r="B63" s="375" t="str">
        <f>PROPER(TEXT(Banco[[#This Row],[Fecha]],"MMMM"))</f>
        <v>Junio</v>
      </c>
      <c r="C63" s="376" t="str">
        <f>TEXT(Banco[[#This Row],[Fecha]],"mmm-yyyy")</f>
        <v>jun-2022</v>
      </c>
      <c r="D63" s="377">
        <v>44727</v>
      </c>
      <c r="E63" s="102" t="s">
        <v>52</v>
      </c>
      <c r="F63" s="102" t="s">
        <v>17</v>
      </c>
      <c r="G63" s="398">
        <v>0</v>
      </c>
      <c r="H63" s="398">
        <f>Banco[[#This Row],[cargos]]*-1</f>
        <v>0</v>
      </c>
      <c r="I63" s="398">
        <v>500000</v>
      </c>
      <c r="J63" s="398">
        <v>22661989</v>
      </c>
      <c r="K63" s="398">
        <f>+Banco[[#This Row],[cargos]]+Banco[[#This Row],[Ingresos]]</f>
        <v>500000</v>
      </c>
      <c r="L63" s="379" t="s">
        <v>53</v>
      </c>
      <c r="M63" s="379" t="str">
        <f>MID(Banco[[#This Row],[CtaCtbl]],FIND(" - ",Banco[[#This Row],[CtaCtbl]])+3,40)</f>
        <v>Otros Aportes</v>
      </c>
      <c r="N63" s="379"/>
      <c r="O63" s="379"/>
    </row>
    <row r="64" spans="1:15" hidden="1">
      <c r="A64" s="375">
        <f>YEAR(Banco[[#This Row],[Fecha]])</f>
        <v>2022</v>
      </c>
      <c r="B64" s="375" t="str">
        <f>PROPER(TEXT(Banco[[#This Row],[Fecha]],"MMMM"))</f>
        <v>Junio</v>
      </c>
      <c r="C64" s="376" t="str">
        <f>TEXT(Banco[[#This Row],[Fecha]],"mmm-yyyy")</f>
        <v>jun-2022</v>
      </c>
      <c r="D64" s="377">
        <v>44727</v>
      </c>
      <c r="E64" s="102" t="s">
        <v>52</v>
      </c>
      <c r="F64" s="102" t="s">
        <v>17</v>
      </c>
      <c r="G64" s="398">
        <v>0</v>
      </c>
      <c r="H64" s="398">
        <f>Banco[[#This Row],[cargos]]*-1</f>
        <v>0</v>
      </c>
      <c r="I64" s="398">
        <v>500000</v>
      </c>
      <c r="J64" s="398">
        <v>23161989</v>
      </c>
      <c r="K64" s="398">
        <f>+Banco[[#This Row],[cargos]]+Banco[[#This Row],[Ingresos]]</f>
        <v>500000</v>
      </c>
      <c r="L64" s="379" t="s">
        <v>53</v>
      </c>
      <c r="M64" s="379" t="str">
        <f>MID(Banco[[#This Row],[CtaCtbl]],FIND(" - ",Banco[[#This Row],[CtaCtbl]])+3,40)</f>
        <v>Otros Aportes</v>
      </c>
      <c r="N64" s="379"/>
      <c r="O64" s="379"/>
    </row>
    <row r="65" spans="1:15" hidden="1">
      <c r="A65" s="375">
        <f>YEAR(Banco[[#This Row],[Fecha]])</f>
        <v>2022</v>
      </c>
      <c r="B65" s="375" t="str">
        <f>PROPER(TEXT(Banco[[#This Row],[Fecha]],"MMMM"))</f>
        <v>Junio</v>
      </c>
      <c r="C65" s="376" t="str">
        <f>TEXT(Banco[[#This Row],[Fecha]],"mmm-yyyy")</f>
        <v>jun-2022</v>
      </c>
      <c r="D65" s="377">
        <v>44727</v>
      </c>
      <c r="E65" s="102" t="s">
        <v>52</v>
      </c>
      <c r="F65" s="102" t="s">
        <v>17</v>
      </c>
      <c r="G65" s="398">
        <v>0</v>
      </c>
      <c r="H65" s="398">
        <f>Banco[[#This Row],[cargos]]*-1</f>
        <v>0</v>
      </c>
      <c r="I65" s="398">
        <v>500000</v>
      </c>
      <c r="J65" s="398">
        <v>23661989</v>
      </c>
      <c r="K65" s="398">
        <f>+Banco[[#This Row],[cargos]]+Banco[[#This Row],[Ingresos]]</f>
        <v>500000</v>
      </c>
      <c r="L65" s="379" t="s">
        <v>53</v>
      </c>
      <c r="M65" s="379" t="str">
        <f>MID(Banco[[#This Row],[CtaCtbl]],FIND(" - ",Banco[[#This Row],[CtaCtbl]])+3,40)</f>
        <v>Otros Aportes</v>
      </c>
      <c r="N65" s="379"/>
      <c r="O65" s="379"/>
    </row>
    <row r="66" spans="1:15" hidden="1">
      <c r="A66" s="375">
        <f>YEAR(Banco[[#This Row],[Fecha]])</f>
        <v>2022</v>
      </c>
      <c r="B66" s="375" t="str">
        <f>PROPER(TEXT(Banco[[#This Row],[Fecha]],"MMMM"))</f>
        <v>Junio</v>
      </c>
      <c r="C66" s="376" t="str">
        <f>TEXT(Banco[[#This Row],[Fecha]],"mmm-yyyy")</f>
        <v>jun-2022</v>
      </c>
      <c r="D66" s="377">
        <v>44727</v>
      </c>
      <c r="E66" s="102" t="s">
        <v>52</v>
      </c>
      <c r="F66" s="102" t="s">
        <v>17</v>
      </c>
      <c r="G66" s="398">
        <v>0</v>
      </c>
      <c r="H66" s="398">
        <f>Banco[[#This Row],[cargos]]*-1</f>
        <v>0</v>
      </c>
      <c r="I66" s="398">
        <v>500000</v>
      </c>
      <c r="J66" s="398">
        <v>24161989</v>
      </c>
      <c r="K66" s="398">
        <f>+Banco[[#This Row],[cargos]]+Banco[[#This Row],[Ingresos]]</f>
        <v>500000</v>
      </c>
      <c r="L66" s="379" t="s">
        <v>53</v>
      </c>
      <c r="M66" s="379" t="str">
        <f>MID(Banco[[#This Row],[CtaCtbl]],FIND(" - ",Banco[[#This Row],[CtaCtbl]])+3,40)</f>
        <v>Otros Aportes</v>
      </c>
      <c r="N66" s="379"/>
      <c r="O66" s="379"/>
    </row>
    <row r="67" spans="1:15" hidden="1">
      <c r="A67" s="375">
        <f>YEAR(Banco[[#This Row],[Fecha]])</f>
        <v>2022</v>
      </c>
      <c r="B67" s="375" t="str">
        <f>PROPER(TEXT(Banco[[#This Row],[Fecha]],"MMMM"))</f>
        <v>Junio</v>
      </c>
      <c r="C67" s="376" t="str">
        <f>TEXT(Banco[[#This Row],[Fecha]],"mmm-yyyy")</f>
        <v>jun-2022</v>
      </c>
      <c r="D67" s="377">
        <v>44727</v>
      </c>
      <c r="E67" s="102" t="s">
        <v>52</v>
      </c>
      <c r="F67" s="102" t="s">
        <v>17</v>
      </c>
      <c r="G67" s="398">
        <v>0</v>
      </c>
      <c r="H67" s="398">
        <f>Banco[[#This Row],[cargos]]*-1</f>
        <v>0</v>
      </c>
      <c r="I67" s="398">
        <v>500000</v>
      </c>
      <c r="J67" s="398">
        <v>24661989</v>
      </c>
      <c r="K67" s="398">
        <f>+Banco[[#This Row],[cargos]]+Banco[[#This Row],[Ingresos]]</f>
        <v>500000</v>
      </c>
      <c r="L67" s="379" t="s">
        <v>53</v>
      </c>
      <c r="M67" s="379" t="str">
        <f>MID(Banco[[#This Row],[CtaCtbl]],FIND(" - ",Banco[[#This Row],[CtaCtbl]])+3,40)</f>
        <v>Otros Aportes</v>
      </c>
      <c r="N67" s="379"/>
      <c r="O67" s="379"/>
    </row>
    <row r="68" spans="1:15" hidden="1">
      <c r="A68" s="375">
        <f>YEAR(Banco[[#This Row],[Fecha]])</f>
        <v>2022</v>
      </c>
      <c r="B68" s="375" t="str">
        <f>PROPER(TEXT(Banco[[#This Row],[Fecha]],"MMMM"))</f>
        <v>Junio</v>
      </c>
      <c r="C68" s="376" t="str">
        <f>TEXT(Banco[[#This Row],[Fecha]],"mmm-yyyy")</f>
        <v>jun-2022</v>
      </c>
      <c r="D68" s="377">
        <v>44735</v>
      </c>
      <c r="E68" s="102" t="s">
        <v>54</v>
      </c>
      <c r="F68" s="102" t="s">
        <v>17</v>
      </c>
      <c r="G68" s="398">
        <v>0</v>
      </c>
      <c r="H68" s="398">
        <f>Banco[[#This Row],[cargos]]*-1</f>
        <v>0</v>
      </c>
      <c r="I68" s="398">
        <v>82487</v>
      </c>
      <c r="J68" s="398">
        <v>24744476</v>
      </c>
      <c r="K68" s="398">
        <f>+Banco[[#This Row],[cargos]]+Banco[[#This Row],[Ingresos]]</f>
        <v>82487</v>
      </c>
      <c r="L68" s="379" t="s">
        <v>16</v>
      </c>
      <c r="M68" s="379" t="str">
        <f>MID(Banco[[#This Row],[CtaCtbl]],FIND(" - ",Banco[[#This Row],[CtaCtbl]])+3,40)</f>
        <v>Cuota Extraordinaria</v>
      </c>
      <c r="N68" s="379" t="s">
        <v>55</v>
      </c>
      <c r="O68" s="379"/>
    </row>
    <row r="69" spans="1:15" hidden="1">
      <c r="A69" s="375">
        <f>YEAR(Banco[[#This Row],[Fecha]])</f>
        <v>2022</v>
      </c>
      <c r="B69" s="375" t="str">
        <f>PROPER(TEXT(Banco[[#This Row],[Fecha]],"MMMM"))</f>
        <v>Junio</v>
      </c>
      <c r="C69" s="376" t="str">
        <f>TEXT(Banco[[#This Row],[Fecha]],"mmm-yyyy")</f>
        <v>jun-2022</v>
      </c>
      <c r="D69" s="377">
        <v>44736</v>
      </c>
      <c r="E69" s="102" t="s">
        <v>15</v>
      </c>
      <c r="F69" s="102" t="s">
        <v>17</v>
      </c>
      <c r="G69" s="398">
        <v>0</v>
      </c>
      <c r="H69" s="398">
        <f>Banco[[#This Row],[cargos]]*-1</f>
        <v>0</v>
      </c>
      <c r="I69" s="398">
        <v>3507116</v>
      </c>
      <c r="J69" s="398">
        <v>28251592</v>
      </c>
      <c r="K69" s="398">
        <f>+Banco[[#This Row],[cargos]]+Banco[[#This Row],[Ingresos]]</f>
        <v>3507116</v>
      </c>
      <c r="L69" s="379" t="s">
        <v>18</v>
      </c>
      <c r="M69" s="379" t="str">
        <f>MID(Banco[[#This Row],[CtaCtbl]],FIND(" - ",Banco[[#This Row],[CtaCtbl]])+3,40)</f>
        <v>Cuota Ordinaria</v>
      </c>
      <c r="N69" s="379"/>
      <c r="O69" s="379"/>
    </row>
    <row r="70" spans="1:15" hidden="1">
      <c r="A70" s="375">
        <f>YEAR(Banco[[#This Row],[Fecha]])</f>
        <v>2022</v>
      </c>
      <c r="B70" s="375" t="str">
        <f>PROPER(TEXT(Banco[[#This Row],[Fecha]],"MMMM"))</f>
        <v>Junio</v>
      </c>
      <c r="C70" s="376" t="str">
        <f>TEXT(Banco[[#This Row],[Fecha]],"mmm-yyyy")</f>
        <v>jun-2022</v>
      </c>
      <c r="D70" s="377">
        <v>44736</v>
      </c>
      <c r="E70" s="102" t="s">
        <v>56</v>
      </c>
      <c r="F70" s="102" t="s">
        <v>17</v>
      </c>
      <c r="G70" s="398">
        <v>-500000</v>
      </c>
      <c r="H70" s="398">
        <f>Banco[[#This Row],[cargos]]*-1</f>
        <v>500000</v>
      </c>
      <c r="I70" s="398">
        <v>0</v>
      </c>
      <c r="J70" s="398">
        <v>26251592</v>
      </c>
      <c r="K70" s="398">
        <f>+Banco[[#This Row],[cargos]]+Banco[[#This Row],[Ingresos]]</f>
        <v>-500000</v>
      </c>
      <c r="L70" s="379" t="s">
        <v>51</v>
      </c>
      <c r="M70" s="379" t="str">
        <f>MID(Banco[[#This Row],[CtaCtbl]],FIND(" - ",Banco[[#This Row],[CtaCtbl]])+3,40)</f>
        <v>Pago Bonos a Socios</v>
      </c>
      <c r="N70" s="379"/>
      <c r="O70" s="379"/>
    </row>
    <row r="71" spans="1:15" hidden="1">
      <c r="A71" s="375">
        <f>YEAR(Banco[[#This Row],[Fecha]])</f>
        <v>2022</v>
      </c>
      <c r="B71" s="375" t="str">
        <f>PROPER(TEXT(Banco[[#This Row],[Fecha]],"MMMM"))</f>
        <v>Junio</v>
      </c>
      <c r="C71" s="376" t="str">
        <f>TEXT(Banco[[#This Row],[Fecha]],"mmm-yyyy")</f>
        <v>jun-2022</v>
      </c>
      <c r="D71" s="377">
        <v>44736</v>
      </c>
      <c r="E71" s="102" t="s">
        <v>57</v>
      </c>
      <c r="F71" s="102" t="s">
        <v>17</v>
      </c>
      <c r="G71" s="398">
        <v>-500000</v>
      </c>
      <c r="H71" s="398">
        <f>Banco[[#This Row],[cargos]]*-1</f>
        <v>500000</v>
      </c>
      <c r="I71" s="398">
        <v>0</v>
      </c>
      <c r="J71" s="398">
        <v>25751592</v>
      </c>
      <c r="K71" s="398">
        <f>+Banco[[#This Row],[cargos]]+Banco[[#This Row],[Ingresos]]</f>
        <v>-500000</v>
      </c>
      <c r="L71" s="379" t="s">
        <v>51</v>
      </c>
      <c r="M71" s="379" t="str">
        <f>MID(Banco[[#This Row],[CtaCtbl]],FIND(" - ",Banco[[#This Row],[CtaCtbl]])+3,40)</f>
        <v>Pago Bonos a Socios</v>
      </c>
      <c r="N71" s="379"/>
      <c r="O71" s="379"/>
    </row>
    <row r="72" spans="1:15" hidden="1">
      <c r="A72" s="375">
        <f>YEAR(Banco[[#This Row],[Fecha]])</f>
        <v>2022</v>
      </c>
      <c r="B72" s="375" t="str">
        <f>PROPER(TEXT(Banco[[#This Row],[Fecha]],"MMMM"))</f>
        <v>Junio</v>
      </c>
      <c r="C72" s="376" t="str">
        <f>TEXT(Banco[[#This Row],[Fecha]],"mmm-yyyy")</f>
        <v>jun-2022</v>
      </c>
      <c r="D72" s="377">
        <v>44736</v>
      </c>
      <c r="E72" s="102" t="s">
        <v>58</v>
      </c>
      <c r="F72" s="102" t="s">
        <v>17</v>
      </c>
      <c r="G72" s="398">
        <v>-500000</v>
      </c>
      <c r="H72" s="398">
        <f>Banco[[#This Row],[cargos]]*-1</f>
        <v>500000</v>
      </c>
      <c r="I72" s="398">
        <v>0</v>
      </c>
      <c r="J72" s="398">
        <v>27751592</v>
      </c>
      <c r="K72" s="398">
        <f>+Banco[[#This Row],[cargos]]+Banco[[#This Row],[Ingresos]]</f>
        <v>-500000</v>
      </c>
      <c r="L72" s="379" t="s">
        <v>51</v>
      </c>
      <c r="M72" s="379" t="str">
        <f>MID(Banco[[#This Row],[CtaCtbl]],FIND(" - ",Banco[[#This Row],[CtaCtbl]])+3,40)</f>
        <v>Pago Bonos a Socios</v>
      </c>
      <c r="N72" s="379"/>
      <c r="O72" s="379"/>
    </row>
    <row r="73" spans="1:15" hidden="1">
      <c r="A73" s="375">
        <f>YEAR(Banco[[#This Row],[Fecha]])</f>
        <v>2022</v>
      </c>
      <c r="B73" s="375" t="str">
        <f>PROPER(TEXT(Banco[[#This Row],[Fecha]],"MMMM"))</f>
        <v>Junio</v>
      </c>
      <c r="C73" s="376" t="str">
        <f>TEXT(Banco[[#This Row],[Fecha]],"mmm-yyyy")</f>
        <v>jun-2022</v>
      </c>
      <c r="D73" s="377">
        <v>44736</v>
      </c>
      <c r="E73" s="102" t="s">
        <v>59</v>
      </c>
      <c r="F73" s="102" t="s">
        <v>17</v>
      </c>
      <c r="G73" s="398">
        <v>-500000</v>
      </c>
      <c r="H73" s="398">
        <f>Banco[[#This Row],[cargos]]*-1</f>
        <v>500000</v>
      </c>
      <c r="I73" s="398">
        <v>0</v>
      </c>
      <c r="J73" s="398">
        <v>26751592</v>
      </c>
      <c r="K73" s="398">
        <f>+Banco[[#This Row],[cargos]]+Banco[[#This Row],[Ingresos]]</f>
        <v>-500000</v>
      </c>
      <c r="L73" s="379" t="s">
        <v>51</v>
      </c>
      <c r="M73" s="379" t="str">
        <f>MID(Banco[[#This Row],[CtaCtbl]],FIND(" - ",Banco[[#This Row],[CtaCtbl]])+3,40)</f>
        <v>Pago Bonos a Socios</v>
      </c>
      <c r="N73" s="379"/>
      <c r="O73" s="379"/>
    </row>
    <row r="74" spans="1:15" hidden="1">
      <c r="A74" s="375">
        <f>YEAR(Banco[[#This Row],[Fecha]])</f>
        <v>2022</v>
      </c>
      <c r="B74" s="375" t="str">
        <f>PROPER(TEXT(Banco[[#This Row],[Fecha]],"MMMM"))</f>
        <v>Junio</v>
      </c>
      <c r="C74" s="376" t="str">
        <f>TEXT(Banco[[#This Row],[Fecha]],"mmm-yyyy")</f>
        <v>jun-2022</v>
      </c>
      <c r="D74" s="377">
        <v>44736</v>
      </c>
      <c r="E74" s="102" t="s">
        <v>60</v>
      </c>
      <c r="F74" s="102" t="s">
        <v>17</v>
      </c>
      <c r="G74" s="398">
        <v>-500000</v>
      </c>
      <c r="H74" s="398">
        <f>Banco[[#This Row],[cargos]]*-1</f>
        <v>500000</v>
      </c>
      <c r="I74" s="398">
        <v>0</v>
      </c>
      <c r="J74" s="398">
        <v>27251592</v>
      </c>
      <c r="K74" s="398">
        <f>+Banco[[#This Row],[cargos]]+Banco[[#This Row],[Ingresos]]</f>
        <v>-500000</v>
      </c>
      <c r="L74" s="379" t="s">
        <v>51</v>
      </c>
      <c r="M74" s="379" t="str">
        <f>MID(Banco[[#This Row],[CtaCtbl]],FIND(" - ",Banco[[#This Row],[CtaCtbl]])+3,40)</f>
        <v>Pago Bonos a Socios</v>
      </c>
      <c r="N74" s="379"/>
      <c r="O74" s="379"/>
    </row>
    <row r="75" spans="1:15" hidden="1">
      <c r="A75" s="375">
        <f>YEAR(Banco[[#This Row],[Fecha]])</f>
        <v>2022</v>
      </c>
      <c r="B75" s="375" t="str">
        <f>PROPER(TEXT(Banco[[#This Row],[Fecha]],"MMMM"))</f>
        <v>Junio</v>
      </c>
      <c r="C75" s="376" t="str">
        <f>TEXT(Banco[[#This Row],[Fecha]],"mmm-yyyy")</f>
        <v>jun-2022</v>
      </c>
      <c r="D75" s="377">
        <v>44740</v>
      </c>
      <c r="E75" s="102" t="s">
        <v>61</v>
      </c>
      <c r="F75" s="102" t="s">
        <v>17</v>
      </c>
      <c r="G75" s="398">
        <v>-500000</v>
      </c>
      <c r="H75" s="398">
        <f>Banco[[#This Row],[cargos]]*-1</f>
        <v>500000</v>
      </c>
      <c r="I75" s="398">
        <v>0</v>
      </c>
      <c r="J75" s="398">
        <v>24751592</v>
      </c>
      <c r="K75" s="398">
        <f>+Banco[[#This Row],[cargos]]+Banco[[#This Row],[Ingresos]]</f>
        <v>-500000</v>
      </c>
      <c r="L75" s="379" t="s">
        <v>51</v>
      </c>
      <c r="M75" s="379" t="str">
        <f>MID(Banco[[#This Row],[CtaCtbl]],FIND(" - ",Banco[[#This Row],[CtaCtbl]])+3,40)</f>
        <v>Pago Bonos a Socios</v>
      </c>
      <c r="N75" s="379"/>
      <c r="O75" s="379"/>
    </row>
    <row r="76" spans="1:15" hidden="1">
      <c r="A76" s="375">
        <f>YEAR(Banco[[#This Row],[Fecha]])</f>
        <v>2022</v>
      </c>
      <c r="B76" s="375" t="str">
        <f>PROPER(TEXT(Banco[[#This Row],[Fecha]],"MMMM"))</f>
        <v>Junio</v>
      </c>
      <c r="C76" s="376" t="str">
        <f>TEXT(Banco[[#This Row],[Fecha]],"mmm-yyyy")</f>
        <v>jun-2022</v>
      </c>
      <c r="D76" s="377">
        <v>44740</v>
      </c>
      <c r="E76" s="102" t="s">
        <v>62</v>
      </c>
      <c r="F76" s="102" t="s">
        <v>17</v>
      </c>
      <c r="G76" s="398">
        <v>-500000</v>
      </c>
      <c r="H76" s="398">
        <f>Banco[[#This Row],[cargos]]*-1</f>
        <v>500000</v>
      </c>
      <c r="I76" s="398">
        <v>0</v>
      </c>
      <c r="J76" s="398">
        <v>25251592</v>
      </c>
      <c r="K76" s="398">
        <f>+Banco[[#This Row],[cargos]]+Banco[[#This Row],[Ingresos]]</f>
        <v>-500000</v>
      </c>
      <c r="L76" s="379" t="s">
        <v>51</v>
      </c>
      <c r="M76" s="379" t="str">
        <f>MID(Banco[[#This Row],[CtaCtbl]],FIND(" - ",Banco[[#This Row],[CtaCtbl]])+3,40)</f>
        <v>Pago Bonos a Socios</v>
      </c>
      <c r="N76" s="379"/>
      <c r="O76" s="379"/>
    </row>
    <row r="77" spans="1:15" hidden="1">
      <c r="A77" s="375">
        <f>YEAR(Banco[[#This Row],[Fecha]])</f>
        <v>2022</v>
      </c>
      <c r="B77" s="375" t="str">
        <f>PROPER(TEXT(Banco[[#This Row],[Fecha]],"MMMM"))</f>
        <v>Julio</v>
      </c>
      <c r="C77" s="376" t="str">
        <f>TEXT(Banco[[#This Row],[Fecha]],"mmm-yyyy")</f>
        <v>jul-2022</v>
      </c>
      <c r="D77" s="377">
        <v>44743</v>
      </c>
      <c r="E77" s="102" t="s">
        <v>24</v>
      </c>
      <c r="F77" s="102" t="s">
        <v>17</v>
      </c>
      <c r="G77" s="398">
        <v>-19695</v>
      </c>
      <c r="H77" s="398">
        <f>Banco[[#This Row],[cargos]]*-1</f>
        <v>19695</v>
      </c>
      <c r="I77" s="398">
        <v>0</v>
      </c>
      <c r="J77" s="398">
        <v>24731897</v>
      </c>
      <c r="K77" s="398">
        <f>+Banco[[#This Row],[cargos]]+Banco[[#This Row],[Ingresos]]</f>
        <v>-19695</v>
      </c>
      <c r="L77" s="379" t="s">
        <v>25</v>
      </c>
      <c r="M77" s="379" t="str">
        <f>MID(Banco[[#This Row],[CtaCtbl]],FIND(" - ",Banco[[#This Row],[CtaCtbl]])+3,40)</f>
        <v>Pago Comisiones</v>
      </c>
      <c r="N77" s="379"/>
      <c r="O77" s="379"/>
    </row>
    <row r="78" spans="1:15" hidden="1">
      <c r="A78" s="375">
        <f>YEAR(Banco[[#This Row],[Fecha]])</f>
        <v>2022</v>
      </c>
      <c r="B78" s="375" t="str">
        <f>PROPER(TEXT(Banco[[#This Row],[Fecha]],"MMMM"))</f>
        <v>Julio</v>
      </c>
      <c r="C78" s="376" t="str">
        <f>TEXT(Banco[[#This Row],[Fecha]],"mmm-yyyy")</f>
        <v>jul-2022</v>
      </c>
      <c r="D78" s="377">
        <v>44769</v>
      </c>
      <c r="E78" s="102" t="s">
        <v>15</v>
      </c>
      <c r="F78" s="102" t="s">
        <v>17</v>
      </c>
      <c r="G78" s="398">
        <v>0</v>
      </c>
      <c r="H78" s="398">
        <f>Banco[[#This Row],[cargos]]*-1</f>
        <v>0</v>
      </c>
      <c r="I78" s="398">
        <v>3592435</v>
      </c>
      <c r="J78" s="398">
        <v>28324332</v>
      </c>
      <c r="K78" s="398">
        <f>+Banco[[#This Row],[cargos]]+Banco[[#This Row],[Ingresos]]</f>
        <v>3592435</v>
      </c>
      <c r="L78" s="379" t="s">
        <v>18</v>
      </c>
      <c r="M78" s="379" t="str">
        <f>MID(Banco[[#This Row],[CtaCtbl]],FIND(" - ",Banco[[#This Row],[CtaCtbl]])+3,40)</f>
        <v>Cuota Ordinaria</v>
      </c>
      <c r="N78" s="379"/>
      <c r="O78" s="379"/>
    </row>
    <row r="79" spans="1:15" hidden="1">
      <c r="A79" s="375">
        <f>YEAR(Banco[[#This Row],[Fecha]])</f>
        <v>2022</v>
      </c>
      <c r="B79" s="375" t="str">
        <f>PROPER(TEXT(Banco[[#This Row],[Fecha]],"MMMM"))</f>
        <v>Agosto</v>
      </c>
      <c r="C79" s="376" t="str">
        <f>TEXT(Banco[[#This Row],[Fecha]],"mmm-yyyy")</f>
        <v>ago-2022</v>
      </c>
      <c r="D79" s="377">
        <v>44774</v>
      </c>
      <c r="E79" s="102" t="s">
        <v>24</v>
      </c>
      <c r="F79" s="102" t="s">
        <v>17</v>
      </c>
      <c r="G79" s="398">
        <v>-19888</v>
      </c>
      <c r="H79" s="398">
        <f>Banco[[#This Row],[cargos]]*-1</f>
        <v>19888</v>
      </c>
      <c r="I79" s="398">
        <v>0</v>
      </c>
      <c r="J79" s="398">
        <v>28304444</v>
      </c>
      <c r="K79" s="398">
        <f>+Banco[[#This Row],[cargos]]+Banco[[#This Row],[Ingresos]]</f>
        <v>-19888</v>
      </c>
      <c r="L79" s="379" t="s">
        <v>25</v>
      </c>
      <c r="M79" s="379" t="str">
        <f>MID(Banco[[#This Row],[CtaCtbl]],FIND(" - ",Banco[[#This Row],[CtaCtbl]])+3,40)</f>
        <v>Pago Comisiones</v>
      </c>
      <c r="N79" s="379"/>
      <c r="O79" s="379"/>
    </row>
    <row r="80" spans="1:15" hidden="1">
      <c r="A80" s="375">
        <f>YEAR(Banco[[#This Row],[Fecha]])</f>
        <v>2022</v>
      </c>
      <c r="B80" s="375" t="str">
        <f>PROPER(TEXT(Banco[[#This Row],[Fecha]],"MMMM"))</f>
        <v>Agosto</v>
      </c>
      <c r="C80" s="376" t="str">
        <f>TEXT(Banco[[#This Row],[Fecha]],"mmm-yyyy")</f>
        <v>ago-2022</v>
      </c>
      <c r="D80" s="377">
        <v>44782</v>
      </c>
      <c r="E80" s="102" t="s">
        <v>22</v>
      </c>
      <c r="F80" s="102" t="s">
        <v>17</v>
      </c>
      <c r="G80" s="398">
        <v>-149800</v>
      </c>
      <c r="H80" s="398">
        <f>Banco[[#This Row],[cargos]]*-1</f>
        <v>149800</v>
      </c>
      <c r="I80" s="398">
        <v>0</v>
      </c>
      <c r="J80" s="398">
        <v>28154644</v>
      </c>
      <c r="K80" s="398">
        <f>+Banco[[#This Row],[cargos]]+Banco[[#This Row],[Ingresos]]</f>
        <v>-149800</v>
      </c>
      <c r="L80" s="379" t="s">
        <v>23</v>
      </c>
      <c r="M80" s="379" t="str">
        <f>MID(Banco[[#This Row],[CtaCtbl]],FIND(" - ",Banco[[#This Row],[CtaCtbl]])+3,40)</f>
        <v>Asesoria Legal - Convenio Fijo Mensual</v>
      </c>
      <c r="N80" s="380" t="s">
        <v>63</v>
      </c>
      <c r="O80" s="379"/>
    </row>
    <row r="81" spans="1:15" hidden="1">
      <c r="A81" s="375">
        <f>YEAR(Banco[[#This Row],[Fecha]])</f>
        <v>2022</v>
      </c>
      <c r="B81" s="375" t="str">
        <f>PROPER(TEXT(Banco[[#This Row],[Fecha]],"MMMM"))</f>
        <v>Agosto</v>
      </c>
      <c r="C81" s="376" t="str">
        <f>TEXT(Banco[[#This Row],[Fecha]],"mmm-yyyy")</f>
        <v>ago-2022</v>
      </c>
      <c r="D81" s="377">
        <v>44783</v>
      </c>
      <c r="E81" s="102" t="s">
        <v>29</v>
      </c>
      <c r="F81" s="102" t="s">
        <v>17</v>
      </c>
      <c r="G81" s="398">
        <v>-61230</v>
      </c>
      <c r="H81" s="398">
        <f>Banco[[#This Row],[cargos]]*-1</f>
        <v>61230</v>
      </c>
      <c r="I81" s="398">
        <v>0</v>
      </c>
      <c r="J81" s="398">
        <v>28093414</v>
      </c>
      <c r="K81" s="398">
        <f>+Banco[[#This Row],[cargos]]+Banco[[#This Row],[Ingresos]]</f>
        <v>-61230</v>
      </c>
      <c r="L81" s="379" t="s">
        <v>42</v>
      </c>
      <c r="M81" s="379" t="str">
        <f>MID(Banco[[#This Row],[CtaCtbl]],FIND(" - ",Banco[[#This Row],[CtaCtbl]])+3,40)</f>
        <v>Otros gastos varios</v>
      </c>
      <c r="N81" s="379"/>
      <c r="O81" s="379"/>
    </row>
    <row r="82" spans="1:15" hidden="1">
      <c r="A82" s="375">
        <f>YEAR(Banco[[#This Row],[Fecha]])</f>
        <v>2022</v>
      </c>
      <c r="B82" s="375" t="str">
        <f>PROPER(TEXT(Banco[[#This Row],[Fecha]],"MMMM"))</f>
        <v>Agosto</v>
      </c>
      <c r="C82" s="376" t="str">
        <f>TEXT(Banco[[#This Row],[Fecha]],"mmm-yyyy")</f>
        <v>ago-2022</v>
      </c>
      <c r="D82" s="377">
        <v>44784</v>
      </c>
      <c r="E82" s="102" t="s">
        <v>22</v>
      </c>
      <c r="F82" s="102" t="s">
        <v>17</v>
      </c>
      <c r="G82" s="398">
        <v>-149800</v>
      </c>
      <c r="H82" s="398">
        <f>Banco[[#This Row],[cargos]]*-1</f>
        <v>149800</v>
      </c>
      <c r="I82" s="398">
        <v>0</v>
      </c>
      <c r="J82" s="398">
        <v>27943614</v>
      </c>
      <c r="K82" s="398">
        <f>+Banco[[#This Row],[cargos]]+Banco[[#This Row],[Ingresos]]</f>
        <v>-149800</v>
      </c>
      <c r="L82" s="379" t="s">
        <v>23</v>
      </c>
      <c r="M82" s="379" t="str">
        <f>MID(Banco[[#This Row],[CtaCtbl]],FIND(" - ",Banco[[#This Row],[CtaCtbl]])+3,40)</f>
        <v>Asesoria Legal - Convenio Fijo Mensual</v>
      </c>
      <c r="N82" s="380" t="s">
        <v>64</v>
      </c>
      <c r="O82" s="379"/>
    </row>
    <row r="83" spans="1:15" hidden="1">
      <c r="A83" s="375">
        <f>YEAR(Banco[[#This Row],[Fecha]])</f>
        <v>2022</v>
      </c>
      <c r="B83" s="375" t="str">
        <f>PROPER(TEXT(Banco[[#This Row],[Fecha]],"MMMM"))</f>
        <v>Agosto</v>
      </c>
      <c r="C83" s="376" t="str">
        <f>TEXT(Banco[[#This Row],[Fecha]],"mmm-yyyy")</f>
        <v>ago-2022</v>
      </c>
      <c r="D83" s="377">
        <v>44784</v>
      </c>
      <c r="E83" s="102" t="s">
        <v>22</v>
      </c>
      <c r="F83" s="102" t="s">
        <v>17</v>
      </c>
      <c r="G83" s="398">
        <v>-149800</v>
      </c>
      <c r="H83" s="398">
        <f>Banco[[#This Row],[cargos]]*-1</f>
        <v>149800</v>
      </c>
      <c r="I83" s="398">
        <v>0</v>
      </c>
      <c r="J83" s="398">
        <v>27793814</v>
      </c>
      <c r="K83" s="398">
        <f>+Banco[[#This Row],[cargos]]+Banco[[#This Row],[Ingresos]]</f>
        <v>-149800</v>
      </c>
      <c r="L83" s="379" t="s">
        <v>23</v>
      </c>
      <c r="M83" s="379" t="str">
        <f>MID(Banco[[#This Row],[CtaCtbl]],FIND(" - ",Banco[[#This Row],[CtaCtbl]])+3,40)</f>
        <v>Asesoria Legal - Convenio Fijo Mensual</v>
      </c>
      <c r="N83" s="380" t="s">
        <v>65</v>
      </c>
      <c r="O83" s="379"/>
    </row>
    <row r="84" spans="1:15" hidden="1">
      <c r="A84" s="375">
        <f>YEAR(Banco[[#This Row],[Fecha]])</f>
        <v>2022</v>
      </c>
      <c r="B84" s="375" t="str">
        <f>PROPER(TEXT(Banco[[#This Row],[Fecha]],"MMMM"))</f>
        <v>Agosto</v>
      </c>
      <c r="C84" s="376" t="str">
        <f>TEXT(Banco[[#This Row],[Fecha]],"mmm-yyyy")</f>
        <v>ago-2022</v>
      </c>
      <c r="D84" s="377">
        <v>44799</v>
      </c>
      <c r="E84" s="102" t="s">
        <v>15</v>
      </c>
      <c r="F84" s="102" t="s">
        <v>17</v>
      </c>
      <c r="G84" s="398">
        <v>0</v>
      </c>
      <c r="H84" s="398">
        <f>Banco[[#This Row],[cargos]]*-1</f>
        <v>0</v>
      </c>
      <c r="I84" s="398">
        <v>3603534</v>
      </c>
      <c r="J84" s="398">
        <v>31397348</v>
      </c>
      <c r="K84" s="398">
        <f>+Banco[[#This Row],[cargos]]+Banco[[#This Row],[Ingresos]]</f>
        <v>3603534</v>
      </c>
      <c r="L84" s="379" t="s">
        <v>18</v>
      </c>
      <c r="M84" s="379" t="str">
        <f>MID(Banco[[#This Row],[CtaCtbl]],FIND(" - ",Banco[[#This Row],[CtaCtbl]])+3,40)</f>
        <v>Cuota Ordinaria</v>
      </c>
      <c r="N84" s="379"/>
      <c r="O84" s="379"/>
    </row>
    <row r="85" spans="1:15" hidden="1">
      <c r="A85" s="375">
        <f>YEAR(Banco[[#This Row],[Fecha]])</f>
        <v>2022</v>
      </c>
      <c r="B85" s="375" t="str">
        <f>PROPER(TEXT(Banco[[#This Row],[Fecha]],"MMMM"))</f>
        <v>Septiembre</v>
      </c>
      <c r="C85" s="376" t="str">
        <f>TEXT(Banco[[#This Row],[Fecha]],"mmm-yyyy")</f>
        <v>sept-2022</v>
      </c>
      <c r="D85" s="377">
        <v>44805</v>
      </c>
      <c r="E85" s="102" t="s">
        <v>24</v>
      </c>
      <c r="F85" s="102" t="s">
        <v>17</v>
      </c>
      <c r="G85" s="398">
        <v>-20142</v>
      </c>
      <c r="H85" s="398">
        <f>Banco[[#This Row],[cargos]]*-1</f>
        <v>20142</v>
      </c>
      <c r="I85" s="398">
        <v>0</v>
      </c>
      <c r="J85" s="398">
        <v>31377206</v>
      </c>
      <c r="K85" s="398">
        <f>+Banco[[#This Row],[cargos]]+Banco[[#This Row],[Ingresos]]</f>
        <v>-20142</v>
      </c>
      <c r="L85" s="379" t="s">
        <v>25</v>
      </c>
      <c r="M85" s="379" t="str">
        <f>MID(Banco[[#This Row],[CtaCtbl]],FIND(" - ",Banco[[#This Row],[CtaCtbl]])+3,40)</f>
        <v>Pago Comisiones</v>
      </c>
      <c r="N85" s="379"/>
      <c r="O85" s="379"/>
    </row>
    <row r="86" spans="1:15" hidden="1">
      <c r="A86" s="375">
        <f>YEAR(Banco[[#This Row],[Fecha]])</f>
        <v>2022</v>
      </c>
      <c r="B86" s="375" t="str">
        <f>PROPER(TEXT(Banco[[#This Row],[Fecha]],"MMMM"))</f>
        <v>Septiembre</v>
      </c>
      <c r="C86" s="376" t="str">
        <f>TEXT(Banco[[#This Row],[Fecha]],"mmm-yyyy")</f>
        <v>sept-2022</v>
      </c>
      <c r="D86" s="377">
        <v>44826</v>
      </c>
      <c r="E86" s="102" t="s">
        <v>66</v>
      </c>
      <c r="F86" s="102" t="s">
        <v>17</v>
      </c>
      <c r="G86" s="398">
        <v>-211701</v>
      </c>
      <c r="H86" s="398">
        <f>Banco[[#This Row],[cargos]]*-1</f>
        <v>211701</v>
      </c>
      <c r="I86" s="398">
        <v>0</v>
      </c>
      <c r="J86" s="398">
        <v>31165505</v>
      </c>
      <c r="K86" s="398">
        <f>+Banco[[#This Row],[cargos]]+Banco[[#This Row],[Ingresos]]</f>
        <v>-211701</v>
      </c>
      <c r="L86" s="379" t="s">
        <v>535</v>
      </c>
      <c r="M86" s="379" t="str">
        <f>MID(Banco[[#This Row],[CtaCtbl]],FIND(" - ",Banco[[#This Row],[CtaCtbl]])+3,40)</f>
        <v>Regalo Corportivo (Aniversario)</v>
      </c>
      <c r="N86" s="380" t="s">
        <v>68</v>
      </c>
      <c r="O86" s="379"/>
    </row>
    <row r="87" spans="1:15" hidden="1">
      <c r="A87" s="375">
        <f>YEAR(Banco[[#This Row],[Fecha]])</f>
        <v>2022</v>
      </c>
      <c r="B87" s="375" t="str">
        <f>PROPER(TEXT(Banco[[#This Row],[Fecha]],"MMMM"))</f>
        <v>Septiembre</v>
      </c>
      <c r="C87" s="376" t="str">
        <f>TEXT(Banco[[#This Row],[Fecha]],"mmm-yyyy")</f>
        <v>sept-2022</v>
      </c>
      <c r="D87" s="377">
        <v>44827</v>
      </c>
      <c r="E87" s="102" t="s">
        <v>66</v>
      </c>
      <c r="F87" s="102" t="s">
        <v>17</v>
      </c>
      <c r="G87" s="398">
        <v>-5000000</v>
      </c>
      <c r="H87" s="398">
        <f>Banco[[#This Row],[cargos]]*-1</f>
        <v>5000000</v>
      </c>
      <c r="I87" s="398">
        <v>0</v>
      </c>
      <c r="J87" s="398">
        <v>26165505</v>
      </c>
      <c r="K87" s="398">
        <f>+Banco[[#This Row],[cargos]]+Banco[[#This Row],[Ingresos]]</f>
        <v>-5000000</v>
      </c>
      <c r="L87" s="379" t="s">
        <v>535</v>
      </c>
      <c r="M87" s="379" t="str">
        <f>MID(Banco[[#This Row],[CtaCtbl]],FIND(" - ",Banco[[#This Row],[CtaCtbl]])+3,40)</f>
        <v>Regalo Corportivo (Aniversario)</v>
      </c>
      <c r="N87" s="380" t="s">
        <v>69</v>
      </c>
      <c r="O87" s="379"/>
    </row>
    <row r="88" spans="1:15" hidden="1">
      <c r="A88" s="375">
        <f>YEAR(Banco[[#This Row],[Fecha]])</f>
        <v>2022</v>
      </c>
      <c r="B88" s="375" t="str">
        <f>PROPER(TEXT(Banco[[#This Row],[Fecha]],"MMMM"))</f>
        <v>Septiembre</v>
      </c>
      <c r="C88" s="376" t="str">
        <f>TEXT(Banco[[#This Row],[Fecha]],"mmm-yyyy")</f>
        <v>sept-2022</v>
      </c>
      <c r="D88" s="377">
        <v>44830</v>
      </c>
      <c r="E88" s="102" t="s">
        <v>15</v>
      </c>
      <c r="F88" s="102" t="s">
        <v>17</v>
      </c>
      <c r="G88" s="398">
        <v>0</v>
      </c>
      <c r="H88" s="398">
        <f>Banco[[#This Row],[cargos]]*-1</f>
        <v>0</v>
      </c>
      <c r="I88" s="398">
        <v>3648477</v>
      </c>
      <c r="J88" s="398">
        <v>29813982</v>
      </c>
      <c r="K88" s="398">
        <f>+Banco[[#This Row],[cargos]]+Banco[[#This Row],[Ingresos]]</f>
        <v>3648477</v>
      </c>
      <c r="L88" s="379" t="s">
        <v>18</v>
      </c>
      <c r="M88" s="379" t="str">
        <f>MID(Banco[[#This Row],[CtaCtbl]],FIND(" - ",Banco[[#This Row],[CtaCtbl]])+3,40)</f>
        <v>Cuota Ordinaria</v>
      </c>
      <c r="N88" s="379"/>
      <c r="O88" s="379"/>
    </row>
    <row r="89" spans="1:15" hidden="1">
      <c r="A89" s="375">
        <f>YEAR(Banco[[#This Row],[Fecha]])</f>
        <v>2022</v>
      </c>
      <c r="B89" s="375" t="str">
        <f>PROPER(TEXT(Banco[[#This Row],[Fecha]],"MMMM"))</f>
        <v>Septiembre</v>
      </c>
      <c r="C89" s="376" t="str">
        <f>TEXT(Banco[[#This Row],[Fecha]],"mmm-yyyy")</f>
        <v>sept-2022</v>
      </c>
      <c r="D89" s="377">
        <v>44831</v>
      </c>
      <c r="E89" s="102" t="s">
        <v>66</v>
      </c>
      <c r="F89" s="102" t="s">
        <v>17</v>
      </c>
      <c r="G89" s="398">
        <v>-164000</v>
      </c>
      <c r="H89" s="398">
        <f>Banco[[#This Row],[cargos]]*-1</f>
        <v>164000</v>
      </c>
      <c r="I89" s="398">
        <v>0</v>
      </c>
      <c r="J89" s="398">
        <v>29649982</v>
      </c>
      <c r="K89" s="398">
        <f>+Banco[[#This Row],[cargos]]+Banco[[#This Row],[Ingresos]]</f>
        <v>-164000</v>
      </c>
      <c r="L89" s="379" t="s">
        <v>535</v>
      </c>
      <c r="M89" s="379" t="str">
        <f>MID(Banco[[#This Row],[CtaCtbl]],FIND(" - ",Banco[[#This Row],[CtaCtbl]])+3,40)</f>
        <v>Regalo Corportivo (Aniversario)</v>
      </c>
      <c r="N89" s="380" t="s">
        <v>70</v>
      </c>
      <c r="O89" s="379"/>
    </row>
    <row r="90" spans="1:15" hidden="1">
      <c r="A90" s="375">
        <f>YEAR(Banco[[#This Row],[Fecha]])</f>
        <v>2022</v>
      </c>
      <c r="B90" s="375" t="str">
        <f>PROPER(TEXT(Banco[[#This Row],[Fecha]],"MMMM"))</f>
        <v>Octubre</v>
      </c>
      <c r="C90" s="376" t="str">
        <f>TEXT(Banco[[#This Row],[Fecha]],"mmm-yyyy")</f>
        <v>oct-2022</v>
      </c>
      <c r="D90" s="377">
        <v>44837</v>
      </c>
      <c r="E90" s="102" t="s">
        <v>24</v>
      </c>
      <c r="F90" s="102" t="s">
        <v>17</v>
      </c>
      <c r="G90" s="398">
        <v>-20409</v>
      </c>
      <c r="H90" s="398">
        <f>Banco[[#This Row],[cargos]]*-1</f>
        <v>20409</v>
      </c>
      <c r="I90" s="398">
        <v>0</v>
      </c>
      <c r="J90" s="398">
        <v>29629573</v>
      </c>
      <c r="K90" s="398">
        <f>+Banco[[#This Row],[cargos]]+Banco[[#This Row],[Ingresos]]</f>
        <v>-20409</v>
      </c>
      <c r="L90" s="379" t="s">
        <v>25</v>
      </c>
      <c r="M90" s="379" t="str">
        <f>MID(Banco[[#This Row],[CtaCtbl]],FIND(" - ",Banco[[#This Row],[CtaCtbl]])+3,40)</f>
        <v>Pago Comisiones</v>
      </c>
      <c r="N90" s="379"/>
      <c r="O90" s="379"/>
    </row>
    <row r="91" spans="1:15" hidden="1">
      <c r="A91" s="375">
        <f>YEAR(Banco[[#This Row],[Fecha]])</f>
        <v>2022</v>
      </c>
      <c r="B91" s="375" t="str">
        <f>PROPER(TEXT(Banco[[#This Row],[Fecha]],"MMMM"))</f>
        <v>Octubre</v>
      </c>
      <c r="C91" s="376" t="str">
        <f>TEXT(Banco[[#This Row],[Fecha]],"mmm-yyyy")</f>
        <v>oct-2022</v>
      </c>
      <c r="D91" s="377">
        <v>44860</v>
      </c>
      <c r="E91" s="102" t="s">
        <v>15</v>
      </c>
      <c r="F91" s="102" t="s">
        <v>17</v>
      </c>
      <c r="G91" s="398">
        <v>0</v>
      </c>
      <c r="H91" s="398">
        <f>Banco[[#This Row],[cargos]]*-1</f>
        <v>0</v>
      </c>
      <c r="I91" s="398">
        <v>3598400</v>
      </c>
      <c r="J91" s="398">
        <v>33227973</v>
      </c>
      <c r="K91" s="398">
        <f>+Banco[[#This Row],[cargos]]+Banco[[#This Row],[Ingresos]]</f>
        <v>3598400</v>
      </c>
      <c r="L91" s="379" t="s">
        <v>18</v>
      </c>
      <c r="M91" s="379" t="str">
        <f>MID(Banco[[#This Row],[CtaCtbl]],FIND(" - ",Banco[[#This Row],[CtaCtbl]])+3,40)</f>
        <v>Cuota Ordinaria</v>
      </c>
      <c r="N91" s="379"/>
      <c r="O91" s="379"/>
    </row>
    <row r="92" spans="1:15" hidden="1">
      <c r="A92" s="375">
        <f>YEAR(Banco[[#This Row],[Fecha]])</f>
        <v>2022</v>
      </c>
      <c r="B92" s="375" t="str">
        <f>PROPER(TEXT(Banco[[#This Row],[Fecha]],"MMMM"))</f>
        <v>Noviembre</v>
      </c>
      <c r="C92" s="376" t="str">
        <f>TEXT(Banco[[#This Row],[Fecha]],"mmm-yyyy")</f>
        <v>nov-2022</v>
      </c>
      <c r="D92" s="377">
        <v>44867</v>
      </c>
      <c r="E92" s="102" t="s">
        <v>24</v>
      </c>
      <c r="F92" s="102" t="s">
        <v>17</v>
      </c>
      <c r="G92" s="398">
        <v>-20599</v>
      </c>
      <c r="H92" s="398">
        <f>Banco[[#This Row],[cargos]]*-1</f>
        <v>20599</v>
      </c>
      <c r="I92" s="398">
        <v>0</v>
      </c>
      <c r="J92" s="398">
        <v>33207374</v>
      </c>
      <c r="K92" s="398">
        <f>+Banco[[#This Row],[cargos]]+Banco[[#This Row],[Ingresos]]</f>
        <v>-20599</v>
      </c>
      <c r="L92" s="379" t="s">
        <v>25</v>
      </c>
      <c r="M92" s="379" t="str">
        <f>MID(Banco[[#This Row],[CtaCtbl]],FIND(" - ",Banco[[#This Row],[CtaCtbl]])+3,40)</f>
        <v>Pago Comisiones</v>
      </c>
      <c r="N92" s="379"/>
      <c r="O92" s="379"/>
    </row>
    <row r="93" spans="1:15" hidden="1">
      <c r="A93" s="375">
        <f>YEAR(Banco[[#This Row],[Fecha]])</f>
        <v>2022</v>
      </c>
      <c r="B93" s="375" t="str">
        <f>PROPER(TEXT(Banco[[#This Row],[Fecha]],"MMMM"))</f>
        <v>Noviembre</v>
      </c>
      <c r="C93" s="376" t="str">
        <f>TEXT(Banco[[#This Row],[Fecha]],"mmm-yyyy")</f>
        <v>nov-2022</v>
      </c>
      <c r="D93" s="377">
        <v>44872</v>
      </c>
      <c r="E93" s="102" t="s">
        <v>22</v>
      </c>
      <c r="F93" s="102" t="s">
        <v>17</v>
      </c>
      <c r="G93" s="398">
        <v>-149800</v>
      </c>
      <c r="H93" s="398">
        <f>Banco[[#This Row],[cargos]]*-1</f>
        <v>149800</v>
      </c>
      <c r="I93" s="398">
        <v>0</v>
      </c>
      <c r="J93" s="398">
        <v>33057574</v>
      </c>
      <c r="K93" s="398">
        <f>+Banco[[#This Row],[cargos]]+Banco[[#This Row],[Ingresos]]</f>
        <v>-149800</v>
      </c>
      <c r="L93" s="379" t="s">
        <v>23</v>
      </c>
      <c r="M93" s="379" t="str">
        <f>MID(Banco[[#This Row],[CtaCtbl]],FIND(" - ",Banco[[#This Row],[CtaCtbl]])+3,40)</f>
        <v>Asesoria Legal - Convenio Fijo Mensual</v>
      </c>
      <c r="N93" s="380" t="s">
        <v>71</v>
      </c>
      <c r="O93" s="379"/>
    </row>
    <row r="94" spans="1:15" hidden="1">
      <c r="A94" s="375">
        <f>YEAR(Banco[[#This Row],[Fecha]])</f>
        <v>2022</v>
      </c>
      <c r="B94" s="375" t="str">
        <f>PROPER(TEXT(Banco[[#This Row],[Fecha]],"MMMM"))</f>
        <v>Noviembre</v>
      </c>
      <c r="C94" s="376" t="str">
        <f>TEXT(Banco[[#This Row],[Fecha]],"mmm-yyyy")</f>
        <v>nov-2022</v>
      </c>
      <c r="D94" s="377">
        <v>44872</v>
      </c>
      <c r="E94" s="102" t="s">
        <v>22</v>
      </c>
      <c r="F94" s="102" t="s">
        <v>17</v>
      </c>
      <c r="G94" s="398">
        <v>-149800</v>
      </c>
      <c r="H94" s="398">
        <f>Banco[[#This Row],[cargos]]*-1</f>
        <v>149800</v>
      </c>
      <c r="I94" s="398">
        <v>0</v>
      </c>
      <c r="J94" s="398">
        <v>32907774</v>
      </c>
      <c r="K94" s="398">
        <f>+Banco[[#This Row],[cargos]]+Banco[[#This Row],[Ingresos]]</f>
        <v>-149800</v>
      </c>
      <c r="L94" s="379" t="s">
        <v>23</v>
      </c>
      <c r="M94" s="379" t="str">
        <f>MID(Banco[[#This Row],[CtaCtbl]],FIND(" - ",Banco[[#This Row],[CtaCtbl]])+3,40)</f>
        <v>Asesoria Legal - Convenio Fijo Mensual</v>
      </c>
      <c r="N94" s="380" t="s">
        <v>72</v>
      </c>
      <c r="O94" s="379"/>
    </row>
    <row r="95" spans="1:15" hidden="1">
      <c r="A95" s="375">
        <f>YEAR(Banco[[#This Row],[Fecha]])</f>
        <v>2022</v>
      </c>
      <c r="B95" s="375" t="str">
        <f>PROPER(TEXT(Banco[[#This Row],[Fecha]],"MMMM"))</f>
        <v>Noviembre</v>
      </c>
      <c r="C95" s="376" t="str">
        <f>TEXT(Banco[[#This Row],[Fecha]],"mmm-yyyy")</f>
        <v>nov-2022</v>
      </c>
      <c r="D95" s="377">
        <v>44872</v>
      </c>
      <c r="E95" s="102" t="s">
        <v>22</v>
      </c>
      <c r="F95" s="102" t="s">
        <v>17</v>
      </c>
      <c r="G95" s="398">
        <v>-149800</v>
      </c>
      <c r="H95" s="398">
        <f>Banco[[#This Row],[cargos]]*-1</f>
        <v>149800</v>
      </c>
      <c r="I95" s="398">
        <v>0</v>
      </c>
      <c r="J95" s="398">
        <v>32757974</v>
      </c>
      <c r="K95" s="398">
        <f>+Banco[[#This Row],[cargos]]+Banco[[#This Row],[Ingresos]]</f>
        <v>-149800</v>
      </c>
      <c r="L95" s="379" t="s">
        <v>23</v>
      </c>
      <c r="M95" s="379" t="str">
        <f>MID(Banco[[#This Row],[CtaCtbl]],FIND(" - ",Banco[[#This Row],[CtaCtbl]])+3,40)</f>
        <v>Asesoria Legal - Convenio Fijo Mensual</v>
      </c>
      <c r="N95" s="380" t="s">
        <v>73</v>
      </c>
      <c r="O95" s="379"/>
    </row>
    <row r="96" spans="1:15" hidden="1">
      <c r="A96" s="375">
        <f>YEAR(Banco[[#This Row],[Fecha]])</f>
        <v>2022</v>
      </c>
      <c r="B96" s="375" t="str">
        <f>PROPER(TEXT(Banco[[#This Row],[Fecha]],"MMMM"))</f>
        <v>Noviembre</v>
      </c>
      <c r="C96" s="376" t="str">
        <f>TEXT(Banco[[#This Row],[Fecha]],"mmm-yyyy")</f>
        <v>nov-2022</v>
      </c>
      <c r="D96" s="377">
        <v>44890</v>
      </c>
      <c r="E96" s="102" t="s">
        <v>15</v>
      </c>
      <c r="F96" s="102" t="s">
        <v>17</v>
      </c>
      <c r="G96" s="398">
        <v>0</v>
      </c>
      <c r="H96" s="398">
        <f>Banco[[#This Row],[cargos]]*-1</f>
        <v>0</v>
      </c>
      <c r="I96" s="398">
        <v>3620448</v>
      </c>
      <c r="J96" s="398">
        <v>36378422</v>
      </c>
      <c r="K96" s="398">
        <f>+Banco[[#This Row],[cargos]]+Banco[[#This Row],[Ingresos]]</f>
        <v>3620448</v>
      </c>
      <c r="L96" s="379" t="s">
        <v>18</v>
      </c>
      <c r="M96" s="379" t="str">
        <f>MID(Banco[[#This Row],[CtaCtbl]],FIND(" - ",Banco[[#This Row],[CtaCtbl]])+3,40)</f>
        <v>Cuota Ordinaria</v>
      </c>
      <c r="N96" s="379"/>
      <c r="O96" s="379"/>
    </row>
    <row r="97" spans="1:15" hidden="1">
      <c r="A97" s="375">
        <f>YEAR(Banco[[#This Row],[Fecha]])</f>
        <v>2022</v>
      </c>
      <c r="B97" s="375" t="str">
        <f>PROPER(TEXT(Banco[[#This Row],[Fecha]],"MMMM"))</f>
        <v>Diciembre</v>
      </c>
      <c r="C97" s="376" t="str">
        <f>TEXT(Banco[[#This Row],[Fecha]],"mmm-yyyy")</f>
        <v>dic-2022</v>
      </c>
      <c r="D97" s="377">
        <v>44896</v>
      </c>
      <c r="E97" s="102" t="s">
        <v>24</v>
      </c>
      <c r="F97" s="102" t="s">
        <v>17</v>
      </c>
      <c r="G97" s="398">
        <v>-20717</v>
      </c>
      <c r="H97" s="398">
        <f>Banco[[#This Row],[cargos]]*-1</f>
        <v>20717</v>
      </c>
      <c r="I97" s="398">
        <v>0</v>
      </c>
      <c r="J97" s="398">
        <v>36357705</v>
      </c>
      <c r="K97" s="398">
        <f>+Banco[[#This Row],[cargos]]+Banco[[#This Row],[Ingresos]]</f>
        <v>-20717</v>
      </c>
      <c r="L97" s="379" t="s">
        <v>25</v>
      </c>
      <c r="M97" s="379" t="str">
        <f>MID(Banco[[#This Row],[CtaCtbl]],FIND(" - ",Banco[[#This Row],[CtaCtbl]])+3,40)</f>
        <v>Pago Comisiones</v>
      </c>
      <c r="N97" s="379"/>
      <c r="O97" s="379"/>
    </row>
    <row r="98" spans="1:15" hidden="1">
      <c r="A98" s="375">
        <f>YEAR(Banco[[#This Row],[Fecha]])</f>
        <v>2022</v>
      </c>
      <c r="B98" s="375" t="str">
        <f>PROPER(TEXT(Banco[[#This Row],[Fecha]],"MMMM"))</f>
        <v>Diciembre</v>
      </c>
      <c r="C98" s="376" t="str">
        <f>TEXT(Banco[[#This Row],[Fecha]],"mmm-yyyy")</f>
        <v>dic-2022</v>
      </c>
      <c r="D98" s="377">
        <v>44907</v>
      </c>
      <c r="E98" s="102" t="s">
        <v>29</v>
      </c>
      <c r="F98" s="102" t="s">
        <v>17</v>
      </c>
      <c r="G98" s="398">
        <v>-16000</v>
      </c>
      <c r="H98" s="398">
        <f>Banco[[#This Row],[cargos]]*-1</f>
        <v>16000</v>
      </c>
      <c r="I98" s="398">
        <v>0</v>
      </c>
      <c r="J98" s="398">
        <v>36319535</v>
      </c>
      <c r="K98" s="398">
        <f>+Banco[[#This Row],[cargos]]+Banco[[#This Row],[Ingresos]]</f>
        <v>-16000</v>
      </c>
      <c r="L98" s="379" t="s">
        <v>42</v>
      </c>
      <c r="M98" s="379" t="str">
        <f>MID(Banco[[#This Row],[CtaCtbl]],FIND(" - ",Banco[[#This Row],[CtaCtbl]])+3,40)</f>
        <v>Otros gastos varios</v>
      </c>
      <c r="N98" s="379"/>
      <c r="O98" s="379"/>
    </row>
    <row r="99" spans="1:15" hidden="1">
      <c r="A99" s="375">
        <f>YEAR(Banco[[#This Row],[Fecha]])</f>
        <v>2022</v>
      </c>
      <c r="B99" s="375" t="str">
        <f>PROPER(TEXT(Banco[[#This Row],[Fecha]],"MMMM"))</f>
        <v>Diciembre</v>
      </c>
      <c r="C99" s="376" t="str">
        <f>TEXT(Banco[[#This Row],[Fecha]],"mmm-yyyy")</f>
        <v>dic-2022</v>
      </c>
      <c r="D99" s="377">
        <v>44907</v>
      </c>
      <c r="E99" s="102" t="s">
        <v>19</v>
      </c>
      <c r="F99" s="102" t="s">
        <v>17</v>
      </c>
      <c r="G99" s="398">
        <v>-22170</v>
      </c>
      <c r="H99" s="398">
        <f>Banco[[#This Row],[cargos]]*-1</f>
        <v>22170</v>
      </c>
      <c r="I99" s="398">
        <v>0</v>
      </c>
      <c r="J99" s="398">
        <v>36335535</v>
      </c>
      <c r="K99" s="398">
        <f>+Banco[[#This Row],[cargos]]+Banco[[#This Row],[Ingresos]]</f>
        <v>-22170</v>
      </c>
      <c r="L99" s="379" t="s">
        <v>42</v>
      </c>
      <c r="M99" s="379" t="str">
        <f>MID(Banco[[#This Row],[CtaCtbl]],FIND(" - ",Banco[[#This Row],[CtaCtbl]])+3,40)</f>
        <v>Otros gastos varios</v>
      </c>
      <c r="N99" s="379"/>
      <c r="O99" s="379"/>
    </row>
    <row r="100" spans="1:15" hidden="1">
      <c r="A100" s="375">
        <f>YEAR(Banco[[#This Row],[Fecha]])</f>
        <v>2022</v>
      </c>
      <c r="B100" s="375" t="str">
        <f>PROPER(TEXT(Banco[[#This Row],[Fecha]],"MMMM"))</f>
        <v>Diciembre</v>
      </c>
      <c r="C100" s="376" t="str">
        <f>TEXT(Banco[[#This Row],[Fecha]],"mmm-yyyy")</f>
        <v>dic-2022</v>
      </c>
      <c r="D100" s="377">
        <v>44907</v>
      </c>
      <c r="E100" s="102" t="s">
        <v>21</v>
      </c>
      <c r="F100" s="102" t="s">
        <v>17</v>
      </c>
      <c r="G100" s="398">
        <v>-166969</v>
      </c>
      <c r="H100" s="398">
        <f>Banco[[#This Row],[cargos]]*-1</f>
        <v>166969</v>
      </c>
      <c r="I100" s="398">
        <v>0</v>
      </c>
      <c r="J100" s="398">
        <v>36152566</v>
      </c>
      <c r="K100" s="398">
        <f>+Banco[[#This Row],[cargos]]+Banco[[#This Row],[Ingresos]]</f>
        <v>-166969</v>
      </c>
      <c r="L100" s="379" t="s">
        <v>42</v>
      </c>
      <c r="M100" s="379" t="str">
        <f>MID(Banco[[#This Row],[CtaCtbl]],FIND(" - ",Banco[[#This Row],[CtaCtbl]])+3,40)</f>
        <v>Otros gastos varios</v>
      </c>
      <c r="N100" s="379"/>
      <c r="O100" s="379"/>
    </row>
    <row r="101" spans="1:15" hidden="1">
      <c r="A101" s="375">
        <f>YEAR(Banco[[#This Row],[Fecha]])</f>
        <v>2022</v>
      </c>
      <c r="B101" s="375" t="str">
        <f>PROPER(TEXT(Banco[[#This Row],[Fecha]],"MMMM"))</f>
        <v>Diciembre</v>
      </c>
      <c r="C101" s="376" t="str">
        <f>TEXT(Banco[[#This Row],[Fecha]],"mmm-yyyy")</f>
        <v>dic-2022</v>
      </c>
      <c r="D101" s="377">
        <v>44908</v>
      </c>
      <c r="E101" s="102" t="s">
        <v>29</v>
      </c>
      <c r="F101" s="102" t="s">
        <v>17</v>
      </c>
      <c r="G101" s="398">
        <v>-138902</v>
      </c>
      <c r="H101" s="398">
        <f>Banco[[#This Row],[cargos]]*-1</f>
        <v>138902</v>
      </c>
      <c r="I101" s="398">
        <v>0</v>
      </c>
      <c r="J101" s="398">
        <v>36013664</v>
      </c>
      <c r="K101" s="398">
        <f>+Banco[[#This Row],[cargos]]+Banco[[#This Row],[Ingresos]]</f>
        <v>-138902</v>
      </c>
      <c r="L101" s="379" t="s">
        <v>42</v>
      </c>
      <c r="M101" s="379" t="str">
        <f>MID(Banco[[#This Row],[CtaCtbl]],FIND(" - ",Banco[[#This Row],[CtaCtbl]])+3,40)</f>
        <v>Otros gastos varios</v>
      </c>
      <c r="N101" s="379"/>
      <c r="O101" s="379"/>
    </row>
    <row r="102" spans="1:15" hidden="1">
      <c r="A102" s="375">
        <f>YEAR(Banco[[#This Row],[Fecha]])</f>
        <v>2022</v>
      </c>
      <c r="B102" s="375" t="str">
        <f>PROPER(TEXT(Banco[[#This Row],[Fecha]],"MMMM"))</f>
        <v>Diciembre</v>
      </c>
      <c r="C102" s="376" t="str">
        <f>TEXT(Banco[[#This Row],[Fecha]],"mmm-yyyy")</f>
        <v>dic-2022</v>
      </c>
      <c r="D102" s="377">
        <v>44918</v>
      </c>
      <c r="E102" s="102" t="s">
        <v>15</v>
      </c>
      <c r="F102" s="102" t="s">
        <v>17</v>
      </c>
      <c r="G102" s="398">
        <v>0</v>
      </c>
      <c r="H102" s="398">
        <f>Banco[[#This Row],[cargos]]*-1</f>
        <v>0</v>
      </c>
      <c r="I102" s="398">
        <v>3633885</v>
      </c>
      <c r="J102" s="398">
        <v>39647549</v>
      </c>
      <c r="K102" s="398">
        <f>+Banco[[#This Row],[cargos]]+Banco[[#This Row],[Ingresos]]</f>
        <v>3633885</v>
      </c>
      <c r="L102" s="379" t="s">
        <v>18</v>
      </c>
      <c r="M102" s="379" t="str">
        <f>MID(Banco[[#This Row],[CtaCtbl]],FIND(" - ",Banco[[#This Row],[CtaCtbl]])+3,40)</f>
        <v>Cuota Ordinaria</v>
      </c>
      <c r="N102" s="379"/>
      <c r="O102" s="379"/>
    </row>
    <row r="103" spans="1:15" hidden="1">
      <c r="A103" s="375">
        <f>YEAR(Banco[[#This Row],[Fecha]])</f>
        <v>2022</v>
      </c>
      <c r="B103" s="375" t="str">
        <f>PROPER(TEXT(Banco[[#This Row],[Fecha]],"MMMM"))</f>
        <v>Diciembre</v>
      </c>
      <c r="C103" s="376" t="str">
        <f>TEXT(Banco[[#This Row],[Fecha]],"mmm-yyyy")</f>
        <v>dic-2022</v>
      </c>
      <c r="D103" s="377">
        <v>44923</v>
      </c>
      <c r="E103" s="102" t="s">
        <v>74</v>
      </c>
      <c r="F103" s="102" t="s">
        <v>17</v>
      </c>
      <c r="G103" s="398">
        <v>0</v>
      </c>
      <c r="H103" s="398">
        <f>Banco[[#This Row],[cargos]]*-1</f>
        <v>0</v>
      </c>
      <c r="I103" s="398">
        <v>138362</v>
      </c>
      <c r="J103" s="398">
        <v>39785911</v>
      </c>
      <c r="K103" s="398">
        <f>+Banco[[#This Row],[cargos]]+Banco[[#This Row],[Ingresos]]</f>
        <v>138362</v>
      </c>
      <c r="L103" s="379" t="s">
        <v>53</v>
      </c>
      <c r="M103" s="379" t="str">
        <f>MID(Banco[[#This Row],[CtaCtbl]],FIND(" - ",Banco[[#This Row],[CtaCtbl]])+3,40)</f>
        <v>Otros Aportes</v>
      </c>
      <c r="N103" s="379" t="s">
        <v>75</v>
      </c>
      <c r="O103" s="379"/>
    </row>
    <row r="104" spans="1:15" hidden="1">
      <c r="A104" s="375">
        <f>YEAR(Banco[[#This Row],[Fecha]])</f>
        <v>2023</v>
      </c>
      <c r="B104" s="375" t="str">
        <f>PROPER(TEXT(Banco[[#This Row],[Fecha]],"MMMM"))</f>
        <v>Enero</v>
      </c>
      <c r="C104" s="376" t="str">
        <f>TEXT(Banco[[#This Row],[Fecha]],"mmm-yyyy")</f>
        <v>ene-2023</v>
      </c>
      <c r="D104" s="377">
        <v>44929</v>
      </c>
      <c r="E104" s="382" t="s">
        <v>24</v>
      </c>
      <c r="F104" s="102"/>
      <c r="G104" s="398">
        <v>-20911</v>
      </c>
      <c r="H104" s="398">
        <f>Banco[[#This Row],[cargos]]*-1</f>
        <v>20911</v>
      </c>
      <c r="I104" s="398">
        <v>0</v>
      </c>
      <c r="J104" s="398">
        <v>0</v>
      </c>
      <c r="K104" s="398">
        <f>+Banco[[#This Row],[cargos]]+Banco[[#This Row],[Ingresos]]</f>
        <v>-20911</v>
      </c>
      <c r="L104" s="379" t="s">
        <v>25</v>
      </c>
      <c r="M104" s="379" t="str">
        <f>MID(Banco[[#This Row],[CtaCtbl]],FIND(" - ",Banco[[#This Row],[CtaCtbl]])+3,40)</f>
        <v>Pago Comisiones</v>
      </c>
      <c r="N104" s="379"/>
      <c r="O104" s="379"/>
    </row>
    <row r="105" spans="1:15" hidden="1">
      <c r="A105" s="375">
        <f>YEAR(Banco[[#This Row],[Fecha]])</f>
        <v>2023</v>
      </c>
      <c r="B105" s="375" t="str">
        <f>PROPER(TEXT(Banco[[#This Row],[Fecha]],"MMMM"))</f>
        <v>Enero</v>
      </c>
      <c r="C105" s="376" t="str">
        <f>TEXT(Banco[[#This Row],[Fecha]],"mmm-yyyy")</f>
        <v>ene-2023</v>
      </c>
      <c r="D105" s="377">
        <v>44952</v>
      </c>
      <c r="E105" s="382" t="s">
        <v>15</v>
      </c>
      <c r="F105" s="102"/>
      <c r="G105" s="398">
        <v>0</v>
      </c>
      <c r="H105" s="398">
        <f>Banco[[#This Row],[cargos]]*-1</f>
        <v>0</v>
      </c>
      <c r="I105" s="398">
        <v>3617020</v>
      </c>
      <c r="J105" s="398"/>
      <c r="K105" s="398">
        <f>+Banco[[#This Row],[cargos]]+Banco[[#This Row],[Ingresos]]</f>
        <v>3617020</v>
      </c>
      <c r="L105" s="379" t="s">
        <v>18</v>
      </c>
      <c r="M105" s="379" t="str">
        <f>MID(Banco[[#This Row],[CtaCtbl]],FIND(" - ",Banco[[#This Row],[CtaCtbl]])+3,40)</f>
        <v>Cuota Ordinaria</v>
      </c>
      <c r="N105" s="379"/>
      <c r="O105" s="379"/>
    </row>
    <row r="106" spans="1:15" hidden="1">
      <c r="A106" s="375">
        <f>YEAR(Banco[[#This Row],[Fecha]])</f>
        <v>2023</v>
      </c>
      <c r="B106" s="375" t="str">
        <f>PROPER(TEXT(Banco[[#This Row],[Fecha]],"MMMM"))</f>
        <v>Febrero</v>
      </c>
      <c r="C106" s="376" t="str">
        <f>TEXT(Banco[[#This Row],[Fecha]],"mmm-yyyy")</f>
        <v>feb-2023</v>
      </c>
      <c r="D106" s="377">
        <v>44958</v>
      </c>
      <c r="E106" s="382" t="s">
        <v>24</v>
      </c>
      <c r="F106" s="102"/>
      <c r="G106" s="398">
        <v>-20998</v>
      </c>
      <c r="H106" s="398">
        <f>Banco[[#This Row],[cargos]]*-1</f>
        <v>20998</v>
      </c>
      <c r="I106" s="398">
        <v>0</v>
      </c>
      <c r="J106" s="398"/>
      <c r="K106" s="398">
        <f>+Banco[[#This Row],[cargos]]+Banco[[#This Row],[Ingresos]]</f>
        <v>-20998</v>
      </c>
      <c r="L106" s="379" t="s">
        <v>25</v>
      </c>
      <c r="M106" s="379" t="str">
        <f>MID(Banco[[#This Row],[CtaCtbl]],FIND(" - ",Banco[[#This Row],[CtaCtbl]])+3,40)</f>
        <v>Pago Comisiones</v>
      </c>
      <c r="N106" s="379"/>
      <c r="O106" s="379"/>
    </row>
    <row r="107" spans="1:15" hidden="1">
      <c r="A107" s="375">
        <f>YEAR(Banco[[#This Row],[Fecha]])</f>
        <v>2023</v>
      </c>
      <c r="B107" s="375" t="str">
        <f>PROPER(TEXT(Banco[[#This Row],[Fecha]],"MMMM"))</f>
        <v>Febrero</v>
      </c>
      <c r="C107" s="376" t="str">
        <f>TEXT(Banco[[#This Row],[Fecha]],"mmm-yyyy")</f>
        <v>feb-2023</v>
      </c>
      <c r="D107" s="377">
        <v>44958</v>
      </c>
      <c r="E107" s="382" t="s">
        <v>76</v>
      </c>
      <c r="F107" s="102"/>
      <c r="G107" s="398">
        <v>-218440</v>
      </c>
      <c r="H107" s="398">
        <f>Banco[[#This Row],[cargos]]*-1</f>
        <v>218440</v>
      </c>
      <c r="I107" s="398">
        <v>0</v>
      </c>
      <c r="J107" s="398"/>
      <c r="K107" s="398">
        <f>+Banco[[#This Row],[cargos]]+Banco[[#This Row],[Ingresos]]</f>
        <v>-218440</v>
      </c>
      <c r="L107" s="379" t="s">
        <v>23</v>
      </c>
      <c r="M107" s="379" t="str">
        <f>MID(Banco[[#This Row],[CtaCtbl]],FIND(" - ",Banco[[#This Row],[CtaCtbl]])+3,40)</f>
        <v>Asesoria Legal - Convenio Fijo Mensual</v>
      </c>
      <c r="N107" s="379"/>
      <c r="O107" s="379"/>
    </row>
    <row r="108" spans="1:15" hidden="1">
      <c r="A108" s="375">
        <f>YEAR(Banco[[#This Row],[Fecha]])</f>
        <v>2023</v>
      </c>
      <c r="B108" s="375" t="str">
        <f>PROPER(TEXT(Banco[[#This Row],[Fecha]],"MMMM"))</f>
        <v>Febrero</v>
      </c>
      <c r="C108" s="376" t="str">
        <f>TEXT(Banco[[#This Row],[Fecha]],"mmm-yyyy")</f>
        <v>feb-2023</v>
      </c>
      <c r="D108" s="377">
        <v>44984</v>
      </c>
      <c r="E108" s="102" t="s">
        <v>15</v>
      </c>
      <c r="F108" s="102"/>
      <c r="G108" s="398">
        <v>0</v>
      </c>
      <c r="H108" s="398">
        <f>Banco[[#This Row],[cargos]]*-1</f>
        <v>0</v>
      </c>
      <c r="I108" s="398">
        <v>3622020</v>
      </c>
      <c r="J108" s="398"/>
      <c r="K108" s="398">
        <f>+Banco[[#This Row],[cargos]]+Banco[[#This Row],[Ingresos]]</f>
        <v>3622020</v>
      </c>
      <c r="L108" s="379" t="s">
        <v>18</v>
      </c>
      <c r="M108" s="379" t="str">
        <f>MID(Banco[[#This Row],[CtaCtbl]],FIND(" - ",Banco[[#This Row],[CtaCtbl]])+3,40)</f>
        <v>Cuota Ordinaria</v>
      </c>
      <c r="N108" s="379"/>
      <c r="O108" s="379"/>
    </row>
    <row r="109" spans="1:15" hidden="1">
      <c r="A109" s="375">
        <f>YEAR(Banco[[#This Row],[Fecha]])</f>
        <v>2023</v>
      </c>
      <c r="B109" s="375" t="str">
        <f>PROPER(TEXT(Banco[[#This Row],[Fecha]],"MMMM"))</f>
        <v>Marzo</v>
      </c>
      <c r="C109" s="376" t="str">
        <f>TEXT(Banco[[#This Row],[Fecha]],"mmm-yyyy")</f>
        <v>mar-2023</v>
      </c>
      <c r="D109" s="377">
        <v>44986</v>
      </c>
      <c r="E109" s="382" t="s">
        <v>24</v>
      </c>
      <c r="F109" s="102"/>
      <c r="G109" s="398">
        <v>-21134</v>
      </c>
      <c r="H109" s="398">
        <f>Banco[[#This Row],[cargos]]*-1</f>
        <v>21134</v>
      </c>
      <c r="I109" s="398">
        <v>0</v>
      </c>
      <c r="J109" s="398">
        <v>0</v>
      </c>
      <c r="K109" s="398">
        <f>+Banco[[#This Row],[cargos]]+Banco[[#This Row],[Ingresos]]</f>
        <v>-21134</v>
      </c>
      <c r="L109" s="379" t="s">
        <v>25</v>
      </c>
      <c r="M109" s="379" t="str">
        <f>MID(Banco[[#This Row],[CtaCtbl]],FIND(" - ",Banco[[#This Row],[CtaCtbl]])+3,40)</f>
        <v>Pago Comisiones</v>
      </c>
      <c r="N109" s="379"/>
      <c r="O109" s="379"/>
    </row>
    <row r="110" spans="1:15" hidden="1">
      <c r="A110" s="375">
        <f>YEAR(Banco[[#This Row],[Fecha]])</f>
        <v>2023</v>
      </c>
      <c r="B110" s="375" t="str">
        <f>PROPER(TEXT(Banco[[#This Row],[Fecha]],"MMMM"))</f>
        <v>Marzo</v>
      </c>
      <c r="C110" s="376" t="str">
        <f>TEXT(Banco[[#This Row],[Fecha]],"mmm-yyyy")</f>
        <v>mar-2023</v>
      </c>
      <c r="D110" s="377">
        <v>45009</v>
      </c>
      <c r="E110" s="102" t="s">
        <v>15</v>
      </c>
      <c r="F110" s="102">
        <v>3264907777</v>
      </c>
      <c r="G110" s="398">
        <v>0</v>
      </c>
      <c r="H110" s="398">
        <f>Banco[[#This Row],[cargos]]*-1</f>
        <v>0</v>
      </c>
      <c r="I110" s="398">
        <v>3610964</v>
      </c>
      <c r="J110" s="398">
        <v>50354432</v>
      </c>
      <c r="K110" s="398">
        <f>+Banco[[#This Row],[cargos]]+Banco[[#This Row],[Ingresos]]</f>
        <v>3610964</v>
      </c>
      <c r="L110" s="379" t="s">
        <v>18</v>
      </c>
      <c r="M110" s="379" t="str">
        <f>MID(Banco[[#This Row],[CtaCtbl]],FIND(" - ",Banco[[#This Row],[CtaCtbl]])+3,40)</f>
        <v>Cuota Ordinaria</v>
      </c>
      <c r="N110" s="379"/>
      <c r="O110" s="379"/>
    </row>
    <row r="111" spans="1:15" hidden="1">
      <c r="A111" s="375">
        <f>YEAR(Banco[[#This Row],[Fecha]])</f>
        <v>2023</v>
      </c>
      <c r="B111" s="375" t="str">
        <f>PROPER(TEXT(Banco[[#This Row],[Fecha]],"MMMM"))</f>
        <v>Abril</v>
      </c>
      <c r="C111" s="376" t="str">
        <f>TEXT(Banco[[#This Row],[Fecha]],"mmm-yyyy")</f>
        <v>abr-2023</v>
      </c>
      <c r="D111" s="377">
        <v>45019</v>
      </c>
      <c r="E111" s="102" t="s">
        <v>24</v>
      </c>
      <c r="F111" s="102">
        <v>3284296635</v>
      </c>
      <c r="G111" s="398">
        <v>-21165</v>
      </c>
      <c r="H111" s="398">
        <f>Banco[[#This Row],[cargos]]*-1</f>
        <v>21165</v>
      </c>
      <c r="I111" s="398">
        <v>0</v>
      </c>
      <c r="J111" s="398">
        <v>50333267</v>
      </c>
      <c r="K111" s="398">
        <f>+Banco[[#This Row],[cargos]]+Banco[[#This Row],[Ingresos]]</f>
        <v>-21165</v>
      </c>
      <c r="L111" s="379" t="s">
        <v>25</v>
      </c>
      <c r="M111" s="379" t="str">
        <f>MID(Banco[[#This Row],[CtaCtbl]],FIND(" - ",Banco[[#This Row],[CtaCtbl]])+3,40)</f>
        <v>Pago Comisiones</v>
      </c>
      <c r="N111" s="379"/>
      <c r="O111" s="379"/>
    </row>
    <row r="112" spans="1:15" hidden="1">
      <c r="A112" s="375">
        <f>YEAR(Banco[[#This Row],[Fecha]])</f>
        <v>2023</v>
      </c>
      <c r="B112" s="375" t="str">
        <f>PROPER(TEXT(Banco[[#This Row],[Fecha]],"MMMM"))</f>
        <v>Abril</v>
      </c>
      <c r="C112" s="376" t="str">
        <f>TEXT(Banco[[#This Row],[Fecha]],"mmm-yyyy")</f>
        <v>abr-2023</v>
      </c>
      <c r="D112" s="377">
        <v>45029</v>
      </c>
      <c r="E112" s="102" t="s">
        <v>22</v>
      </c>
      <c r="F112" s="102">
        <v>3301986905</v>
      </c>
      <c r="G112" s="398">
        <v>-448920</v>
      </c>
      <c r="H112" s="398">
        <f>Banco[[#This Row],[cargos]]*-1</f>
        <v>448920</v>
      </c>
      <c r="I112" s="398">
        <v>0</v>
      </c>
      <c r="J112" s="398">
        <v>49884347</v>
      </c>
      <c r="K112" s="398">
        <f>+Banco[[#This Row],[cargos]]+Banco[[#This Row],[Ingresos]]</f>
        <v>-448920</v>
      </c>
      <c r="L112" s="379" t="s">
        <v>23</v>
      </c>
      <c r="M112" s="379" t="str">
        <f>MID(Banco[[#This Row],[CtaCtbl]],FIND(" - ",Banco[[#This Row],[CtaCtbl]])+3,40)</f>
        <v>Asesoria Legal - Convenio Fijo Mensual</v>
      </c>
      <c r="N112" s="379"/>
      <c r="O112" s="379"/>
    </row>
    <row r="113" spans="1:15" hidden="1">
      <c r="A113" s="375">
        <f>YEAR(Banco[[#This Row],[Fecha]])</f>
        <v>2023</v>
      </c>
      <c r="B113" s="375" t="str">
        <f>PROPER(TEXT(Banco[[#This Row],[Fecha]],"MMMM"))</f>
        <v>Abril</v>
      </c>
      <c r="C113" s="376" t="str">
        <f>TEXT(Banco[[#This Row],[Fecha]],"mmm-yyyy")</f>
        <v>abr-2023</v>
      </c>
      <c r="D113" s="377">
        <v>45037</v>
      </c>
      <c r="E113" s="102" t="s">
        <v>15</v>
      </c>
      <c r="F113" s="102">
        <v>3315833089</v>
      </c>
      <c r="G113" s="398">
        <v>0</v>
      </c>
      <c r="H113" s="398">
        <f>Banco[[#This Row],[cargos]]*-1</f>
        <v>0</v>
      </c>
      <c r="I113" s="398">
        <v>2134184</v>
      </c>
      <c r="J113" s="398">
        <v>52018531</v>
      </c>
      <c r="K113" s="398">
        <f>+Banco[[#This Row],[cargos]]+Banco[[#This Row],[Ingresos]]</f>
        <v>2134184</v>
      </c>
      <c r="L113" s="379" t="s">
        <v>16</v>
      </c>
      <c r="M113" s="379" t="str">
        <f>MID(Banco[[#This Row],[CtaCtbl]],FIND(" - ",Banco[[#This Row],[CtaCtbl]])+3,40)</f>
        <v>Cuota Extraordinaria</v>
      </c>
      <c r="N113" s="379"/>
      <c r="O113" s="379"/>
    </row>
    <row r="114" spans="1:15" hidden="1">
      <c r="A114" s="375">
        <f>YEAR(Banco[[#This Row],[Fecha]])</f>
        <v>2023</v>
      </c>
      <c r="B114" s="375" t="str">
        <f>PROPER(TEXT(Banco[[#This Row],[Fecha]],"MMMM"))</f>
        <v>Abril</v>
      </c>
      <c r="C114" s="376" t="str">
        <f>TEXT(Banco[[#This Row],[Fecha]],"mmm-yyyy")</f>
        <v>abr-2023</v>
      </c>
      <c r="D114" s="377">
        <v>45037</v>
      </c>
      <c r="E114" s="102" t="s">
        <v>29</v>
      </c>
      <c r="F114" s="102">
        <v>3316135465</v>
      </c>
      <c r="G114" s="398">
        <v>-165000</v>
      </c>
      <c r="H114" s="398">
        <f>Banco[[#This Row],[cargos]]*-1</f>
        <v>165000</v>
      </c>
      <c r="I114" s="398">
        <v>0</v>
      </c>
      <c r="J114" s="398">
        <v>51853531</v>
      </c>
      <c r="K114" s="398">
        <f>+Banco[[#This Row],[cargos]]+Banco[[#This Row],[Ingresos]]</f>
        <v>-165000</v>
      </c>
      <c r="L114" s="379" t="s">
        <v>42</v>
      </c>
      <c r="M114" s="379" t="str">
        <f>MID(Banco[[#This Row],[CtaCtbl]],FIND(" - ",Banco[[#This Row],[CtaCtbl]])+3,40)</f>
        <v>Otros gastos varios</v>
      </c>
      <c r="N114" s="379"/>
      <c r="O114" s="379"/>
    </row>
    <row r="115" spans="1:15" hidden="1">
      <c r="A115" s="375">
        <f>YEAR(Banco[[#This Row],[Fecha]])</f>
        <v>2023</v>
      </c>
      <c r="B115" s="375" t="str">
        <f>PROPER(TEXT(Banco[[#This Row],[Fecha]],"MMMM"))</f>
        <v>Abril</v>
      </c>
      <c r="C115" s="376" t="str">
        <f>TEXT(Banco[[#This Row],[Fecha]],"mmm-yyyy")</f>
        <v>abr-2023</v>
      </c>
      <c r="D115" s="377">
        <v>45043</v>
      </c>
      <c r="E115" s="102" t="s">
        <v>15</v>
      </c>
      <c r="F115" s="102">
        <v>3325691343</v>
      </c>
      <c r="G115" s="398">
        <v>0</v>
      </c>
      <c r="H115" s="398">
        <f>Banco[[#This Row],[cargos]]*-1</f>
        <v>0</v>
      </c>
      <c r="I115" s="398">
        <v>3619638</v>
      </c>
      <c r="J115" s="398">
        <v>55473169</v>
      </c>
      <c r="K115" s="398">
        <f>+Banco[[#This Row],[cargos]]+Banco[[#This Row],[Ingresos]]</f>
        <v>3619638</v>
      </c>
      <c r="L115" s="379" t="s">
        <v>18</v>
      </c>
      <c r="M115" s="379" t="str">
        <f>MID(Banco[[#This Row],[CtaCtbl]],FIND(" - ",Banco[[#This Row],[CtaCtbl]])+3,40)</f>
        <v>Cuota Ordinaria</v>
      </c>
      <c r="N115" s="379"/>
      <c r="O115" s="379"/>
    </row>
    <row r="116" spans="1:15" hidden="1">
      <c r="A116" s="375">
        <f>YEAR(Banco[[#This Row],[Fecha]])</f>
        <v>2023</v>
      </c>
      <c r="B116" s="375" t="str">
        <f>PROPER(TEXT(Banco[[#This Row],[Fecha]],"MMMM"))</f>
        <v>Mayo</v>
      </c>
      <c r="C116" s="376" t="str">
        <f>TEXT(Banco[[#This Row],[Fecha]],"mmm-yyyy")</f>
        <v>may-2023</v>
      </c>
      <c r="D116" s="377">
        <v>45048</v>
      </c>
      <c r="E116" s="102" t="s">
        <v>24</v>
      </c>
      <c r="F116" s="102">
        <v>3336076536</v>
      </c>
      <c r="G116" s="398">
        <v>-21339</v>
      </c>
      <c r="H116" s="398">
        <f>Banco[[#This Row],[cargos]]*-1</f>
        <v>21339</v>
      </c>
      <c r="I116" s="398">
        <v>0</v>
      </c>
      <c r="J116" s="398">
        <v>55451830</v>
      </c>
      <c r="K116" s="398">
        <f>+Banco[[#This Row],[cargos]]+Banco[[#This Row],[Ingresos]]</f>
        <v>-21339</v>
      </c>
      <c r="L116" s="379" t="s">
        <v>25</v>
      </c>
      <c r="M116" s="379" t="str">
        <f>MID(Banco[[#This Row],[CtaCtbl]],FIND(" - ",Banco[[#This Row],[CtaCtbl]])+3,40)</f>
        <v>Pago Comisiones</v>
      </c>
      <c r="N116" s="379"/>
      <c r="O116" s="379"/>
    </row>
    <row r="117" spans="1:15" hidden="1">
      <c r="A117" s="375">
        <f>YEAR(Banco[[#This Row],[Fecha]])</f>
        <v>2023</v>
      </c>
      <c r="B117" s="375" t="str">
        <f>PROPER(TEXT(Banco[[#This Row],[Fecha]],"MMMM"))</f>
        <v>Mayo</v>
      </c>
      <c r="C117" s="376" t="str">
        <f>TEXT(Banco[[#This Row],[Fecha]],"mmm-yyyy")</f>
        <v>may-2023</v>
      </c>
      <c r="D117" s="377">
        <v>45072</v>
      </c>
      <c r="E117" s="102" t="s">
        <v>15</v>
      </c>
      <c r="F117" s="102">
        <v>3378542914</v>
      </c>
      <c r="G117" s="398">
        <v>0</v>
      </c>
      <c r="H117" s="398">
        <f>Banco[[#This Row],[cargos]]*-1</f>
        <v>0</v>
      </c>
      <c r="I117" s="398">
        <v>3603200</v>
      </c>
      <c r="J117" s="398">
        <v>59055030</v>
      </c>
      <c r="K117" s="398">
        <f>+Banco[[#This Row],[cargos]]+Banco[[#This Row],[Ingresos]]</f>
        <v>3603200</v>
      </c>
      <c r="L117" s="379" t="s">
        <v>18</v>
      </c>
      <c r="M117" s="379" t="str">
        <f>MID(Banco[[#This Row],[CtaCtbl]],FIND(" - ",Banco[[#This Row],[CtaCtbl]])+3,40)</f>
        <v>Cuota Ordinaria</v>
      </c>
      <c r="N117" s="379"/>
      <c r="O117" s="379"/>
    </row>
    <row r="118" spans="1:15" hidden="1">
      <c r="A118" s="375">
        <f>YEAR(Banco[[#This Row],[Fecha]])</f>
        <v>2023</v>
      </c>
      <c r="B118" s="375" t="str">
        <f>PROPER(TEXT(Banco[[#This Row],[Fecha]],"MMMM"))</f>
        <v>Mayo</v>
      </c>
      <c r="C118" s="376" t="str">
        <f>TEXT(Banco[[#This Row],[Fecha]],"mmm-yyyy")</f>
        <v>may-2023</v>
      </c>
      <c r="D118" s="377">
        <v>45075</v>
      </c>
      <c r="E118" s="102" t="s">
        <v>29</v>
      </c>
      <c r="F118" s="102">
        <v>3382325239</v>
      </c>
      <c r="G118" s="398">
        <v>-143549</v>
      </c>
      <c r="H118" s="398">
        <f>Banco[[#This Row],[cargos]]*-1</f>
        <v>143549</v>
      </c>
      <c r="I118" s="398">
        <v>0</v>
      </c>
      <c r="J118" s="398">
        <v>58712855</v>
      </c>
      <c r="K118" s="398">
        <f>+Banco[[#This Row],[cargos]]+Banco[[#This Row],[Ingresos]]</f>
        <v>-143549</v>
      </c>
      <c r="L118" s="379" t="s">
        <v>42</v>
      </c>
      <c r="M118" s="379" t="str">
        <f>MID(Banco[[#This Row],[CtaCtbl]],FIND(" - ",Banco[[#This Row],[CtaCtbl]])+3,40)</f>
        <v>Otros gastos varios</v>
      </c>
      <c r="N118" s="379"/>
      <c r="O118" s="379"/>
    </row>
    <row r="119" spans="1:15" hidden="1">
      <c r="A119" s="375">
        <f>YEAR(Banco[[#This Row],[Fecha]])</f>
        <v>2023</v>
      </c>
      <c r="B119" s="375" t="str">
        <f>PROPER(TEXT(Banco[[#This Row],[Fecha]],"MMMM"))</f>
        <v>Mayo</v>
      </c>
      <c r="C119" s="376" t="str">
        <f>TEXT(Banco[[#This Row],[Fecha]],"mmm-yyyy")</f>
        <v>may-2023</v>
      </c>
      <c r="D119" s="377">
        <v>45075</v>
      </c>
      <c r="E119" s="102" t="s">
        <v>29</v>
      </c>
      <c r="F119" s="102">
        <v>3382323646</v>
      </c>
      <c r="G119" s="398">
        <v>-35000</v>
      </c>
      <c r="H119" s="398">
        <f>Banco[[#This Row],[cargos]]*-1</f>
        <v>35000</v>
      </c>
      <c r="I119" s="398">
        <v>0</v>
      </c>
      <c r="J119" s="398">
        <v>58856404</v>
      </c>
      <c r="K119" s="398">
        <f>+Banco[[#This Row],[cargos]]+Banco[[#This Row],[Ingresos]]</f>
        <v>-35000</v>
      </c>
      <c r="L119" s="379" t="s">
        <v>42</v>
      </c>
      <c r="M119" s="379" t="str">
        <f>MID(Banco[[#This Row],[CtaCtbl]],FIND(" - ",Banco[[#This Row],[CtaCtbl]])+3,40)</f>
        <v>Otros gastos varios</v>
      </c>
      <c r="N119" s="379"/>
      <c r="O119" s="379"/>
    </row>
    <row r="120" spans="1:15" hidden="1">
      <c r="A120" s="375">
        <f>YEAR(Banco[[#This Row],[Fecha]])</f>
        <v>2023</v>
      </c>
      <c r="B120" s="375" t="str">
        <f>PROPER(TEXT(Banco[[#This Row],[Fecha]],"MMMM"))</f>
        <v>Mayo</v>
      </c>
      <c r="C120" s="376" t="str">
        <f>TEXT(Banco[[#This Row],[Fecha]],"mmm-yyyy")</f>
        <v>may-2023</v>
      </c>
      <c r="D120" s="377">
        <v>45075</v>
      </c>
      <c r="E120" s="102" t="s">
        <v>29</v>
      </c>
      <c r="F120" s="102">
        <v>3382318047</v>
      </c>
      <c r="G120" s="398">
        <v>-2466</v>
      </c>
      <c r="H120" s="398">
        <f>Banco[[#This Row],[cargos]]*-1</f>
        <v>2466</v>
      </c>
      <c r="I120" s="398">
        <v>0</v>
      </c>
      <c r="J120" s="398">
        <v>58891404</v>
      </c>
      <c r="K120" s="398">
        <f>+Banco[[#This Row],[cargos]]+Banco[[#This Row],[Ingresos]]</f>
        <v>-2466</v>
      </c>
      <c r="L120" s="379" t="s">
        <v>42</v>
      </c>
      <c r="M120" s="379" t="str">
        <f>MID(Banco[[#This Row],[CtaCtbl]],FIND(" - ",Banco[[#This Row],[CtaCtbl]])+3,40)</f>
        <v>Otros gastos varios</v>
      </c>
      <c r="N120" s="379"/>
      <c r="O120" s="379"/>
    </row>
    <row r="121" spans="1:15" hidden="1">
      <c r="A121" s="375">
        <f>YEAR(Banco[[#This Row],[Fecha]])</f>
        <v>2023</v>
      </c>
      <c r="B121" s="375" t="str">
        <f>PROPER(TEXT(Banco[[#This Row],[Fecha]],"MMMM"))</f>
        <v>Mayo</v>
      </c>
      <c r="C121" s="376" t="str">
        <f>TEXT(Banco[[#This Row],[Fecha]],"mmm-yyyy")</f>
        <v>may-2023</v>
      </c>
      <c r="D121" s="377">
        <v>45075</v>
      </c>
      <c r="E121" s="102" t="s">
        <v>22</v>
      </c>
      <c r="F121" s="102">
        <v>3382325236</v>
      </c>
      <c r="G121" s="398">
        <v>-161160</v>
      </c>
      <c r="H121" s="398">
        <f>Banco[[#This Row],[cargos]]*-1</f>
        <v>161160</v>
      </c>
      <c r="I121" s="398">
        <v>0</v>
      </c>
      <c r="J121" s="398">
        <v>58893870</v>
      </c>
      <c r="K121" s="398">
        <f>+Banco[[#This Row],[cargos]]+Banco[[#This Row],[Ingresos]]</f>
        <v>-161160</v>
      </c>
      <c r="L121" s="379" t="s">
        <v>23</v>
      </c>
      <c r="M121" s="379" t="str">
        <f>MID(Banco[[#This Row],[CtaCtbl]],FIND(" - ",Banco[[#This Row],[CtaCtbl]])+3,40)</f>
        <v>Asesoria Legal - Convenio Fijo Mensual</v>
      </c>
      <c r="N121" s="379"/>
      <c r="O121" s="379"/>
    </row>
    <row r="122" spans="1:15" hidden="1">
      <c r="A122" s="375">
        <f>YEAR(Banco[[#This Row],[Fecha]])</f>
        <v>2023</v>
      </c>
      <c r="B122" s="375" t="str">
        <f>PROPER(TEXT(Banco[[#This Row],[Fecha]],"MMMM"))</f>
        <v>Junio</v>
      </c>
      <c r="C122" s="376" t="str">
        <f>TEXT(Banco[[#This Row],[Fecha]],"mmm-yyyy")</f>
        <v>jun-2023</v>
      </c>
      <c r="D122" s="377">
        <v>45078</v>
      </c>
      <c r="E122" s="102" t="s">
        <v>24</v>
      </c>
      <c r="F122" s="102">
        <v>3391753436</v>
      </c>
      <c r="G122" s="398">
        <v>-21441</v>
      </c>
      <c r="H122" s="398">
        <f>Banco[[#This Row],[cargos]]*-1</f>
        <v>21441</v>
      </c>
      <c r="I122" s="398">
        <v>0</v>
      </c>
      <c r="J122" s="398">
        <v>58691414</v>
      </c>
      <c r="K122" s="398">
        <f>+Banco[[#This Row],[cargos]]+Banco[[#This Row],[Ingresos]]</f>
        <v>-21441</v>
      </c>
      <c r="L122" s="379" t="s">
        <v>25</v>
      </c>
      <c r="M122" s="379" t="str">
        <f>MID(Banco[[#This Row],[CtaCtbl]],FIND(" - ",Banco[[#This Row],[CtaCtbl]])+3,40)</f>
        <v>Pago Comisiones</v>
      </c>
      <c r="N122" s="379"/>
      <c r="O122" s="379"/>
    </row>
    <row r="123" spans="1:15" hidden="1">
      <c r="A123" s="375">
        <f>YEAR(Banco[[#This Row],[Fecha]])</f>
        <v>2023</v>
      </c>
      <c r="B123" s="375" t="str">
        <f>PROPER(TEXT(Banco[[#This Row],[Fecha]],"MMMM"))</f>
        <v>Junio</v>
      </c>
      <c r="C123" s="376" t="str">
        <f>TEXT(Banco[[#This Row],[Fecha]],"mmm-yyyy")</f>
        <v>jun-2023</v>
      </c>
      <c r="D123" s="377">
        <v>45104</v>
      </c>
      <c r="E123" s="102" t="s">
        <v>15</v>
      </c>
      <c r="F123" s="102">
        <v>3431519518</v>
      </c>
      <c r="G123" s="398">
        <v>0</v>
      </c>
      <c r="H123" s="398">
        <f>Banco[[#This Row],[cargos]]*-1</f>
        <v>0</v>
      </c>
      <c r="I123" s="398">
        <v>3609000</v>
      </c>
      <c r="J123" s="398">
        <v>62300414</v>
      </c>
      <c r="K123" s="398">
        <f>+Banco[[#This Row],[cargos]]+Banco[[#This Row],[Ingresos]]</f>
        <v>3609000</v>
      </c>
      <c r="L123" s="379" t="s">
        <v>18</v>
      </c>
      <c r="M123" s="379" t="str">
        <f>MID(Banco[[#This Row],[CtaCtbl]],FIND(" - ",Banco[[#This Row],[CtaCtbl]])+3,40)</f>
        <v>Cuota Ordinaria</v>
      </c>
      <c r="N123" s="379"/>
      <c r="O123" s="379"/>
    </row>
    <row r="124" spans="1:15" hidden="1">
      <c r="A124" s="375">
        <f>YEAR(Banco[[#This Row],[Fecha]])</f>
        <v>2023</v>
      </c>
      <c r="B124" s="375" t="str">
        <f>PROPER(TEXT(Banco[[#This Row],[Fecha]],"MMMM"))</f>
        <v>Julio</v>
      </c>
      <c r="C124" s="376" t="str">
        <f>TEXT(Banco[[#This Row],[Fecha]],"mmm-yyyy")</f>
        <v>jul-2023</v>
      </c>
      <c r="D124" s="377">
        <v>45110</v>
      </c>
      <c r="E124" s="102" t="s">
        <v>24</v>
      </c>
      <c r="F124" s="102">
        <v>3447754340</v>
      </c>
      <c r="G124" s="398">
        <v>-21476</v>
      </c>
      <c r="H124" s="398">
        <f>Banco[[#This Row],[cargos]]*-1</f>
        <v>21476</v>
      </c>
      <c r="I124" s="398">
        <v>0</v>
      </c>
      <c r="J124" s="398">
        <v>62278938</v>
      </c>
      <c r="K124" s="398">
        <f>+Banco[[#This Row],[cargos]]+Banco[[#This Row],[Ingresos]]</f>
        <v>-21476</v>
      </c>
      <c r="L124" s="379" t="s">
        <v>25</v>
      </c>
      <c r="M124" s="379" t="str">
        <f>MID(Banco[[#This Row],[CtaCtbl]],FIND(" - ",Banco[[#This Row],[CtaCtbl]])+3,40)</f>
        <v>Pago Comisiones</v>
      </c>
      <c r="N124" s="379"/>
      <c r="O124" s="379"/>
    </row>
    <row r="125" spans="1:15" hidden="1">
      <c r="A125" s="375">
        <f>YEAR(Banco[[#This Row],[Fecha]])</f>
        <v>2023</v>
      </c>
      <c r="B125" s="375" t="str">
        <f>PROPER(TEXT(Banco[[#This Row],[Fecha]],"MMMM"))</f>
        <v>Julio</v>
      </c>
      <c r="C125" s="376" t="str">
        <f>TEXT(Banco[[#This Row],[Fecha]],"mmm-yyyy")</f>
        <v>jul-2023</v>
      </c>
      <c r="D125" s="377">
        <v>45112</v>
      </c>
      <c r="E125" s="102" t="s">
        <v>22</v>
      </c>
      <c r="F125" s="102">
        <v>3451770501</v>
      </c>
      <c r="G125" s="398">
        <v>-159580</v>
      </c>
      <c r="H125" s="398">
        <f>Banco[[#This Row],[cargos]]*-1</f>
        <v>159580</v>
      </c>
      <c r="I125" s="398">
        <v>0</v>
      </c>
      <c r="J125" s="398">
        <v>61959778</v>
      </c>
      <c r="K125" s="398">
        <f>+Banco[[#This Row],[cargos]]+Banco[[#This Row],[Ingresos]]</f>
        <v>-159580</v>
      </c>
      <c r="L125" s="379" t="s">
        <v>23</v>
      </c>
      <c r="M125" s="379" t="str">
        <f>MID(Banco[[#This Row],[CtaCtbl]],FIND(" - ",Banco[[#This Row],[CtaCtbl]])+3,40)</f>
        <v>Asesoria Legal - Convenio Fijo Mensual</v>
      </c>
      <c r="N125" s="380" t="s">
        <v>77</v>
      </c>
      <c r="O125" s="379"/>
    </row>
    <row r="126" spans="1:15" hidden="1">
      <c r="A126" s="375">
        <f>YEAR(Banco[[#This Row],[Fecha]])</f>
        <v>2023</v>
      </c>
      <c r="B126" s="375" t="str">
        <f>PROPER(TEXT(Banco[[#This Row],[Fecha]],"MMMM"))</f>
        <v>Julio</v>
      </c>
      <c r="C126" s="376" t="str">
        <f>TEXT(Banco[[#This Row],[Fecha]],"mmm-yyyy")</f>
        <v>jul-2023</v>
      </c>
      <c r="D126" s="377">
        <v>45112</v>
      </c>
      <c r="E126" s="102" t="s">
        <v>22</v>
      </c>
      <c r="F126" s="102">
        <v>3451745364</v>
      </c>
      <c r="G126" s="398">
        <v>-159580</v>
      </c>
      <c r="H126" s="398">
        <f>Banco[[#This Row],[cargos]]*-1</f>
        <v>159580</v>
      </c>
      <c r="I126" s="398">
        <v>0</v>
      </c>
      <c r="J126" s="398">
        <v>62119358</v>
      </c>
      <c r="K126" s="398">
        <f>+Banco[[#This Row],[cargos]]+Banco[[#This Row],[Ingresos]]</f>
        <v>-159580</v>
      </c>
      <c r="L126" s="379" t="s">
        <v>23</v>
      </c>
      <c r="M126" s="379" t="str">
        <f>MID(Banco[[#This Row],[CtaCtbl]],FIND(" - ",Banco[[#This Row],[CtaCtbl]])+3,40)</f>
        <v>Asesoria Legal - Convenio Fijo Mensual</v>
      </c>
      <c r="N126" s="380" t="s">
        <v>78</v>
      </c>
      <c r="O126" s="379"/>
    </row>
    <row r="127" spans="1:15" hidden="1">
      <c r="A127" s="375">
        <f>YEAR(Banco[[#This Row],[Fecha]])</f>
        <v>2023</v>
      </c>
      <c r="B127" s="375" t="str">
        <f>PROPER(TEXT(Banco[[#This Row],[Fecha]],"MMMM"))</f>
        <v>Julio</v>
      </c>
      <c r="C127" s="376" t="str">
        <f>TEXT(Banco[[#This Row],[Fecha]],"mmm-yyyy")</f>
        <v>jul-2023</v>
      </c>
      <c r="D127" s="377">
        <v>45113</v>
      </c>
      <c r="E127" s="102" t="s">
        <v>79</v>
      </c>
      <c r="F127" s="102">
        <v>3453578195</v>
      </c>
      <c r="G127" s="398">
        <v>-50000000</v>
      </c>
      <c r="H127" s="398">
        <f>Banco[[#This Row],[cargos]]*-1</f>
        <v>50000000</v>
      </c>
      <c r="I127" s="398">
        <v>0</v>
      </c>
      <c r="J127" s="398">
        <v>11959778</v>
      </c>
      <c r="K127" s="398">
        <f>+Banco[[#This Row],[cargos]]+Banco[[#This Row],[Ingresos]]</f>
        <v>-50000000</v>
      </c>
      <c r="L127" s="379" t="s">
        <v>80</v>
      </c>
      <c r="M127" s="379" t="str">
        <f>MID(Banco[[#This Row],[CtaCtbl]],FIND(" - ",Banco[[#This Row],[CtaCtbl]])+3,40)</f>
        <v>Deposito a Plazo a 30</v>
      </c>
      <c r="N127" s="379"/>
      <c r="O127" s="379"/>
    </row>
    <row r="128" spans="1:15" hidden="1">
      <c r="A128" s="383">
        <f>YEAR(Banco[[#This Row],[Fecha]])</f>
        <v>2023</v>
      </c>
      <c r="B128" s="383" t="str">
        <f>PROPER(TEXT(Banco[[#This Row],[Fecha]],"MMMM"))</f>
        <v>Julio</v>
      </c>
      <c r="C128" s="384" t="str">
        <f>TEXT(Banco[[#This Row],[Fecha]],"mmm-yyyy")</f>
        <v>jul-2023</v>
      </c>
      <c r="D128" s="385">
        <v>45133</v>
      </c>
      <c r="E128" s="386" t="s">
        <v>15</v>
      </c>
      <c r="F128" s="386">
        <v>3487164122</v>
      </c>
      <c r="G128" s="399">
        <v>0</v>
      </c>
      <c r="H128" s="399">
        <f>Banco[[#This Row],[cargos]]*-1</f>
        <v>0</v>
      </c>
      <c r="I128" s="399">
        <v>3623016</v>
      </c>
      <c r="J128" s="398">
        <v>15582794</v>
      </c>
      <c r="K128" s="398">
        <f>+Banco[[#This Row],[cargos]]+Banco[[#This Row],[Ingresos]]</f>
        <v>3623016</v>
      </c>
      <c r="L128" s="387" t="s">
        <v>18</v>
      </c>
      <c r="M128" s="387" t="str">
        <f>MID(Banco[[#This Row],[CtaCtbl]],FIND(" - ",Banco[[#This Row],[CtaCtbl]])+3,40)</f>
        <v>Cuota Ordinaria</v>
      </c>
      <c r="N128" s="387" t="s">
        <v>81</v>
      </c>
      <c r="O128" s="379"/>
    </row>
    <row r="129" spans="1:15" hidden="1">
      <c r="A129" s="375">
        <f>YEAR(Banco[[#This Row],[Fecha]])</f>
        <v>2023</v>
      </c>
      <c r="B129" s="375" t="str">
        <f>PROPER(TEXT(Banco[[#This Row],[Fecha]],"MMMM"))</f>
        <v>Agosto</v>
      </c>
      <c r="C129" s="376" t="str">
        <f>TEXT(Banco[[#This Row],[Fecha]],"mmm-yyyy")</f>
        <v>ago-2023</v>
      </c>
      <c r="D129" s="377">
        <v>45139</v>
      </c>
      <c r="E129" s="102" t="s">
        <v>24</v>
      </c>
      <c r="F129" s="102">
        <v>3500880537</v>
      </c>
      <c r="G129" s="398">
        <v>-21447</v>
      </c>
      <c r="H129" s="398">
        <f>Banco[[#This Row],[cargos]]*-1</f>
        <v>21447</v>
      </c>
      <c r="I129" s="398">
        <v>0</v>
      </c>
      <c r="J129" s="398">
        <v>15561347</v>
      </c>
      <c r="K129" s="398">
        <f>+Banco[[#This Row],[cargos]]+Banco[[#This Row],[Ingresos]]</f>
        <v>-21447</v>
      </c>
      <c r="L129" s="379" t="s">
        <v>25</v>
      </c>
      <c r="M129" s="379" t="str">
        <f>MID(Banco[[#This Row],[CtaCtbl]],FIND(" - ",Banco[[#This Row],[CtaCtbl]])+3,40)</f>
        <v>Pago Comisiones</v>
      </c>
      <c r="N129" s="379"/>
      <c r="O129" s="379"/>
    </row>
    <row r="130" spans="1:15" hidden="1">
      <c r="A130" s="375">
        <f>YEAR(Banco[[#This Row],[Fecha]])</f>
        <v>2023</v>
      </c>
      <c r="B130" s="375" t="str">
        <f>PROPER(TEXT(Banco[[#This Row],[Fecha]],"MMMM"))</f>
        <v>Agosto</v>
      </c>
      <c r="C130" s="376" t="str">
        <f>TEXT(Banco[[#This Row],[Fecha]],"mmm-yyyy")</f>
        <v>ago-2023</v>
      </c>
      <c r="D130" s="377">
        <v>45140</v>
      </c>
      <c r="E130" s="102" t="s">
        <v>19</v>
      </c>
      <c r="F130" s="102">
        <v>3501959172</v>
      </c>
      <c r="G130" s="398">
        <v>-11100</v>
      </c>
      <c r="H130" s="398">
        <f>Banco[[#This Row],[cargos]]*-1</f>
        <v>11100</v>
      </c>
      <c r="I130" s="398">
        <v>0</v>
      </c>
      <c r="J130" s="398">
        <v>15050247</v>
      </c>
      <c r="K130" s="398">
        <f>+Banco[[#This Row],[cargos]]+Banco[[#This Row],[Ingresos]]</f>
        <v>-11100</v>
      </c>
      <c r="L130" s="379" t="s">
        <v>535</v>
      </c>
      <c r="M130" s="379" t="str">
        <f>MID(Banco[[#This Row],[CtaCtbl]],FIND(" - ",Banco[[#This Row],[CtaCtbl]])+3,40)</f>
        <v>Regalo Corportivo (Aniversario)</v>
      </c>
      <c r="N130" s="379"/>
      <c r="O130" s="379"/>
    </row>
    <row r="131" spans="1:15" hidden="1">
      <c r="A131" s="375">
        <f>YEAR(Banco[[#This Row],[Fecha]])</f>
        <v>2023</v>
      </c>
      <c r="B131" s="375" t="str">
        <f>PROPER(TEXT(Banco[[#This Row],[Fecha]],"MMMM"))</f>
        <v>Agosto</v>
      </c>
      <c r="C131" s="376" t="str">
        <f>TEXT(Banco[[#This Row],[Fecha]],"mmm-yyyy")</f>
        <v>ago-2023</v>
      </c>
      <c r="D131" s="377">
        <v>45140</v>
      </c>
      <c r="E131" s="102" t="s">
        <v>82</v>
      </c>
      <c r="F131" s="102">
        <v>3501916989</v>
      </c>
      <c r="G131" s="398">
        <v>-500000</v>
      </c>
      <c r="H131" s="398">
        <f>Banco[[#This Row],[cargos]]*-1</f>
        <v>500000</v>
      </c>
      <c r="I131" s="398">
        <v>0</v>
      </c>
      <c r="J131" s="398">
        <v>15061347</v>
      </c>
      <c r="K131" s="398">
        <f>+Banco[[#This Row],[cargos]]+Banco[[#This Row],[Ingresos]]</f>
        <v>-500000</v>
      </c>
      <c r="L131" s="379" t="s">
        <v>535</v>
      </c>
      <c r="M131" s="379" t="str">
        <f>MID(Banco[[#This Row],[CtaCtbl]],FIND(" - ",Banco[[#This Row],[CtaCtbl]])+3,40)</f>
        <v>Regalo Corportivo (Aniversario)</v>
      </c>
      <c r="N131" s="379"/>
      <c r="O131" s="379"/>
    </row>
    <row r="132" spans="1:15" hidden="1">
      <c r="A132" s="375">
        <f>YEAR(Banco[[#This Row],[Fecha]])</f>
        <v>2023</v>
      </c>
      <c r="B132" s="375" t="str">
        <f>PROPER(TEXT(Banco[[#This Row],[Fecha]],"MMMM"))</f>
        <v>Agosto</v>
      </c>
      <c r="C132" s="376" t="str">
        <f>TEXT(Banco[[#This Row],[Fecha]],"mmm-yyyy")</f>
        <v>ago-2023</v>
      </c>
      <c r="D132" s="377">
        <v>45142</v>
      </c>
      <c r="E132" s="102" t="s">
        <v>82</v>
      </c>
      <c r="F132" s="102">
        <v>3506435862</v>
      </c>
      <c r="G132" s="398">
        <v>-1348152</v>
      </c>
      <c r="H132" s="398">
        <f>Banco[[#This Row],[cargos]]*-1</f>
        <v>1348152</v>
      </c>
      <c r="I132" s="398">
        <v>0</v>
      </c>
      <c r="J132" s="398">
        <v>13702095</v>
      </c>
      <c r="K132" s="398">
        <f>+Banco[[#This Row],[cargos]]+Banco[[#This Row],[Ingresos]]</f>
        <v>-1348152</v>
      </c>
      <c r="L132" s="379" t="s">
        <v>535</v>
      </c>
      <c r="M132" s="379" t="str">
        <f>MID(Banco[[#This Row],[CtaCtbl]],FIND(" - ",Banco[[#This Row],[CtaCtbl]])+3,40)</f>
        <v>Regalo Corportivo (Aniversario)</v>
      </c>
      <c r="N132" s="379"/>
      <c r="O132" s="379"/>
    </row>
    <row r="133" spans="1:15" hidden="1">
      <c r="A133" s="375">
        <f>YEAR(Banco[[#This Row],[Fecha]])</f>
        <v>2023</v>
      </c>
      <c r="B133" s="375" t="str">
        <f>PROPER(TEXT(Banco[[#This Row],[Fecha]],"MMMM"))</f>
        <v>Agosto</v>
      </c>
      <c r="C133" s="376" t="str">
        <f>TEXT(Banco[[#This Row],[Fecha]],"mmm-yyyy")</f>
        <v>ago-2023</v>
      </c>
      <c r="D133" s="377">
        <v>45163</v>
      </c>
      <c r="E133" s="102" t="s">
        <v>15</v>
      </c>
      <c r="F133" s="102"/>
      <c r="G133" s="398">
        <v>0</v>
      </c>
      <c r="H133" s="398">
        <f>Banco[[#This Row],[cargos]]*-1</f>
        <v>0</v>
      </c>
      <c r="I133" s="398">
        <v>18025</v>
      </c>
      <c r="J133" s="398"/>
      <c r="K133" s="398">
        <f>+Banco[[#This Row],[cargos]]+Banco[[#This Row],[Ingresos]]</f>
        <v>18025</v>
      </c>
      <c r="L133" s="379" t="s">
        <v>16</v>
      </c>
      <c r="M133" s="379" t="str">
        <f>MID(Banco[[#This Row],[CtaCtbl]],FIND(" - ",Banco[[#This Row],[CtaCtbl]])+3,40)</f>
        <v>Cuota Extraordinaria</v>
      </c>
      <c r="N133" s="379"/>
      <c r="O133" s="379"/>
    </row>
    <row r="134" spans="1:15" hidden="1">
      <c r="A134" s="375">
        <f>YEAR(Banco[[#This Row],[Fecha]])</f>
        <v>2023</v>
      </c>
      <c r="B134" s="375" t="str">
        <f>PROPER(TEXT(Banco[[#This Row],[Fecha]],"MMMM"))</f>
        <v>Agosto</v>
      </c>
      <c r="C134" s="376" t="str">
        <f>TEXT(Banco[[#This Row],[Fecha]],"mmm-yyyy")</f>
        <v>ago-2023</v>
      </c>
      <c r="D134" s="377">
        <v>45163</v>
      </c>
      <c r="E134" s="102" t="s">
        <v>15</v>
      </c>
      <c r="F134" s="102">
        <v>3541862039</v>
      </c>
      <c r="G134" s="398">
        <v>0</v>
      </c>
      <c r="H134" s="398">
        <f>Banco[[#This Row],[cargos]]*-1</f>
        <v>0</v>
      </c>
      <c r="I134" s="398">
        <v>3594935</v>
      </c>
      <c r="J134" s="398">
        <v>17315055</v>
      </c>
      <c r="K134" s="398">
        <f>+Banco[[#This Row],[cargos]]+Banco[[#This Row],[Ingresos]]</f>
        <v>3594935</v>
      </c>
      <c r="L134" s="379" t="s">
        <v>18</v>
      </c>
      <c r="M134" s="379" t="str">
        <f>MID(Banco[[#This Row],[CtaCtbl]],FIND(" - ",Banco[[#This Row],[CtaCtbl]])+3,40)</f>
        <v>Cuota Ordinaria</v>
      </c>
      <c r="N134" s="379"/>
      <c r="O134" s="379"/>
    </row>
    <row r="135" spans="1:15" hidden="1">
      <c r="A135" s="375">
        <f>YEAR(Banco[[#This Row],[Fecha]])</f>
        <v>2023</v>
      </c>
      <c r="B135" s="375" t="str">
        <f>PROPER(TEXT(Banco[[#This Row],[Fecha]],"MMMM"))</f>
        <v>Septiembre</v>
      </c>
      <c r="C135" s="376" t="str">
        <f>TEXT(Banco[[#This Row],[Fecha]],"mmm-yyyy")</f>
        <v>sept-2023</v>
      </c>
      <c r="D135" s="377">
        <v>45170</v>
      </c>
      <c r="E135" s="102" t="s">
        <v>24</v>
      </c>
      <c r="F135" s="102">
        <v>3557444139</v>
      </c>
      <c r="G135" s="398">
        <v>-21500</v>
      </c>
      <c r="H135" s="398">
        <f>Banco[[#This Row],[cargos]]*-1</f>
        <v>21500</v>
      </c>
      <c r="I135" s="398">
        <v>0</v>
      </c>
      <c r="J135" s="398">
        <v>17293555</v>
      </c>
      <c r="K135" s="398">
        <f>+Banco[[#This Row],[cargos]]+Banco[[#This Row],[Ingresos]]</f>
        <v>-21500</v>
      </c>
      <c r="L135" s="379" t="s">
        <v>25</v>
      </c>
      <c r="M135" s="379" t="str">
        <f>MID(Banco[[#This Row],[CtaCtbl]],FIND(" - ",Banco[[#This Row],[CtaCtbl]])+3,40)</f>
        <v>Pago Comisiones</v>
      </c>
      <c r="N135" s="379"/>
      <c r="O135" s="379"/>
    </row>
    <row r="136" spans="1:15" hidden="1">
      <c r="A136" s="375">
        <f>YEAR(Banco[[#This Row],[Fecha]])</f>
        <v>2023</v>
      </c>
      <c r="B136" s="375" t="str">
        <f>PROPER(TEXT(Banco[[#This Row],[Fecha]],"MMMM"))</f>
        <v>Septiembre</v>
      </c>
      <c r="C136" s="376" t="str">
        <f>TEXT(Banco[[#This Row],[Fecha]],"mmm-yyyy")</f>
        <v>sept-2023</v>
      </c>
      <c r="D136" s="377">
        <v>45180</v>
      </c>
      <c r="E136" s="102" t="s">
        <v>22</v>
      </c>
      <c r="F136" s="102">
        <v>3572830453</v>
      </c>
      <c r="G136" s="398">
        <v>-159580</v>
      </c>
      <c r="H136" s="398">
        <f>Banco[[#This Row],[cargos]]*-1</f>
        <v>159580</v>
      </c>
      <c r="I136" s="398">
        <v>0</v>
      </c>
      <c r="J136" s="398">
        <v>16974395</v>
      </c>
      <c r="K136" s="398">
        <f>+Banco[[#This Row],[cargos]]+Banco[[#This Row],[Ingresos]]</f>
        <v>-159580</v>
      </c>
      <c r="L136" s="379" t="s">
        <v>23</v>
      </c>
      <c r="M136" s="379" t="str">
        <f>MID(Banco[[#This Row],[CtaCtbl]],FIND(" - ",Banco[[#This Row],[CtaCtbl]])+3,40)</f>
        <v>Asesoria Legal - Convenio Fijo Mensual</v>
      </c>
      <c r="N136" s="380" t="s">
        <v>83</v>
      </c>
      <c r="O136" s="379"/>
    </row>
    <row r="137" spans="1:15" hidden="1">
      <c r="A137" s="375">
        <f>YEAR(Banco[[#This Row],[Fecha]])</f>
        <v>2023</v>
      </c>
      <c r="B137" s="375" t="str">
        <f>PROPER(TEXT(Banco[[#This Row],[Fecha]],"MMMM"))</f>
        <v>Septiembre</v>
      </c>
      <c r="C137" s="376" t="str">
        <f>TEXT(Banco[[#This Row],[Fecha]],"mmm-yyyy")</f>
        <v>sept-2023</v>
      </c>
      <c r="D137" s="377">
        <v>45180</v>
      </c>
      <c r="E137" s="102" t="s">
        <v>22</v>
      </c>
      <c r="F137" s="102">
        <v>3572830452</v>
      </c>
      <c r="G137" s="398">
        <v>-159580</v>
      </c>
      <c r="H137" s="398">
        <f>Banco[[#This Row],[cargos]]*-1</f>
        <v>159580</v>
      </c>
      <c r="I137" s="398">
        <v>0</v>
      </c>
      <c r="J137" s="398">
        <v>17133975</v>
      </c>
      <c r="K137" s="398">
        <f>+Banco[[#This Row],[cargos]]+Banco[[#This Row],[Ingresos]]</f>
        <v>-159580</v>
      </c>
      <c r="L137" s="379" t="s">
        <v>23</v>
      </c>
      <c r="M137" s="379" t="str">
        <f>MID(Banco[[#This Row],[CtaCtbl]],FIND(" - ",Banco[[#This Row],[CtaCtbl]])+3,40)</f>
        <v>Asesoria Legal - Convenio Fijo Mensual</v>
      </c>
      <c r="N137" s="380" t="s">
        <v>84</v>
      </c>
      <c r="O137" s="379"/>
    </row>
    <row r="138" spans="1:15" hidden="1">
      <c r="A138" s="375">
        <f>YEAR(Banco[[#This Row],[Fecha]])</f>
        <v>2023</v>
      </c>
      <c r="B138" s="375" t="str">
        <f>PROPER(TEXT(Banco[[#This Row],[Fecha]],"MMMM"))</f>
        <v>Septiembre</v>
      </c>
      <c r="C138" s="376" t="str">
        <f>TEXT(Banco[[#This Row],[Fecha]],"mmm-yyyy")</f>
        <v>sept-2023</v>
      </c>
      <c r="D138" s="377">
        <v>45183</v>
      </c>
      <c r="E138" s="102" t="s">
        <v>82</v>
      </c>
      <c r="F138" s="102">
        <v>3581813828</v>
      </c>
      <c r="G138" s="398">
        <v>-1848152</v>
      </c>
      <c r="H138" s="398">
        <f>Banco[[#This Row],[cargos]]*-1</f>
        <v>1848152</v>
      </c>
      <c r="I138" s="398">
        <v>0</v>
      </c>
      <c r="J138" s="398">
        <v>15126243</v>
      </c>
      <c r="K138" s="398">
        <f>+Banco[[#This Row],[cargos]]+Banco[[#This Row],[Ingresos]]</f>
        <v>-1848152</v>
      </c>
      <c r="L138" s="379" t="s">
        <v>535</v>
      </c>
      <c r="M138" s="379" t="str">
        <f>MID(Banco[[#This Row],[CtaCtbl]],FIND(" - ",Banco[[#This Row],[CtaCtbl]])+3,40)</f>
        <v>Regalo Corportivo (Aniversario)</v>
      </c>
      <c r="N138" s="379"/>
      <c r="O138" s="379"/>
    </row>
    <row r="139" spans="1:15" hidden="1">
      <c r="A139" s="375">
        <f>YEAR(Banco[[#This Row],[Fecha]])</f>
        <v>2023</v>
      </c>
      <c r="B139" s="375" t="str">
        <f>PROPER(TEXT(Banco[[#This Row],[Fecha]],"MMMM"))</f>
        <v>Septiembre</v>
      </c>
      <c r="C139" s="376" t="str">
        <f>TEXT(Banco[[#This Row],[Fecha]],"mmm-yyyy")</f>
        <v>sept-2023</v>
      </c>
      <c r="D139" s="377">
        <v>45196</v>
      </c>
      <c r="E139" s="102" t="s">
        <v>15</v>
      </c>
      <c r="F139" s="102"/>
      <c r="G139" s="398">
        <v>0</v>
      </c>
      <c r="H139" s="398">
        <f>Banco[[#This Row],[cargos]]*-1</f>
        <v>0</v>
      </c>
      <c r="I139" s="398">
        <v>277778</v>
      </c>
      <c r="J139" s="398"/>
      <c r="K139" s="398">
        <f>+Banco[[#This Row],[cargos]]+Banco[[#This Row],[Ingresos]]</f>
        <v>277778</v>
      </c>
      <c r="L139" s="379" t="s">
        <v>16</v>
      </c>
      <c r="M139" s="379" t="str">
        <f>MID(Banco[[#This Row],[CtaCtbl]],FIND(" - ",Banco[[#This Row],[CtaCtbl]])+3,40)</f>
        <v>Cuota Extraordinaria</v>
      </c>
      <c r="N139" s="379"/>
      <c r="O139" s="379"/>
    </row>
    <row r="140" spans="1:15" hidden="1">
      <c r="A140" s="375">
        <f>YEAR(Banco[[#This Row],[Fecha]])</f>
        <v>2023</v>
      </c>
      <c r="B140" s="375" t="str">
        <f>PROPER(TEXT(Banco[[#This Row],[Fecha]],"MMMM"))</f>
        <v>Septiembre</v>
      </c>
      <c r="C140" s="376" t="str">
        <f>TEXT(Banco[[#This Row],[Fecha]],"mmm-yyyy")</f>
        <v>sept-2023</v>
      </c>
      <c r="D140" s="377">
        <v>45196</v>
      </c>
      <c r="E140" s="102" t="s">
        <v>15</v>
      </c>
      <c r="F140" s="102">
        <v>3600739393</v>
      </c>
      <c r="G140" s="398">
        <v>0</v>
      </c>
      <c r="H140" s="398">
        <f>Banco[[#This Row],[cargos]]*-1</f>
        <v>0</v>
      </c>
      <c r="I140" s="398">
        <v>3601701</v>
      </c>
      <c r="J140" s="398">
        <v>19005722</v>
      </c>
      <c r="K140" s="398">
        <f>+Banco[[#This Row],[cargos]]+Banco[[#This Row],[Ingresos]]</f>
        <v>3601701</v>
      </c>
      <c r="L140" s="379" t="s">
        <v>18</v>
      </c>
      <c r="M140" s="379" t="str">
        <f>MID(Banco[[#This Row],[CtaCtbl]],FIND(" - ",Banco[[#This Row],[CtaCtbl]])+3,40)</f>
        <v>Cuota Ordinaria</v>
      </c>
      <c r="N140" s="379"/>
      <c r="O140" s="379"/>
    </row>
    <row r="141" spans="1:15" hidden="1">
      <c r="A141" s="375">
        <f>YEAR(Banco[[#This Row],[Fecha]])</f>
        <v>2023</v>
      </c>
      <c r="B141" s="375" t="str">
        <f>PROPER(TEXT(Banco[[#This Row],[Fecha]],"MMMM"))</f>
        <v>Octubre</v>
      </c>
      <c r="C141" s="376" t="str">
        <f>TEXT(Banco[[#This Row],[Fecha]],"mmm-yyyy")</f>
        <v>oct-2023</v>
      </c>
      <c r="D141" s="377">
        <v>45201</v>
      </c>
      <c r="E141" s="102" t="s">
        <v>24</v>
      </c>
      <c r="F141" s="102">
        <v>3612996936</v>
      </c>
      <c r="G141" s="398">
        <v>-21539</v>
      </c>
      <c r="H141" s="398">
        <f>Banco[[#This Row],[cargos]]*-1</f>
        <v>21539</v>
      </c>
      <c r="I141" s="398">
        <v>0</v>
      </c>
      <c r="J141" s="398">
        <v>18984183</v>
      </c>
      <c r="K141" s="398">
        <f>+Banco[[#This Row],[cargos]]+Banco[[#This Row],[Ingresos]]</f>
        <v>-21539</v>
      </c>
      <c r="L141" s="379" t="s">
        <v>25</v>
      </c>
      <c r="M141" s="379" t="str">
        <f>MID(Banco[[#This Row],[CtaCtbl]],FIND(" - ",Banco[[#This Row],[CtaCtbl]])+3,40)</f>
        <v>Pago Comisiones</v>
      </c>
      <c r="N141" s="379"/>
      <c r="O141" s="379"/>
    </row>
    <row r="142" spans="1:15" hidden="1">
      <c r="A142" s="375">
        <f>YEAR(Banco[[#This Row],[Fecha]])</f>
        <v>2023</v>
      </c>
      <c r="B142" s="375" t="str">
        <f>PROPER(TEXT(Banco[[#This Row],[Fecha]],"MMMM"))</f>
        <v>Octubre</v>
      </c>
      <c r="C142" s="376" t="str">
        <f>TEXT(Banco[[#This Row],[Fecha]],"mmm-yyyy")</f>
        <v>oct-2023</v>
      </c>
      <c r="D142" s="377">
        <v>45225</v>
      </c>
      <c r="E142" s="102" t="s">
        <v>15</v>
      </c>
      <c r="F142" s="102">
        <v>3655631979</v>
      </c>
      <c r="G142" s="398">
        <v>0</v>
      </c>
      <c r="H142" s="398">
        <f>Banco[[#This Row],[cargos]]*-1</f>
        <v>0</v>
      </c>
      <c r="I142" s="398">
        <v>3602412</v>
      </c>
      <c r="J142" s="398">
        <v>22586595</v>
      </c>
      <c r="K142" s="398">
        <f>+Banco[[#This Row],[cargos]]+Banco[[#This Row],[Ingresos]]</f>
        <v>3602412</v>
      </c>
      <c r="L142" s="379" t="s">
        <v>18</v>
      </c>
      <c r="M142" s="379" t="str">
        <f>MID(Banco[[#This Row],[CtaCtbl]],FIND(" - ",Banco[[#This Row],[CtaCtbl]])+3,40)</f>
        <v>Cuota Ordinaria</v>
      </c>
      <c r="N142" s="379"/>
      <c r="O142" s="379"/>
    </row>
    <row r="143" spans="1:15" hidden="1">
      <c r="A143" s="375">
        <f>YEAR(Banco[[#This Row],[Fecha]])</f>
        <v>2023</v>
      </c>
      <c r="B143" s="375" t="str">
        <f>PROPER(TEXT(Banco[[#This Row],[Fecha]],"MMMM"))</f>
        <v>Octubre</v>
      </c>
      <c r="C143" s="376" t="str">
        <f>TEXT(Banco[[#This Row],[Fecha]],"mmm-yyyy")</f>
        <v>oct-2023</v>
      </c>
      <c r="D143" s="377">
        <v>45230</v>
      </c>
      <c r="E143" s="102" t="s">
        <v>29</v>
      </c>
      <c r="F143" s="102">
        <v>3664626372</v>
      </c>
      <c r="G143" s="398">
        <v>-73000</v>
      </c>
      <c r="H143" s="398">
        <f>Banco[[#This Row],[cargos]]*-1</f>
        <v>73000</v>
      </c>
      <c r="I143" s="398">
        <v>0</v>
      </c>
      <c r="J143" s="398">
        <v>22513595</v>
      </c>
      <c r="K143" s="398">
        <f>+Banco[[#This Row],[cargos]]+Banco[[#This Row],[Ingresos]]</f>
        <v>-73000</v>
      </c>
      <c r="L143" s="379" t="s">
        <v>42</v>
      </c>
      <c r="M143" s="379" t="str">
        <f>MID(Banco[[#This Row],[CtaCtbl]],FIND(" - ",Banco[[#This Row],[CtaCtbl]])+3,40)</f>
        <v>Otros gastos varios</v>
      </c>
      <c r="N143" s="379"/>
      <c r="O143" s="379"/>
    </row>
    <row r="144" spans="1:15" hidden="1">
      <c r="A144" s="375">
        <f>YEAR(Banco[[#This Row],[Fecha]])</f>
        <v>2023</v>
      </c>
      <c r="B144" s="375" t="str">
        <f>PROPER(TEXT(Banco[[#This Row],[Fecha]],"MMMM"))</f>
        <v>Octubre</v>
      </c>
      <c r="C144" s="376" t="str">
        <f>TEXT(Banco[[#This Row],[Fecha]],"mmm-yyyy")</f>
        <v>oct-2023</v>
      </c>
      <c r="D144" s="377">
        <v>45230</v>
      </c>
      <c r="E144" s="102" t="s">
        <v>85</v>
      </c>
      <c r="F144" s="102">
        <v>3664643702</v>
      </c>
      <c r="G144" s="398">
        <v>-277778</v>
      </c>
      <c r="H144" s="398">
        <f>Banco[[#This Row],[cargos]]*-1</f>
        <v>277778</v>
      </c>
      <c r="I144" s="398">
        <v>0</v>
      </c>
      <c r="J144" s="398">
        <v>21916657</v>
      </c>
      <c r="K144" s="398">
        <f>+Banco[[#This Row],[cargos]]+Banco[[#This Row],[Ingresos]]</f>
        <v>-277778</v>
      </c>
      <c r="L144" s="379" t="s">
        <v>36</v>
      </c>
      <c r="M144" s="379" t="str">
        <f>MID(Banco[[#This Row],[CtaCtbl]],FIND(" - ",Banco[[#This Row],[CtaCtbl]])+3,40)</f>
        <v>Aporte Extraordinario al Socio</v>
      </c>
      <c r="N144" s="379"/>
      <c r="O144" s="379"/>
    </row>
    <row r="145" spans="1:15" hidden="1">
      <c r="A145" s="375">
        <f>YEAR(Banco[[#This Row],[Fecha]])</f>
        <v>2023</v>
      </c>
      <c r="B145" s="375" t="str">
        <f>PROPER(TEXT(Banco[[#This Row],[Fecha]],"MMMM"))</f>
        <v>Octubre</v>
      </c>
      <c r="C145" s="376" t="str">
        <f>TEXT(Banco[[#This Row],[Fecha]],"mmm-yyyy")</f>
        <v>oct-2023</v>
      </c>
      <c r="D145" s="377">
        <v>45230</v>
      </c>
      <c r="E145" s="102" t="s">
        <v>22</v>
      </c>
      <c r="F145" s="102">
        <v>3664610387</v>
      </c>
      <c r="G145" s="398">
        <v>-159580</v>
      </c>
      <c r="H145" s="398">
        <f>Banco[[#This Row],[cargos]]*-1</f>
        <v>159580</v>
      </c>
      <c r="I145" s="398">
        <v>0</v>
      </c>
      <c r="J145" s="398">
        <v>22194435</v>
      </c>
      <c r="K145" s="398">
        <f>+Banco[[#This Row],[cargos]]+Banco[[#This Row],[Ingresos]]</f>
        <v>-159580</v>
      </c>
      <c r="L145" s="379" t="s">
        <v>23</v>
      </c>
      <c r="M145" s="379" t="str">
        <f>MID(Banco[[#This Row],[CtaCtbl]],FIND(" - ",Banco[[#This Row],[CtaCtbl]])+3,40)</f>
        <v>Asesoria Legal - Convenio Fijo Mensual</v>
      </c>
      <c r="N145" s="380" t="s">
        <v>86</v>
      </c>
      <c r="O145" s="379"/>
    </row>
    <row r="146" spans="1:15" hidden="1">
      <c r="A146" s="375">
        <f>YEAR(Banco[[#This Row],[Fecha]])</f>
        <v>2023</v>
      </c>
      <c r="B146" s="375" t="str">
        <f>PROPER(TEXT(Banco[[#This Row],[Fecha]],"MMMM"))</f>
        <v>Octubre</v>
      </c>
      <c r="C146" s="376" t="str">
        <f>TEXT(Banco[[#This Row],[Fecha]],"mmm-yyyy")</f>
        <v>oct-2023</v>
      </c>
      <c r="D146" s="377">
        <v>45230</v>
      </c>
      <c r="E146" s="102" t="s">
        <v>22</v>
      </c>
      <c r="F146" s="102">
        <v>3664626373</v>
      </c>
      <c r="G146" s="398">
        <v>-159580</v>
      </c>
      <c r="H146" s="398">
        <f>Banco[[#This Row],[cargos]]*-1</f>
        <v>159580</v>
      </c>
      <c r="I146" s="398">
        <v>0</v>
      </c>
      <c r="J146" s="398">
        <v>22354015</v>
      </c>
      <c r="K146" s="398">
        <f>+Banco[[#This Row],[cargos]]+Banco[[#This Row],[Ingresos]]</f>
        <v>-159580</v>
      </c>
      <c r="L146" s="379" t="s">
        <v>23</v>
      </c>
      <c r="M146" s="379" t="str">
        <f>MID(Banco[[#This Row],[CtaCtbl]],FIND(" - ",Banco[[#This Row],[CtaCtbl]])+3,40)</f>
        <v>Asesoria Legal - Convenio Fijo Mensual</v>
      </c>
      <c r="N146" s="380" t="s">
        <v>87</v>
      </c>
      <c r="O146" s="379"/>
    </row>
    <row r="147" spans="1:15" hidden="1">
      <c r="A147" s="375">
        <f>YEAR(Banco[[#This Row],[Fecha]])</f>
        <v>2023</v>
      </c>
      <c r="B147" s="375" t="str">
        <f>PROPER(TEXT(Banco[[#This Row],[Fecha]],"MMMM"))</f>
        <v>Noviembre</v>
      </c>
      <c r="C147" s="376" t="str">
        <f>TEXT(Banco[[#This Row],[Fecha]],"mmm-yyyy")</f>
        <v>nov-2023</v>
      </c>
      <c r="D147" s="377">
        <v>45232</v>
      </c>
      <c r="E147" s="102" t="s">
        <v>24</v>
      </c>
      <c r="F147" s="102">
        <v>3669502640</v>
      </c>
      <c r="G147" s="398">
        <v>-21660</v>
      </c>
      <c r="H147" s="398">
        <f>Banco[[#This Row],[cargos]]*-1</f>
        <v>21660</v>
      </c>
      <c r="I147" s="398">
        <v>0</v>
      </c>
      <c r="J147" s="398">
        <v>21894997</v>
      </c>
      <c r="K147" s="398">
        <f>+Banco[[#This Row],[cargos]]+Banco[[#This Row],[Ingresos]]</f>
        <v>-21660</v>
      </c>
      <c r="L147" s="379" t="s">
        <v>25</v>
      </c>
      <c r="M147" s="379" t="str">
        <f>MID(Banco[[#This Row],[CtaCtbl]],FIND(" - ",Banco[[#This Row],[CtaCtbl]])+3,40)</f>
        <v>Pago Comisiones</v>
      </c>
      <c r="N147" s="379"/>
      <c r="O147" s="379"/>
    </row>
    <row r="148" spans="1:15" hidden="1">
      <c r="A148" s="375">
        <f>YEAR(Banco[[#This Row],[Fecha]])</f>
        <v>2023</v>
      </c>
      <c r="B148" s="375" t="str">
        <f>PROPER(TEXT(Banco[[#This Row],[Fecha]],"MMMM"))</f>
        <v>Noviembre</v>
      </c>
      <c r="C148" s="376" t="str">
        <f>TEXT(Banco[[#This Row],[Fecha]],"mmm-yyyy")</f>
        <v>nov-2023</v>
      </c>
      <c r="D148" s="377">
        <v>45254</v>
      </c>
      <c r="E148" s="102" t="s">
        <v>15</v>
      </c>
      <c r="F148" s="102"/>
      <c r="G148" s="398">
        <v>0</v>
      </c>
      <c r="H148" s="398">
        <f>Banco[[#This Row],[cargos]]*-1</f>
        <v>0</v>
      </c>
      <c r="I148" s="398">
        <v>18282</v>
      </c>
      <c r="J148" s="398"/>
      <c r="K148" s="398">
        <f>+Banco[[#This Row],[cargos]]+Banco[[#This Row],[Ingresos]]</f>
        <v>18282</v>
      </c>
      <c r="L148" s="379" t="s">
        <v>16</v>
      </c>
      <c r="M148" s="379" t="str">
        <f>MID(Banco[[#This Row],[CtaCtbl]],FIND(" - ",Banco[[#This Row],[CtaCtbl]])+3,40)</f>
        <v>Cuota Extraordinaria</v>
      </c>
      <c r="N148" s="379"/>
      <c r="O148" s="379"/>
    </row>
    <row r="149" spans="1:15" hidden="1">
      <c r="A149" s="375">
        <f>YEAR(Banco[[#This Row],[Fecha]])</f>
        <v>2023</v>
      </c>
      <c r="B149" s="375" t="str">
        <f>PROPER(TEXT(Banco[[#This Row],[Fecha]],"MMMM"))</f>
        <v>Noviembre</v>
      </c>
      <c r="C149" s="376" t="str">
        <f>TEXT(Banco[[#This Row],[Fecha]],"mmm-yyyy")</f>
        <v>nov-2023</v>
      </c>
      <c r="D149" s="377">
        <v>45254</v>
      </c>
      <c r="E149" s="102" t="s">
        <v>15</v>
      </c>
      <c r="F149" s="102">
        <v>3709190394</v>
      </c>
      <c r="G149" s="398">
        <v>0</v>
      </c>
      <c r="H149" s="398">
        <f>Banco[[#This Row],[cargos]]*-1</f>
        <v>0</v>
      </c>
      <c r="I149" s="398">
        <v>3601554</v>
      </c>
      <c r="J149" s="398">
        <v>25514833</v>
      </c>
      <c r="K149" s="398">
        <f>+Banco[[#This Row],[cargos]]+Banco[[#This Row],[Ingresos]]</f>
        <v>3601554</v>
      </c>
      <c r="L149" s="379" t="s">
        <v>18</v>
      </c>
      <c r="M149" s="379" t="str">
        <f>MID(Banco[[#This Row],[CtaCtbl]],FIND(" - ",Banco[[#This Row],[CtaCtbl]])+3,40)</f>
        <v>Cuota Ordinaria</v>
      </c>
      <c r="N149" s="379"/>
      <c r="O149" s="379"/>
    </row>
    <row r="150" spans="1:15" hidden="1">
      <c r="A150" s="375">
        <f>YEAR(Banco[[#This Row],[Fecha]])</f>
        <v>2023</v>
      </c>
      <c r="B150" s="375" t="str">
        <f>PROPER(TEXT(Banco[[#This Row],[Fecha]],"MMMM"))</f>
        <v>Diciembre</v>
      </c>
      <c r="C150" s="376" t="str">
        <f>TEXT(Banco[[#This Row],[Fecha]],"mmm-yyyy")</f>
        <v>dic-2023</v>
      </c>
      <c r="D150" s="377">
        <v>45261</v>
      </c>
      <c r="E150" s="102" t="s">
        <v>24</v>
      </c>
      <c r="F150" s="102">
        <v>3725597339</v>
      </c>
      <c r="G150" s="398">
        <v>-21758</v>
      </c>
      <c r="H150" s="398">
        <f>Banco[[#This Row],[cargos]]*-1</f>
        <v>21758</v>
      </c>
      <c r="I150" s="398">
        <v>0</v>
      </c>
      <c r="J150" s="398">
        <v>25493075</v>
      </c>
      <c r="K150" s="398">
        <f>+Banco[[#This Row],[cargos]]+Banco[[#This Row],[Ingresos]]</f>
        <v>-21758</v>
      </c>
      <c r="L150" s="379" t="s">
        <v>25</v>
      </c>
      <c r="M150" s="379" t="str">
        <f>MID(Banco[[#This Row],[CtaCtbl]],FIND(" - ",Banco[[#This Row],[CtaCtbl]])+3,40)</f>
        <v>Pago Comisiones</v>
      </c>
      <c r="N150" s="379"/>
      <c r="O150" s="379"/>
    </row>
    <row r="151" spans="1:15" hidden="1">
      <c r="A151" s="375">
        <f>YEAR(Banco[[#This Row],[Fecha]])</f>
        <v>2023</v>
      </c>
      <c r="B151" s="375" t="str">
        <f>PROPER(TEXT(Banco[[#This Row],[Fecha]],"MMMM"))</f>
        <v>Diciembre</v>
      </c>
      <c r="C151" s="376" t="str">
        <f>TEXT(Banco[[#This Row],[Fecha]],"mmm-yyyy")</f>
        <v>dic-2023</v>
      </c>
      <c r="D151" s="377">
        <v>45282</v>
      </c>
      <c r="E151" s="102" t="s">
        <v>15</v>
      </c>
      <c r="F151" s="102"/>
      <c r="G151" s="398">
        <v>0</v>
      </c>
      <c r="H151" s="398">
        <f>Banco[[#This Row],[cargos]]*-1</f>
        <v>0</v>
      </c>
      <c r="I151" s="398">
        <v>18282</v>
      </c>
      <c r="J151" s="398"/>
      <c r="K151" s="398">
        <f>+Banco[[#This Row],[cargos]]+Banco[[#This Row],[Ingresos]]</f>
        <v>18282</v>
      </c>
      <c r="L151" s="379" t="s">
        <v>16</v>
      </c>
      <c r="M151" s="379" t="str">
        <f>MID(Banco[[#This Row],[CtaCtbl]],FIND(" - ",Banco[[#This Row],[CtaCtbl]])+3,40)</f>
        <v>Cuota Extraordinaria</v>
      </c>
      <c r="N151" s="379"/>
      <c r="O151" s="379"/>
    </row>
    <row r="152" spans="1:15" hidden="1">
      <c r="A152" s="375">
        <f>YEAR(Banco[[#This Row],[Fecha]])</f>
        <v>2023</v>
      </c>
      <c r="B152" s="375" t="str">
        <f>PROPER(TEXT(Banco[[#This Row],[Fecha]],"MMMM"))</f>
        <v>Diciembre</v>
      </c>
      <c r="C152" s="376" t="str">
        <f>TEXT(Banco[[#This Row],[Fecha]],"mmm-yyyy")</f>
        <v>dic-2023</v>
      </c>
      <c r="D152" s="377">
        <v>45282</v>
      </c>
      <c r="E152" s="102" t="s">
        <v>15</v>
      </c>
      <c r="F152" s="102">
        <v>3766320456</v>
      </c>
      <c r="G152" s="398">
        <v>0</v>
      </c>
      <c r="H152" s="398">
        <f>Banco[[#This Row],[cargos]]*-1</f>
        <v>0</v>
      </c>
      <c r="I152" s="398">
        <v>3605420</v>
      </c>
      <c r="J152" s="398">
        <v>29116777</v>
      </c>
      <c r="K152" s="398">
        <f>+Banco[[#This Row],[cargos]]+Banco[[#This Row],[Ingresos]]</f>
        <v>3605420</v>
      </c>
      <c r="L152" s="379" t="s">
        <v>18</v>
      </c>
      <c r="M152" s="379" t="str">
        <f>MID(Banco[[#This Row],[CtaCtbl]],FIND(" - ",Banco[[#This Row],[CtaCtbl]])+3,40)</f>
        <v>Cuota Ordinaria</v>
      </c>
      <c r="N152" s="379"/>
      <c r="O152" s="379"/>
    </row>
    <row r="153" spans="1:15" hidden="1">
      <c r="A153" s="375">
        <f>YEAR(Banco[[#This Row],[Fecha]])</f>
        <v>2024</v>
      </c>
      <c r="B153" s="375" t="str">
        <f>PROPER(TEXT(Banco[[#This Row],[Fecha]],"MMMM"))</f>
        <v>Enero</v>
      </c>
      <c r="C153" s="376" t="str">
        <f>TEXT(Banco[[#This Row],[Fecha]],"mmm-yyyy")</f>
        <v>ene-2024</v>
      </c>
      <c r="D153" s="377">
        <v>45293</v>
      </c>
      <c r="E153" s="102" t="s">
        <v>24</v>
      </c>
      <c r="F153" s="102">
        <v>3787307836</v>
      </c>
      <c r="G153" s="398">
        <v>-21900</v>
      </c>
      <c r="H153" s="398">
        <f>Banco[[#This Row],[cargos]]*-1</f>
        <v>21900</v>
      </c>
      <c r="I153" s="398">
        <v>0</v>
      </c>
      <c r="J153" s="398">
        <v>29094877</v>
      </c>
      <c r="K153" s="398">
        <f>+Banco[[#This Row],[cargos]]+Banco[[#This Row],[Ingresos]]</f>
        <v>-21900</v>
      </c>
      <c r="L153" s="379" t="s">
        <v>25</v>
      </c>
      <c r="M153" s="379" t="str">
        <f>MID(Banco[[#This Row],[CtaCtbl]],FIND(" - ",Banco[[#This Row],[CtaCtbl]])+3,40)</f>
        <v>Pago Comisiones</v>
      </c>
      <c r="N153" s="379"/>
      <c r="O153" s="379" t="s">
        <v>88</v>
      </c>
    </row>
    <row r="154" spans="1:15" hidden="1">
      <c r="A154" s="375">
        <f>YEAR(Banco[[#This Row],[Fecha]])</f>
        <v>2024</v>
      </c>
      <c r="B154" s="375" t="str">
        <f>PROPER(TEXT(Banco[[#This Row],[Fecha]],"MMMM"))</f>
        <v>Enero</v>
      </c>
      <c r="C154" s="376" t="str">
        <f>TEXT(Banco[[#This Row],[Fecha]],"mmm-yyyy")</f>
        <v>ene-2024</v>
      </c>
      <c r="D154" s="377">
        <v>45302</v>
      </c>
      <c r="E154" s="102" t="s">
        <v>22</v>
      </c>
      <c r="F154" s="102">
        <v>3804416616</v>
      </c>
      <c r="G154" s="398">
        <v>-164300</v>
      </c>
      <c r="H154" s="398">
        <f>Banco[[#This Row],[cargos]]*-1</f>
        <v>164300</v>
      </c>
      <c r="I154" s="398">
        <v>0</v>
      </c>
      <c r="J154" s="398">
        <v>28766277</v>
      </c>
      <c r="K154" s="398">
        <f>+Banco[[#This Row],[cargos]]+Banco[[#This Row],[Ingresos]]</f>
        <v>-164300</v>
      </c>
      <c r="L154" s="379" t="s">
        <v>23</v>
      </c>
      <c r="M154" s="379" t="str">
        <f>MID(Banco[[#This Row],[CtaCtbl]],FIND(" - ",Banco[[#This Row],[CtaCtbl]])+3,40)</f>
        <v>Asesoria Legal - Convenio Fijo Mensual</v>
      </c>
      <c r="N154" s="380" t="s">
        <v>89</v>
      </c>
      <c r="O154" s="379"/>
    </row>
    <row r="155" spans="1:15" hidden="1">
      <c r="A155" s="375">
        <f>YEAR(Banco[[#This Row],[Fecha]])</f>
        <v>2024</v>
      </c>
      <c r="B155" s="375" t="str">
        <f>PROPER(TEXT(Banco[[#This Row],[Fecha]],"MMMM"))</f>
        <v>Enero</v>
      </c>
      <c r="C155" s="376" t="str">
        <f>TEXT(Banco[[#This Row],[Fecha]],"mmm-yyyy")</f>
        <v>ene-2024</v>
      </c>
      <c r="D155" s="377">
        <v>45302</v>
      </c>
      <c r="E155" s="102" t="s">
        <v>22</v>
      </c>
      <c r="F155" s="102">
        <v>3804385634</v>
      </c>
      <c r="G155" s="398">
        <v>-164300</v>
      </c>
      <c r="H155" s="398">
        <f>Banco[[#This Row],[cargos]]*-1</f>
        <v>164300</v>
      </c>
      <c r="I155" s="398">
        <v>0</v>
      </c>
      <c r="J155" s="398">
        <v>28930577</v>
      </c>
      <c r="K155" s="398">
        <f>+Banco[[#This Row],[cargos]]+Banco[[#This Row],[Ingresos]]</f>
        <v>-164300</v>
      </c>
      <c r="L155" s="379" t="s">
        <v>23</v>
      </c>
      <c r="M155" s="379" t="str">
        <f>MID(Banco[[#This Row],[CtaCtbl]],FIND(" - ",Banco[[#This Row],[CtaCtbl]])+3,40)</f>
        <v>Asesoria Legal - Convenio Fijo Mensual</v>
      </c>
      <c r="N155" s="380" t="s">
        <v>90</v>
      </c>
      <c r="O155" s="379"/>
    </row>
    <row r="156" spans="1:15" hidden="1">
      <c r="A156" s="375">
        <f>YEAR(Banco[[#This Row],[Fecha]])</f>
        <v>2024</v>
      </c>
      <c r="B156" s="375" t="str">
        <f>PROPER(TEXT(Banco[[#This Row],[Fecha]],"MMMM"))</f>
        <v>Enero</v>
      </c>
      <c r="C156" s="376" t="str">
        <f>TEXT(Banco[[#This Row],[Fecha]],"mmm-yyyy")</f>
        <v>ene-2024</v>
      </c>
      <c r="D156" s="377">
        <v>45317</v>
      </c>
      <c r="E156" s="102" t="s">
        <v>15</v>
      </c>
      <c r="F156" s="102"/>
      <c r="G156" s="398">
        <v>0</v>
      </c>
      <c r="H156" s="398">
        <f>Banco[[#This Row],[cargos]]*-1</f>
        <v>0</v>
      </c>
      <c r="I156" s="398">
        <v>36649</v>
      </c>
      <c r="J156" s="398"/>
      <c r="K156" s="398">
        <f>+Banco[[#This Row],[cargos]]+Banco[[#This Row],[Ingresos]]</f>
        <v>36649</v>
      </c>
      <c r="L156" s="379" t="s">
        <v>16</v>
      </c>
      <c r="M156" s="379" t="str">
        <f>MID(Banco[[#This Row],[CtaCtbl]],FIND(" - ",Banco[[#This Row],[CtaCtbl]])+3,40)</f>
        <v>Cuota Extraordinaria</v>
      </c>
      <c r="N156" s="379"/>
      <c r="O156" s="379"/>
    </row>
    <row r="157" spans="1:15" hidden="1">
      <c r="A157" s="375">
        <f>YEAR(Banco[[#This Row],[Fecha]])</f>
        <v>2024</v>
      </c>
      <c r="B157" s="375" t="str">
        <f>PROPER(TEXT(Banco[[#This Row],[Fecha]],"MMMM"))</f>
        <v>Enero</v>
      </c>
      <c r="C157" s="376" t="str">
        <f>TEXT(Banco[[#This Row],[Fecha]],"mmm-yyyy")</f>
        <v>ene-2024</v>
      </c>
      <c r="D157" s="377">
        <v>45317</v>
      </c>
      <c r="E157" s="102" t="s">
        <v>15</v>
      </c>
      <c r="F157" s="102">
        <v>3831619227</v>
      </c>
      <c r="G157" s="398">
        <v>0</v>
      </c>
      <c r="H157" s="398">
        <f>Banco[[#This Row],[cargos]]*-1</f>
        <v>0</v>
      </c>
      <c r="I157" s="398">
        <v>3618299</v>
      </c>
      <c r="J157" s="398">
        <v>32421225</v>
      </c>
      <c r="K157" s="398">
        <f>+Banco[[#This Row],[cargos]]+Banco[[#This Row],[Ingresos]]</f>
        <v>3618299</v>
      </c>
      <c r="L157" s="379" t="s">
        <v>18</v>
      </c>
      <c r="M157" s="379" t="str">
        <f>MID(Banco[[#This Row],[CtaCtbl]],FIND(" - ",Banco[[#This Row],[CtaCtbl]])+3,40)</f>
        <v>Cuota Ordinaria</v>
      </c>
      <c r="N157" s="379"/>
      <c r="O157" s="379"/>
    </row>
    <row r="158" spans="1:15" hidden="1">
      <c r="A158" s="375">
        <f>YEAR(Banco[[#This Row],[Fecha]])</f>
        <v>2024</v>
      </c>
      <c r="B158" s="375" t="str">
        <f>PROPER(TEXT(Banco[[#This Row],[Fecha]],"MMMM"))</f>
        <v>Febrero</v>
      </c>
      <c r="C158" s="376" t="str">
        <f>TEXT(Banco[[#This Row],[Fecha]],"mmm-yyyy")</f>
        <v>feb-2024</v>
      </c>
      <c r="D158" s="377">
        <v>45323</v>
      </c>
      <c r="E158" s="102" t="s">
        <v>24</v>
      </c>
      <c r="F158" s="102">
        <v>3845594937</v>
      </c>
      <c r="G158" s="398">
        <v>-21853</v>
      </c>
      <c r="H158" s="398">
        <f>Banco[[#This Row],[cargos]]*-1</f>
        <v>21853</v>
      </c>
      <c r="I158" s="398">
        <v>0</v>
      </c>
      <c r="J158" s="398">
        <v>32399372</v>
      </c>
      <c r="K158" s="398">
        <f>+Banco[[#This Row],[cargos]]+Banco[[#This Row],[Ingresos]]</f>
        <v>-21853</v>
      </c>
      <c r="L158" s="379" t="s">
        <v>25</v>
      </c>
      <c r="M158" s="379" t="str">
        <f>MID(Banco[[#This Row],[CtaCtbl]],FIND(" - ",Banco[[#This Row],[CtaCtbl]])+3,40)</f>
        <v>Pago Comisiones</v>
      </c>
      <c r="N158" s="379"/>
      <c r="O158" s="379"/>
    </row>
    <row r="159" spans="1:15" hidden="1">
      <c r="A159" s="375">
        <f>YEAR(Banco[[#This Row],[Fecha]])</f>
        <v>2024</v>
      </c>
      <c r="B159" s="375" t="str">
        <f>PROPER(TEXT(Banco[[#This Row],[Fecha]],"MMMM"))</f>
        <v>Febrero</v>
      </c>
      <c r="C159" s="376" t="str">
        <f>TEXT(Banco[[#This Row],[Fecha]],"mmm-yyyy")</f>
        <v>feb-2024</v>
      </c>
      <c r="D159" s="377">
        <v>45348</v>
      </c>
      <c r="E159" s="102" t="s">
        <v>15</v>
      </c>
      <c r="F159" s="102"/>
      <c r="G159" s="398">
        <v>0</v>
      </c>
      <c r="H159" s="398">
        <f>Banco[[#This Row],[cargos]]*-1</f>
        <v>0</v>
      </c>
      <c r="I159" s="398">
        <v>18282</v>
      </c>
      <c r="J159" s="398"/>
      <c r="K159" s="398">
        <f>+Banco[[#This Row],[cargos]]+Banco[[#This Row],[Ingresos]]</f>
        <v>18282</v>
      </c>
      <c r="L159" s="379" t="s">
        <v>16</v>
      </c>
      <c r="M159" s="379" t="str">
        <f>MID(Banco[[#This Row],[CtaCtbl]],FIND(" - ",Banco[[#This Row],[CtaCtbl]])+3,40)</f>
        <v>Cuota Extraordinaria</v>
      </c>
      <c r="N159" s="379"/>
      <c r="O159" s="379"/>
    </row>
    <row r="160" spans="1:15" hidden="1">
      <c r="A160" s="375">
        <f>YEAR(Banco[[#This Row],[Fecha]])</f>
        <v>2024</v>
      </c>
      <c r="B160" s="375" t="str">
        <f>PROPER(TEXT(Banco[[#This Row],[Fecha]],"MMMM"))</f>
        <v>Febrero</v>
      </c>
      <c r="C160" s="376" t="str">
        <f>TEXT(Banco[[#This Row],[Fecha]],"mmm-yyyy")</f>
        <v>feb-2024</v>
      </c>
      <c r="D160" s="377">
        <v>45348</v>
      </c>
      <c r="E160" s="102" t="s">
        <v>15</v>
      </c>
      <c r="F160" s="102">
        <v>3888222529</v>
      </c>
      <c r="G160" s="398">
        <v>0</v>
      </c>
      <c r="H160" s="398">
        <f>Banco[[#This Row],[cargos]]*-1</f>
        <v>0</v>
      </c>
      <c r="I160" s="398">
        <v>3611888</v>
      </c>
      <c r="J160" s="398">
        <v>36029542</v>
      </c>
      <c r="K160" s="398">
        <f>+Banco[[#This Row],[cargos]]+Banco[[#This Row],[Ingresos]]</f>
        <v>3611888</v>
      </c>
      <c r="L160" s="379" t="s">
        <v>18</v>
      </c>
      <c r="M160" s="379" t="str">
        <f>MID(Banco[[#This Row],[CtaCtbl]],FIND(" - ",Banco[[#This Row],[CtaCtbl]])+3,40)</f>
        <v>Cuota Ordinaria</v>
      </c>
      <c r="N160" s="379"/>
      <c r="O160" s="379"/>
    </row>
    <row r="161" spans="1:15" hidden="1">
      <c r="A161" s="375">
        <f>YEAR(Banco[[#This Row],[Fecha]])</f>
        <v>2024</v>
      </c>
      <c r="B161" s="375" t="str">
        <f>PROPER(TEXT(Banco[[#This Row],[Fecha]],"MMMM"))</f>
        <v>Marzo</v>
      </c>
      <c r="C161" s="376" t="str">
        <f>TEXT(Banco[[#This Row],[Fecha]],"mmm-yyyy")</f>
        <v>mar-2024</v>
      </c>
      <c r="D161" s="377">
        <v>45352</v>
      </c>
      <c r="E161" s="102" t="s">
        <v>24</v>
      </c>
      <c r="F161" s="102">
        <v>3902839736</v>
      </c>
      <c r="G161" s="398">
        <v>-21935</v>
      </c>
      <c r="H161" s="398">
        <f>Banco[[#This Row],[cargos]]*-1</f>
        <v>21935</v>
      </c>
      <c r="I161" s="398">
        <v>0</v>
      </c>
      <c r="J161" s="398">
        <v>36007607</v>
      </c>
      <c r="K161" s="398">
        <f>+Banco[[#This Row],[cargos]]+Banco[[#This Row],[Ingresos]]</f>
        <v>-21935</v>
      </c>
      <c r="L161" s="379" t="s">
        <v>25</v>
      </c>
      <c r="M161" s="379" t="str">
        <f>MID(Banco[[#This Row],[CtaCtbl]],FIND(" - ",Banco[[#This Row],[CtaCtbl]])+3,40)</f>
        <v>Pago Comisiones</v>
      </c>
      <c r="N161" s="379"/>
      <c r="O161" s="379"/>
    </row>
    <row r="162" spans="1:15" hidden="1">
      <c r="A162" s="375">
        <f>YEAR(Banco[[#This Row],[Fecha]])</f>
        <v>2024</v>
      </c>
      <c r="B162" s="375" t="str">
        <f>PROPER(TEXT(Banco[[#This Row],[Fecha]],"MMMM"))</f>
        <v>Marzo</v>
      </c>
      <c r="C162" s="376" t="str">
        <f>TEXT(Banco[[#This Row],[Fecha]],"mmm-yyyy")</f>
        <v>mar-2024</v>
      </c>
      <c r="D162" s="377">
        <v>45362</v>
      </c>
      <c r="E162" s="102" t="s">
        <v>22</v>
      </c>
      <c r="F162" s="102">
        <v>3920191108</v>
      </c>
      <c r="G162" s="398">
        <v>-164340</v>
      </c>
      <c r="H162" s="398">
        <f>Banco[[#This Row],[cargos]]*-1</f>
        <v>164340</v>
      </c>
      <c r="I162" s="398">
        <v>0</v>
      </c>
      <c r="J162" s="398">
        <v>35678887</v>
      </c>
      <c r="K162" s="398">
        <f>+Banco[[#This Row],[cargos]]+Banco[[#This Row],[Ingresos]]</f>
        <v>-164340</v>
      </c>
      <c r="L162" s="379" t="s">
        <v>23</v>
      </c>
      <c r="M162" s="379" t="str">
        <f>MID(Banco[[#This Row],[CtaCtbl]],FIND(" - ",Banco[[#This Row],[CtaCtbl]])+3,40)</f>
        <v>Asesoria Legal - Convenio Fijo Mensual</v>
      </c>
      <c r="N162" s="381" t="s">
        <v>91</v>
      </c>
      <c r="O162" s="379"/>
    </row>
    <row r="163" spans="1:15" hidden="1">
      <c r="A163" s="375">
        <f>YEAR(Banco[[#This Row],[Fecha]])</f>
        <v>2024</v>
      </c>
      <c r="B163" s="375" t="str">
        <f>PROPER(TEXT(Banco[[#This Row],[Fecha]],"MMMM"))</f>
        <v>Marzo</v>
      </c>
      <c r="C163" s="376" t="str">
        <f>TEXT(Banco[[#This Row],[Fecha]],"mmm-yyyy")</f>
        <v>mar-2024</v>
      </c>
      <c r="D163" s="377">
        <v>45362</v>
      </c>
      <c r="E163" s="102" t="s">
        <v>22</v>
      </c>
      <c r="F163" s="102">
        <v>3920185556</v>
      </c>
      <c r="G163" s="398">
        <v>-164380</v>
      </c>
      <c r="H163" s="398">
        <f>Banco[[#This Row],[cargos]]*-1</f>
        <v>164380</v>
      </c>
      <c r="I163" s="398">
        <v>0</v>
      </c>
      <c r="J163" s="398">
        <v>35843227</v>
      </c>
      <c r="K163" s="398">
        <f>+Banco[[#This Row],[cargos]]+Banco[[#This Row],[Ingresos]]</f>
        <v>-164380</v>
      </c>
      <c r="L163" s="379" t="s">
        <v>23</v>
      </c>
      <c r="M163" s="379" t="str">
        <f>MID(Banco[[#This Row],[CtaCtbl]],FIND(" - ",Banco[[#This Row],[CtaCtbl]])+3,40)</f>
        <v>Asesoria Legal - Convenio Fijo Mensual</v>
      </c>
      <c r="N163" s="381" t="s">
        <v>91</v>
      </c>
      <c r="O163" s="379"/>
    </row>
    <row r="164" spans="1:15" hidden="1">
      <c r="A164" s="375">
        <f>YEAR(Banco[[#This Row],[Fecha]])</f>
        <v>2024</v>
      </c>
      <c r="B164" s="375" t="str">
        <f>PROPER(TEXT(Banco[[#This Row],[Fecha]],"MMMM"))</f>
        <v>Marzo</v>
      </c>
      <c r="C164" s="376" t="str">
        <f>TEXT(Banco[[#This Row],[Fecha]],"mmm-yyyy")</f>
        <v>mar-2024</v>
      </c>
      <c r="D164" s="377">
        <v>45371</v>
      </c>
      <c r="E164" s="102" t="s">
        <v>15</v>
      </c>
      <c r="F164" s="102">
        <v>3938748950</v>
      </c>
      <c r="G164" s="398">
        <v>0</v>
      </c>
      <c r="H164" s="398">
        <f>Banco[[#This Row],[cargos]]*-1</f>
        <v>0</v>
      </c>
      <c r="I164" s="398">
        <v>2220892</v>
      </c>
      <c r="J164" s="398">
        <v>37899779</v>
      </c>
      <c r="K164" s="398">
        <f>+Banco[[#This Row],[cargos]]+Banco[[#This Row],[Ingresos]]</f>
        <v>2220892</v>
      </c>
      <c r="L164" s="379" t="s">
        <v>16</v>
      </c>
      <c r="M164" s="379" t="str">
        <f>MID(Banco[[#This Row],[CtaCtbl]],FIND(" - ",Banco[[#This Row],[CtaCtbl]])+3,40)</f>
        <v>Cuota Extraordinaria</v>
      </c>
      <c r="N164" s="379"/>
      <c r="O164" s="379"/>
    </row>
    <row r="165" spans="1:15" hidden="1">
      <c r="A165" s="375">
        <f>YEAR(Banco[[#This Row],[Fecha]])</f>
        <v>2024</v>
      </c>
      <c r="B165" s="375" t="str">
        <f>PROPER(TEXT(Banco[[#This Row],[Fecha]],"MMMM"))</f>
        <v>Marzo</v>
      </c>
      <c r="C165" s="376" t="str">
        <f>TEXT(Banco[[#This Row],[Fecha]],"mmm-yyyy")</f>
        <v>mar-2024</v>
      </c>
      <c r="D165" s="377">
        <v>45379</v>
      </c>
      <c r="E165" s="102" t="s">
        <v>15</v>
      </c>
      <c r="F165" s="102"/>
      <c r="G165" s="398">
        <v>0</v>
      </c>
      <c r="H165" s="398">
        <f>Banco[[#This Row],[cargos]]*-1</f>
        <v>0</v>
      </c>
      <c r="I165" s="398">
        <v>36715</v>
      </c>
      <c r="J165" s="398"/>
      <c r="K165" s="398">
        <f>+Banco[[#This Row],[cargos]]+Banco[[#This Row],[Ingresos]]</f>
        <v>36715</v>
      </c>
      <c r="L165" s="379" t="s">
        <v>16</v>
      </c>
      <c r="M165" s="379" t="str">
        <f>MID(Banco[[#This Row],[CtaCtbl]],FIND(" - ",Banco[[#This Row],[CtaCtbl]])+3,40)</f>
        <v>Cuota Extraordinaria</v>
      </c>
      <c r="N165" s="379"/>
      <c r="O165" s="379"/>
    </row>
    <row r="166" spans="1:15" hidden="1">
      <c r="A166" s="375">
        <f>YEAR(Banco[[#This Row],[Fecha]])</f>
        <v>2024</v>
      </c>
      <c r="B166" s="375" t="str">
        <f>PROPER(TEXT(Banco[[#This Row],[Fecha]],"MMMM"))</f>
        <v>Marzo</v>
      </c>
      <c r="C166" s="376" t="str">
        <f>TEXT(Banco[[#This Row],[Fecha]],"mmm-yyyy")</f>
        <v>mar-2024</v>
      </c>
      <c r="D166" s="377">
        <v>45379</v>
      </c>
      <c r="E166" s="102" t="s">
        <v>15</v>
      </c>
      <c r="F166" s="102">
        <v>3954902955</v>
      </c>
      <c r="G166" s="398">
        <v>0</v>
      </c>
      <c r="H166" s="398">
        <f>Banco[[#This Row],[cargos]]*-1</f>
        <v>0</v>
      </c>
      <c r="I166" s="398">
        <v>3635212</v>
      </c>
      <c r="J166" s="398">
        <v>41571706</v>
      </c>
      <c r="K166" s="398">
        <f>+Banco[[#This Row],[cargos]]+Banco[[#This Row],[Ingresos]]</f>
        <v>3635212</v>
      </c>
      <c r="L166" s="379" t="s">
        <v>18</v>
      </c>
      <c r="M166" s="379" t="str">
        <f>MID(Banco[[#This Row],[CtaCtbl]],FIND(" - ",Banco[[#This Row],[CtaCtbl]])+3,40)</f>
        <v>Cuota Ordinaria</v>
      </c>
      <c r="N166" s="379"/>
      <c r="O166" s="379"/>
    </row>
    <row r="167" spans="1:15" hidden="1">
      <c r="A167" s="375">
        <f>YEAR(Banco[[#This Row],[Fecha]])</f>
        <v>2024</v>
      </c>
      <c r="B167" s="375" t="str">
        <f>PROPER(TEXT(Banco[[#This Row],[Fecha]],"MMMM"))</f>
        <v>Abril</v>
      </c>
      <c r="C167" s="376" t="str">
        <f>TEXT(Banco[[#This Row],[Fecha]],"mmm-yyyy")</f>
        <v>abr-2024</v>
      </c>
      <c r="D167" s="377">
        <v>45383</v>
      </c>
      <c r="E167" s="102" t="s">
        <v>24</v>
      </c>
      <c r="F167" s="102">
        <v>3964202830</v>
      </c>
      <c r="G167" s="398">
        <v>-22075</v>
      </c>
      <c r="H167" s="398">
        <f>Banco[[#This Row],[cargos]]*-1</f>
        <v>22075</v>
      </c>
      <c r="I167" s="398">
        <v>0</v>
      </c>
      <c r="J167" s="398">
        <v>41549631</v>
      </c>
      <c r="K167" s="398">
        <f>+Banco[[#This Row],[cargos]]+Banco[[#This Row],[Ingresos]]</f>
        <v>-22075</v>
      </c>
      <c r="L167" s="379" t="s">
        <v>25</v>
      </c>
      <c r="M167" s="379" t="str">
        <f>MID(Banco[[#This Row],[CtaCtbl]],FIND(" - ",Banco[[#This Row],[CtaCtbl]])+3,40)</f>
        <v>Pago Comisiones</v>
      </c>
      <c r="N167" s="379"/>
      <c r="O167" s="379"/>
    </row>
    <row r="168" spans="1:15" hidden="1">
      <c r="A168" s="375">
        <f>YEAR(Banco[[#This Row],[Fecha]])</f>
        <v>2024</v>
      </c>
      <c r="B168" s="375" t="str">
        <f>PROPER(TEXT(Banco[[#This Row],[Fecha]],"MMMM"))</f>
        <v>Abril</v>
      </c>
      <c r="C168" s="376" t="str">
        <f>TEXT(Banco[[#This Row],[Fecha]],"mmm-yyyy")</f>
        <v>abr-2024</v>
      </c>
      <c r="D168" s="377">
        <v>45408</v>
      </c>
      <c r="E168" s="102" t="s">
        <v>15</v>
      </c>
      <c r="F168" s="102"/>
      <c r="G168" s="398">
        <v>0</v>
      </c>
      <c r="H168" s="398">
        <f>Banco[[#This Row],[cargos]]*-1</f>
        <v>0</v>
      </c>
      <c r="I168" s="398">
        <v>92806</v>
      </c>
      <c r="J168" s="398"/>
      <c r="K168" s="398">
        <f>+Banco[[#This Row],[cargos]]+Banco[[#This Row],[Ingresos]]</f>
        <v>92806</v>
      </c>
      <c r="L168" s="379" t="s">
        <v>16</v>
      </c>
      <c r="M168" s="379" t="str">
        <f>MID(Banco[[#This Row],[CtaCtbl]],FIND(" - ",Banco[[#This Row],[CtaCtbl]])+3,40)</f>
        <v>Cuota Extraordinaria</v>
      </c>
      <c r="N168" s="379"/>
      <c r="O168" s="379"/>
    </row>
    <row r="169" spans="1:15" hidden="1">
      <c r="A169" s="375">
        <f>YEAR(Banco[[#This Row],[Fecha]])</f>
        <v>2024</v>
      </c>
      <c r="B169" s="375" t="str">
        <f>PROPER(TEXT(Banco[[#This Row],[Fecha]],"MMMM"))</f>
        <v>Abril</v>
      </c>
      <c r="C169" s="376" t="str">
        <f>TEXT(Banco[[#This Row],[Fecha]],"mmm-yyyy")</f>
        <v>abr-2024</v>
      </c>
      <c r="D169" s="377">
        <v>45408</v>
      </c>
      <c r="E169" s="102" t="s">
        <v>15</v>
      </c>
      <c r="F169" s="102">
        <v>4014902092</v>
      </c>
      <c r="G169" s="398">
        <v>0</v>
      </c>
      <c r="H169" s="398">
        <f>Banco[[#This Row],[cargos]]*-1</f>
        <v>0</v>
      </c>
      <c r="I169" s="398">
        <v>3688938</v>
      </c>
      <c r="J169" s="398">
        <v>45331375</v>
      </c>
      <c r="K169" s="398">
        <f>+Banco[[#This Row],[cargos]]+Banco[[#This Row],[Ingresos]]</f>
        <v>3688938</v>
      </c>
      <c r="L169" s="379" t="s">
        <v>18</v>
      </c>
      <c r="M169" s="379" t="str">
        <f>MID(Banco[[#This Row],[CtaCtbl]],FIND(" - ",Banco[[#This Row],[CtaCtbl]])+3,40)</f>
        <v>Cuota Ordinaria</v>
      </c>
      <c r="N169" s="379"/>
      <c r="O169" s="379"/>
    </row>
    <row r="170" spans="1:15" hidden="1">
      <c r="A170" s="375">
        <f>YEAR(Banco[[#This Row],[Fecha]])</f>
        <v>2024</v>
      </c>
      <c r="B170" s="375" t="str">
        <f>PROPER(TEXT(Banco[[#This Row],[Fecha]],"MMMM"))</f>
        <v>Mayo</v>
      </c>
      <c r="C170" s="376" t="str">
        <f>TEXT(Banco[[#This Row],[Fecha]],"mmm-yyyy")</f>
        <v>may-2024</v>
      </c>
      <c r="D170" s="377">
        <v>45414</v>
      </c>
      <c r="E170" s="102" t="s">
        <v>24</v>
      </c>
      <c r="F170" s="102">
        <v>4029099436</v>
      </c>
      <c r="G170" s="398">
        <v>-22177</v>
      </c>
      <c r="H170" s="398">
        <f>Banco[[#This Row],[cargos]]*-1</f>
        <v>22177</v>
      </c>
      <c r="I170" s="398">
        <v>0</v>
      </c>
      <c r="J170" s="398">
        <v>45309198</v>
      </c>
      <c r="K170" s="398">
        <f>+Banco[[#This Row],[cargos]]+Banco[[#This Row],[Ingresos]]</f>
        <v>-22177</v>
      </c>
      <c r="L170" s="379" t="s">
        <v>25</v>
      </c>
      <c r="M170" s="379" t="str">
        <f>MID(Banco[[#This Row],[CtaCtbl]],FIND(" - ",Banco[[#This Row],[CtaCtbl]])+3,40)</f>
        <v>Pago Comisiones</v>
      </c>
      <c r="N170" s="379"/>
      <c r="O170" s="379"/>
    </row>
    <row r="171" spans="1:15" hidden="1">
      <c r="A171" s="375">
        <f>YEAR(Banco[[#This Row],[Fecha]])</f>
        <v>2024</v>
      </c>
      <c r="B171" s="375" t="str">
        <f>PROPER(TEXT(Banco[[#This Row],[Fecha]],"MMMM"))</f>
        <v>Mayo</v>
      </c>
      <c r="C171" s="376" t="str">
        <f>TEXT(Banco[[#This Row],[Fecha]],"mmm-yyyy")</f>
        <v>may-2024</v>
      </c>
      <c r="D171" s="377">
        <v>45415</v>
      </c>
      <c r="E171" s="102" t="s">
        <v>22</v>
      </c>
      <c r="F171" s="102">
        <v>4030915130</v>
      </c>
      <c r="G171" s="398">
        <v>-163340</v>
      </c>
      <c r="H171" s="398">
        <f>Banco[[#This Row],[cargos]]*-1</f>
        <v>163340</v>
      </c>
      <c r="I171" s="398">
        <v>0</v>
      </c>
      <c r="J171" s="398">
        <v>45145858</v>
      </c>
      <c r="K171" s="398">
        <f>+Banco[[#This Row],[cargos]]+Banco[[#This Row],[Ingresos]]</f>
        <v>-163340</v>
      </c>
      <c r="L171" s="379" t="s">
        <v>23</v>
      </c>
      <c r="M171" s="379" t="str">
        <f>MID(Banco[[#This Row],[CtaCtbl]],FIND(" - ",Banco[[#This Row],[CtaCtbl]])+3,40)</f>
        <v>Asesoria Legal - Convenio Fijo Mensual</v>
      </c>
      <c r="N171" s="380" t="s">
        <v>92</v>
      </c>
      <c r="O171" s="379"/>
    </row>
    <row r="172" spans="1:15" hidden="1">
      <c r="A172" s="375">
        <f>YEAR(Banco[[#This Row],[Fecha]])</f>
        <v>2024</v>
      </c>
      <c r="B172" s="375" t="str">
        <f>PROPER(TEXT(Banco[[#This Row],[Fecha]],"MMMM"))</f>
        <v>Mayo</v>
      </c>
      <c r="C172" s="376" t="str">
        <f>TEXT(Banco[[#This Row],[Fecha]],"mmm-yyyy")</f>
        <v>may-2024</v>
      </c>
      <c r="D172" s="377">
        <v>45418</v>
      </c>
      <c r="E172" s="102" t="s">
        <v>79</v>
      </c>
      <c r="F172" s="102">
        <v>4035208598</v>
      </c>
      <c r="G172" s="398">
        <v>-20000000</v>
      </c>
      <c r="H172" s="398">
        <f>Banco[[#This Row],[cargos]]*-1</f>
        <v>20000000</v>
      </c>
      <c r="I172" s="398">
        <v>0</v>
      </c>
      <c r="J172" s="398">
        <v>25145858</v>
      </c>
      <c r="K172" s="398">
        <f>+Banco[[#This Row],[cargos]]+Banco[[#This Row],[Ingresos]]</f>
        <v>-20000000</v>
      </c>
      <c r="L172" s="379" t="s">
        <v>80</v>
      </c>
      <c r="M172" s="379" t="str">
        <f>MID(Banco[[#This Row],[CtaCtbl]],FIND(" - ",Banco[[#This Row],[CtaCtbl]])+3,40)</f>
        <v>Deposito a Plazo a 30</v>
      </c>
      <c r="N172" s="379"/>
      <c r="O172" s="379"/>
    </row>
    <row r="173" spans="1:15" hidden="1">
      <c r="A173" s="375">
        <f>YEAR(Banco[[#This Row],[Fecha]])</f>
        <v>2024</v>
      </c>
      <c r="B173" s="375" t="str">
        <f>PROPER(TEXT(Banco[[#This Row],[Fecha]],"MMMM"))</f>
        <v>Mayo</v>
      </c>
      <c r="C173" s="376" t="str">
        <f>TEXT(Banco[[#This Row],[Fecha]],"mmm-yyyy")</f>
        <v>may-2024</v>
      </c>
      <c r="D173" s="377">
        <v>45436</v>
      </c>
      <c r="E173" s="102" t="s">
        <v>15</v>
      </c>
      <c r="F173" s="102"/>
      <c r="G173" s="398">
        <v>0</v>
      </c>
      <c r="H173" s="398">
        <f>Banco[[#This Row],[cargos]]*-1</f>
        <v>0</v>
      </c>
      <c r="I173" s="398">
        <v>18282</v>
      </c>
      <c r="J173" s="398"/>
      <c r="K173" s="398">
        <f>+Banco[[#This Row],[cargos]]+Banco[[#This Row],[Ingresos]]</f>
        <v>18282</v>
      </c>
      <c r="L173" s="379" t="s">
        <v>16</v>
      </c>
      <c r="M173" s="379" t="str">
        <f>MID(Banco[[#This Row],[CtaCtbl]],FIND(" - ",Banco[[#This Row],[CtaCtbl]])+3,40)</f>
        <v>Cuota Extraordinaria</v>
      </c>
      <c r="N173" s="379"/>
      <c r="O173" s="379"/>
    </row>
    <row r="174" spans="1:15" hidden="1">
      <c r="A174" s="375">
        <f>YEAR(Banco[[#This Row],[Fecha]])</f>
        <v>2024</v>
      </c>
      <c r="B174" s="375" t="str">
        <f>PROPER(TEXT(Banco[[#This Row],[Fecha]],"MMMM"))</f>
        <v>Mayo</v>
      </c>
      <c r="C174" s="376" t="str">
        <f>TEXT(Banco[[#This Row],[Fecha]],"mmm-yyyy")</f>
        <v>may-2024</v>
      </c>
      <c r="D174" s="377">
        <v>45436</v>
      </c>
      <c r="E174" s="102" t="s">
        <v>15</v>
      </c>
      <c r="F174" s="102">
        <v>4071669462</v>
      </c>
      <c r="G174" s="398">
        <v>0</v>
      </c>
      <c r="H174" s="398">
        <f>Banco[[#This Row],[cargos]]*-1</f>
        <v>0</v>
      </c>
      <c r="I174" s="398">
        <v>3650205</v>
      </c>
      <c r="J174" s="398">
        <v>28814345</v>
      </c>
      <c r="K174" s="398">
        <f>+Banco[[#This Row],[cargos]]+Banco[[#This Row],[Ingresos]]</f>
        <v>3650205</v>
      </c>
      <c r="L174" s="379" t="s">
        <v>18</v>
      </c>
      <c r="M174" s="379" t="str">
        <f>MID(Banco[[#This Row],[CtaCtbl]],FIND(" - ",Banco[[#This Row],[CtaCtbl]])+3,40)</f>
        <v>Cuota Ordinaria</v>
      </c>
      <c r="N174" s="379"/>
      <c r="O174" s="379"/>
    </row>
    <row r="175" spans="1:15" s="275" customFormat="1" hidden="1">
      <c r="A175" s="375">
        <f>YEAR(Banco[[#This Row],[Fecha]])</f>
        <v>2024</v>
      </c>
      <c r="B175" s="375" t="str">
        <f>PROPER(TEXT(Banco[[#This Row],[Fecha]],"MMMM"))</f>
        <v>Mayo</v>
      </c>
      <c r="C175" s="376" t="str">
        <f>TEXT(Banco[[#This Row],[Fecha]],"mmm-yyyy")</f>
        <v>may-2024</v>
      </c>
      <c r="D175" s="377">
        <v>45441</v>
      </c>
      <c r="E175" s="102" t="s">
        <v>29</v>
      </c>
      <c r="F175" s="102">
        <v>4080700540</v>
      </c>
      <c r="G175" s="398">
        <v>-587510</v>
      </c>
      <c r="H175" s="398">
        <f>Banco[[#This Row],[cargos]]*-1</f>
        <v>587510</v>
      </c>
      <c r="I175" s="398">
        <v>0</v>
      </c>
      <c r="J175" s="398">
        <v>28226835</v>
      </c>
      <c r="K175" s="398">
        <f>+Banco[[#This Row],[cargos]]+Banco[[#This Row],[Ingresos]]</f>
        <v>-587510</v>
      </c>
      <c r="L175" s="379" t="s">
        <v>20</v>
      </c>
      <c r="M175" s="379" t="str">
        <f>MID(Banco[[#This Row],[CtaCtbl]],FIND(" - ",Banco[[#This Row],[CtaCtbl]])+3,40)</f>
        <v>Traslado Terrestre Van/Taxi,etc</v>
      </c>
      <c r="N175" s="380" t="s">
        <v>93</v>
      </c>
      <c r="O175" s="379"/>
    </row>
    <row r="176" spans="1:15" hidden="1">
      <c r="A176" s="375">
        <f>YEAR(Banco[[#This Row],[Fecha]])</f>
        <v>2024</v>
      </c>
      <c r="B176" s="375" t="str">
        <f>PROPER(TEXT(Banco[[#This Row],[Fecha]],"MMMM"))</f>
        <v>Junio</v>
      </c>
      <c r="C176" s="376" t="str">
        <f>TEXT(Banco[[#This Row],[Fecha]],"mmm-yyyy")</f>
        <v>jun-2024</v>
      </c>
      <c r="D176" s="377">
        <v>45446</v>
      </c>
      <c r="E176" s="102" t="s">
        <v>24</v>
      </c>
      <c r="F176" s="102">
        <v>4094064337</v>
      </c>
      <c r="G176" s="398">
        <v>-22286</v>
      </c>
      <c r="H176" s="398">
        <f>Banco[[#This Row],[cargos]]*-1</f>
        <v>22286</v>
      </c>
      <c r="I176" s="398">
        <v>0</v>
      </c>
      <c r="J176" s="398">
        <v>28204549</v>
      </c>
      <c r="K176" s="398">
        <f>+Banco[[#This Row],[cargos]]+Banco[[#This Row],[Ingresos]]</f>
        <v>-22286</v>
      </c>
      <c r="L176" s="379" t="s">
        <v>25</v>
      </c>
      <c r="M176" s="379" t="str">
        <f>MID(Banco[[#This Row],[CtaCtbl]],FIND(" - ",Banco[[#This Row],[CtaCtbl]])+3,40)</f>
        <v>Pago Comisiones</v>
      </c>
      <c r="N176" s="379"/>
      <c r="O176" s="379"/>
    </row>
    <row r="177" spans="1:15" hidden="1">
      <c r="A177" s="375">
        <f>YEAR(Banco[[#This Row],[Fecha]])</f>
        <v>2024</v>
      </c>
      <c r="B177" s="375" t="str">
        <f>PROPER(TEXT(Banco[[#This Row],[Fecha]],"MMMM"))</f>
        <v>Junio</v>
      </c>
      <c r="C177" s="376" t="str">
        <f>TEXT(Banco[[#This Row],[Fecha]],"mmm-yyyy")</f>
        <v>jun-2024</v>
      </c>
      <c r="D177" s="377">
        <v>45447</v>
      </c>
      <c r="E177" s="102" t="s">
        <v>29</v>
      </c>
      <c r="F177" s="102">
        <v>4095434124</v>
      </c>
      <c r="G177" s="398">
        <v>-85900</v>
      </c>
      <c r="H177" s="398">
        <f>Banco[[#This Row],[cargos]]*-1</f>
        <v>85900</v>
      </c>
      <c r="I177" s="398">
        <v>0</v>
      </c>
      <c r="J177" s="398">
        <v>27954309</v>
      </c>
      <c r="K177" s="398">
        <f>+Banco[[#This Row],[cargos]]+Banco[[#This Row],[Ingresos]]</f>
        <v>-85900</v>
      </c>
      <c r="L177" s="379" t="s">
        <v>94</v>
      </c>
      <c r="M177" s="379" t="str">
        <f>MID(Banco[[#This Row],[CtaCtbl]],FIND(" - ",Banco[[#This Row],[CtaCtbl]])+3,40)</f>
        <v>Coronas de Caridad Condolencias</v>
      </c>
      <c r="N177" s="380" t="s">
        <v>95</v>
      </c>
      <c r="O177" s="379"/>
    </row>
    <row r="178" spans="1:15" hidden="1">
      <c r="A178" s="375">
        <f>YEAR(Banco[[#This Row],[Fecha]])</f>
        <v>2024</v>
      </c>
      <c r="B178" s="375" t="str">
        <f>PROPER(TEXT(Banco[[#This Row],[Fecha]],"MMMM"))</f>
        <v>Junio</v>
      </c>
      <c r="C178" s="376" t="str">
        <f>TEXT(Banco[[#This Row],[Fecha]],"mmm-yyyy")</f>
        <v>jun-2024</v>
      </c>
      <c r="D178" s="377">
        <v>45447</v>
      </c>
      <c r="E178" s="102" t="s">
        <v>22</v>
      </c>
      <c r="F178" s="102">
        <v>4095428450</v>
      </c>
      <c r="G178" s="398">
        <v>-164340</v>
      </c>
      <c r="H178" s="398">
        <f>Banco[[#This Row],[cargos]]*-1</f>
        <v>164340</v>
      </c>
      <c r="I178" s="398">
        <v>0</v>
      </c>
      <c r="J178" s="398">
        <v>28040209</v>
      </c>
      <c r="K178" s="398">
        <f>+Banco[[#This Row],[cargos]]+Banco[[#This Row],[Ingresos]]</f>
        <v>-164340</v>
      </c>
      <c r="L178" s="379" t="s">
        <v>23</v>
      </c>
      <c r="M178" s="379" t="str">
        <f>MID(Banco[[#This Row],[CtaCtbl]],FIND(" - ",Banco[[#This Row],[CtaCtbl]])+3,40)</f>
        <v>Asesoria Legal - Convenio Fijo Mensual</v>
      </c>
      <c r="N178" s="380" t="s">
        <v>96</v>
      </c>
      <c r="O178" s="379"/>
    </row>
    <row r="179" spans="1:15" hidden="1">
      <c r="A179" s="375">
        <f>YEAR(Banco[[#This Row],[Fecha]])</f>
        <v>2024</v>
      </c>
      <c r="B179" s="375" t="str">
        <f>PROPER(TEXT(Banco[[#This Row],[Fecha]],"MMMM"))</f>
        <v>Junio</v>
      </c>
      <c r="C179" s="376" t="str">
        <f>TEXT(Banco[[#This Row],[Fecha]],"mmm-yyyy")</f>
        <v>jun-2024</v>
      </c>
      <c r="D179" s="377">
        <v>45449</v>
      </c>
      <c r="E179" s="102" t="s">
        <v>22</v>
      </c>
      <c r="F179" s="102">
        <v>4100953887</v>
      </c>
      <c r="G179" s="398">
        <v>-160190</v>
      </c>
      <c r="H179" s="398">
        <f>Banco[[#This Row],[cargos]]*-1</f>
        <v>160190</v>
      </c>
      <c r="I179" s="398">
        <v>0</v>
      </c>
      <c r="J179" s="398">
        <v>27633929</v>
      </c>
      <c r="K179" s="398">
        <f>+Banco[[#This Row],[cargos]]+Banco[[#This Row],[Ingresos]]</f>
        <v>-160190</v>
      </c>
      <c r="L179" s="379" t="s">
        <v>23</v>
      </c>
      <c r="M179" s="379" t="str">
        <f>MID(Banco[[#This Row],[CtaCtbl]],FIND(" - ",Banco[[#This Row],[CtaCtbl]])+3,40)</f>
        <v>Asesoria Legal - Convenio Fijo Mensual</v>
      </c>
      <c r="N179" s="380" t="s">
        <v>97</v>
      </c>
      <c r="O179" s="379"/>
    </row>
    <row r="180" spans="1:15" hidden="1">
      <c r="A180" s="375">
        <f>YEAR(Banco[[#This Row],[Fecha]])</f>
        <v>2024</v>
      </c>
      <c r="B180" s="375" t="str">
        <f>PROPER(TEXT(Banco[[#This Row],[Fecha]],"MMMM"))</f>
        <v>Junio</v>
      </c>
      <c r="C180" s="376" t="str">
        <f>TEXT(Banco[[#This Row],[Fecha]],"mmm-yyyy")</f>
        <v>jun-2024</v>
      </c>
      <c r="D180" s="377">
        <v>45449</v>
      </c>
      <c r="E180" s="102" t="s">
        <v>22</v>
      </c>
      <c r="F180" s="102">
        <v>4100939835</v>
      </c>
      <c r="G180" s="398">
        <v>-160190</v>
      </c>
      <c r="H180" s="398">
        <f>Banco[[#This Row],[cargos]]*-1</f>
        <v>160190</v>
      </c>
      <c r="I180" s="398">
        <v>0</v>
      </c>
      <c r="J180" s="398">
        <v>27794119</v>
      </c>
      <c r="K180" s="398">
        <f>+Banco[[#This Row],[cargos]]+Banco[[#This Row],[Ingresos]]</f>
        <v>-160190</v>
      </c>
      <c r="L180" s="379" t="s">
        <v>23</v>
      </c>
      <c r="M180" s="379" t="str">
        <f>MID(Banco[[#This Row],[CtaCtbl]],FIND(" - ",Banco[[#This Row],[CtaCtbl]])+3,40)</f>
        <v>Asesoria Legal - Convenio Fijo Mensual</v>
      </c>
      <c r="N180" s="380" t="s">
        <v>98</v>
      </c>
      <c r="O180" s="379"/>
    </row>
    <row r="181" spans="1:15" hidden="1">
      <c r="A181" s="375">
        <f>YEAR(Banco[[#This Row],[Fecha]])</f>
        <v>2024</v>
      </c>
      <c r="B181" s="375" t="str">
        <f>PROPER(TEXT(Banco[[#This Row],[Fecha]],"MMMM"))</f>
        <v>Junio</v>
      </c>
      <c r="C181" s="376" t="str">
        <f>TEXT(Banco[[#This Row],[Fecha]],"mmm-yyyy")</f>
        <v>jun-2024</v>
      </c>
      <c r="D181" s="377">
        <v>45454</v>
      </c>
      <c r="E181" s="102" t="s">
        <v>99</v>
      </c>
      <c r="F181" s="102">
        <v>4107390654</v>
      </c>
      <c r="G181" s="398">
        <v>-500000</v>
      </c>
      <c r="H181" s="398">
        <f>Banco[[#This Row],[cargos]]*-1</f>
        <v>500000</v>
      </c>
      <c r="I181" s="398">
        <v>0</v>
      </c>
      <c r="J181" s="398">
        <v>27133929</v>
      </c>
      <c r="K181" s="398">
        <f>+Banco[[#This Row],[cargos]]+Banco[[#This Row],[Ingresos]]</f>
        <v>-500000</v>
      </c>
      <c r="L181" s="379" t="s">
        <v>100</v>
      </c>
      <c r="M181" s="379" t="str">
        <f>MID(Banco[[#This Row],[CtaCtbl]],FIND(" - ",Banco[[#This Row],[CtaCtbl]])+3,40)</f>
        <v>Licencia Software Annual</v>
      </c>
      <c r="N181" s="380" t="s">
        <v>101</v>
      </c>
      <c r="O181" s="379"/>
    </row>
    <row r="182" spans="1:15" hidden="1">
      <c r="A182" s="375">
        <f>YEAR(Banco[[#This Row],[Fecha]])</f>
        <v>2024</v>
      </c>
      <c r="B182" s="375" t="str">
        <f>PROPER(TEXT(Banco[[#This Row],[Fecha]],"MMMM"))</f>
        <v>Junio</v>
      </c>
      <c r="C182" s="376" t="str">
        <f>TEXT(Banco[[#This Row],[Fecha]],"mmm-yyyy")</f>
        <v>jun-2024</v>
      </c>
      <c r="D182" s="377">
        <v>45454</v>
      </c>
      <c r="E182" s="102" t="s">
        <v>99</v>
      </c>
      <c r="F182" s="102">
        <v>4110984185</v>
      </c>
      <c r="G182" s="398">
        <v>-106900</v>
      </c>
      <c r="H182" s="398">
        <f>Banco[[#This Row],[cargos]]*-1</f>
        <v>106900</v>
      </c>
      <c r="I182" s="398">
        <v>0</v>
      </c>
      <c r="J182" s="398">
        <v>27027029</v>
      </c>
      <c r="K182" s="398">
        <f>+Banco[[#This Row],[cargos]]+Banco[[#This Row],[Ingresos]]</f>
        <v>-106900</v>
      </c>
      <c r="L182" s="379" t="s">
        <v>100</v>
      </c>
      <c r="M182" s="379" t="str">
        <f>MID(Banco[[#This Row],[CtaCtbl]],FIND(" - ",Banco[[#This Row],[CtaCtbl]])+3,40)</f>
        <v>Licencia Software Annual</v>
      </c>
      <c r="N182" s="380" t="s">
        <v>101</v>
      </c>
      <c r="O182" s="379"/>
    </row>
    <row r="183" spans="1:15" hidden="1">
      <c r="A183" s="375">
        <f>YEAR(Banco[[#This Row],[Fecha]])</f>
        <v>2024</v>
      </c>
      <c r="B183" s="375" t="str">
        <f>PROPER(TEXT(Banco[[#This Row],[Fecha]],"MMMM"))</f>
        <v>Junio</v>
      </c>
      <c r="C183" s="376" t="str">
        <f>TEXT(Banco[[#This Row],[Fecha]],"mmm-yyyy")</f>
        <v>jun-2024</v>
      </c>
      <c r="D183" s="377">
        <v>45469</v>
      </c>
      <c r="E183" s="102" t="s">
        <v>15</v>
      </c>
      <c r="F183" s="102"/>
      <c r="G183" s="398">
        <v>0</v>
      </c>
      <c r="H183" s="398">
        <f>Banco[[#This Row],[cargos]]*-1</f>
        <v>0</v>
      </c>
      <c r="I183" s="398">
        <v>18282</v>
      </c>
      <c r="J183" s="398"/>
      <c r="K183" s="398">
        <f>+Banco[[#This Row],[cargos]]+Banco[[#This Row],[Ingresos]]</f>
        <v>18282</v>
      </c>
      <c r="L183" s="379" t="s">
        <v>16</v>
      </c>
      <c r="M183" s="379" t="str">
        <f>MID(Banco[[#This Row],[CtaCtbl]],FIND(" - ",Banco[[#This Row],[CtaCtbl]])+3,40)</f>
        <v>Cuota Extraordinaria</v>
      </c>
      <c r="N183" s="379"/>
      <c r="O183" s="379"/>
    </row>
    <row r="184" spans="1:15" hidden="1">
      <c r="A184" s="375">
        <f>YEAR(Banco[[#This Row],[Fecha]])</f>
        <v>2024</v>
      </c>
      <c r="B184" s="375" t="str">
        <f>PROPER(TEXT(Banco[[#This Row],[Fecha]],"MMMM"))</f>
        <v>Junio</v>
      </c>
      <c r="C184" s="376" t="str">
        <f>TEXT(Banco[[#This Row],[Fecha]],"mmm-yyyy")</f>
        <v>jun-2024</v>
      </c>
      <c r="D184" s="377">
        <v>45469</v>
      </c>
      <c r="E184" s="102" t="s">
        <v>15</v>
      </c>
      <c r="F184" s="102">
        <v>4138428299</v>
      </c>
      <c r="G184" s="398">
        <v>0</v>
      </c>
      <c r="H184" s="398">
        <f>Banco[[#This Row],[cargos]]*-1</f>
        <v>0</v>
      </c>
      <c r="I184" s="398">
        <v>3644484</v>
      </c>
      <c r="J184" s="398">
        <v>30689795</v>
      </c>
      <c r="K184" s="398">
        <f>+Banco[[#This Row],[cargos]]+Banco[[#This Row],[Ingresos]]</f>
        <v>3644484</v>
      </c>
      <c r="L184" s="379" t="s">
        <v>18</v>
      </c>
      <c r="M184" s="379" t="str">
        <f>MID(Banco[[#This Row],[CtaCtbl]],FIND(" - ",Banco[[#This Row],[CtaCtbl]])+3,40)</f>
        <v>Cuota Ordinaria</v>
      </c>
      <c r="N184" s="379"/>
      <c r="O184" s="379"/>
    </row>
    <row r="185" spans="1:15" hidden="1">
      <c r="A185" s="375">
        <f>YEAR(Banco[[#This Row],[Fecha]])</f>
        <v>2024</v>
      </c>
      <c r="B185" s="375" t="str">
        <f>PROPER(TEXT(Banco[[#This Row],[Fecha]],"MMMM"))</f>
        <v>Julio</v>
      </c>
      <c r="C185" s="376" t="str">
        <f>TEXT(Banco[[#This Row],[Fecha]],"mmm-yyyy")</f>
        <v>jul-2024</v>
      </c>
      <c r="D185" s="377">
        <v>45474</v>
      </c>
      <c r="E185" s="102" t="s">
        <v>24</v>
      </c>
      <c r="F185" s="102">
        <v>4152402534</v>
      </c>
      <c r="G185" s="398">
        <v>-22358</v>
      </c>
      <c r="H185" s="398">
        <f>Banco[[#This Row],[cargos]]*-1</f>
        <v>22358</v>
      </c>
      <c r="I185" s="398">
        <v>0</v>
      </c>
      <c r="J185" s="398">
        <v>30667437</v>
      </c>
      <c r="K185" s="398">
        <f>+Banco[[#This Row],[cargos]]+Banco[[#This Row],[Ingresos]]</f>
        <v>-22358</v>
      </c>
      <c r="L185" s="379" t="s">
        <v>25</v>
      </c>
      <c r="M185" s="379" t="str">
        <f>MID(Banco[[#This Row],[CtaCtbl]],FIND(" - ",Banco[[#This Row],[CtaCtbl]])+3,40)</f>
        <v>Pago Comisiones</v>
      </c>
      <c r="N185" s="379"/>
      <c r="O185" s="379"/>
    </row>
    <row r="186" spans="1:15" hidden="1">
      <c r="A186" s="375">
        <f>YEAR(Banco[[#This Row],[Fecha]])</f>
        <v>2024</v>
      </c>
      <c r="B186" s="375" t="str">
        <f>PROPER(TEXT(Banco[[#This Row],[Fecha]],"MMMM"))</f>
        <v>Julio</v>
      </c>
      <c r="C186" s="376" t="str">
        <f>TEXT(Banco[[#This Row],[Fecha]],"mmm-yyyy")</f>
        <v>jul-2024</v>
      </c>
      <c r="D186" s="377">
        <v>45502</v>
      </c>
      <c r="E186" s="102" t="s">
        <v>15</v>
      </c>
      <c r="F186" s="102"/>
      <c r="G186" s="398">
        <v>0</v>
      </c>
      <c r="H186" s="398">
        <f>Banco[[#This Row],[cargos]]*-1</f>
        <v>0</v>
      </c>
      <c r="I186" s="398">
        <v>18282</v>
      </c>
      <c r="J186" s="398"/>
      <c r="K186" s="398">
        <f>+Banco[[#This Row],[cargos]]+Banco[[#This Row],[Ingresos]]</f>
        <v>18282</v>
      </c>
      <c r="L186" s="379" t="s">
        <v>16</v>
      </c>
      <c r="M186" s="379" t="str">
        <f>MID(Banco[[#This Row],[CtaCtbl]],FIND(" - ",Banco[[#This Row],[CtaCtbl]])+3,40)</f>
        <v>Cuota Extraordinaria</v>
      </c>
      <c r="N186" s="379"/>
      <c r="O186" s="379"/>
    </row>
    <row r="187" spans="1:15" hidden="1">
      <c r="A187" s="375">
        <f>YEAR(Banco[[#This Row],[Fecha]])</f>
        <v>2024</v>
      </c>
      <c r="B187" s="375" t="str">
        <f>PROPER(TEXT(Banco[[#This Row],[Fecha]],"MMMM"))</f>
        <v>Julio</v>
      </c>
      <c r="C187" s="376" t="str">
        <f>TEXT(Banco[[#This Row],[Fecha]],"mmm-yyyy")</f>
        <v>jul-2024</v>
      </c>
      <c r="D187" s="377">
        <v>45502</v>
      </c>
      <c r="E187" s="102" t="s">
        <v>15</v>
      </c>
      <c r="F187" s="102">
        <v>4205000763</v>
      </c>
      <c r="G187" s="398">
        <v>0</v>
      </c>
      <c r="H187" s="398">
        <f>Banco[[#This Row],[cargos]]*-1</f>
        <v>0</v>
      </c>
      <c r="I187" s="398">
        <v>3626277</v>
      </c>
      <c r="J187" s="398">
        <v>34311996</v>
      </c>
      <c r="K187" s="398">
        <f>+Banco[[#This Row],[cargos]]+Banco[[#This Row],[Ingresos]]</f>
        <v>3626277</v>
      </c>
      <c r="L187" s="379" t="s">
        <v>18</v>
      </c>
      <c r="M187" s="379" t="str">
        <f>MID(Banco[[#This Row],[CtaCtbl]],FIND(" - ",Banco[[#This Row],[CtaCtbl]])+3,40)</f>
        <v>Cuota Ordinaria</v>
      </c>
      <c r="N187" s="379"/>
      <c r="O187" s="379"/>
    </row>
    <row r="188" spans="1:15" hidden="1">
      <c r="A188" s="375">
        <f>YEAR(Banco[[#This Row],[Fecha]])</f>
        <v>2024</v>
      </c>
      <c r="B188" s="375" t="str">
        <f>PROPER(TEXT(Banco[[#This Row],[Fecha]],"MMMM"))</f>
        <v>Agosto</v>
      </c>
      <c r="C188" s="376" t="str">
        <f>TEXT(Banco[[#This Row],[Fecha]],"mmm-yyyy")</f>
        <v>ago-2024</v>
      </c>
      <c r="D188" s="377">
        <v>45505</v>
      </c>
      <c r="E188" s="102" t="s">
        <v>24</v>
      </c>
      <c r="F188" s="102">
        <v>4217893642</v>
      </c>
      <c r="G188" s="398">
        <v>-22359</v>
      </c>
      <c r="H188" s="398">
        <f>Banco[[#This Row],[cargos]]*-1</f>
        <v>22359</v>
      </c>
      <c r="I188" s="398">
        <v>0</v>
      </c>
      <c r="J188" s="398">
        <v>34289637</v>
      </c>
      <c r="K188" s="398">
        <f>+Banco[[#This Row],[cargos]]+Banco[[#This Row],[Ingresos]]</f>
        <v>-22359</v>
      </c>
      <c r="L188" s="379" t="s">
        <v>25</v>
      </c>
      <c r="M188" s="379" t="str">
        <f>MID(Banco[[#This Row],[CtaCtbl]],FIND(" - ",Banco[[#This Row],[CtaCtbl]])+3,40)</f>
        <v>Pago Comisiones</v>
      </c>
      <c r="N188" s="379"/>
      <c r="O188" s="379"/>
    </row>
    <row r="189" spans="1:15" hidden="1">
      <c r="A189" s="375">
        <f>YEAR(Banco[[#This Row],[Fecha]])</f>
        <v>2024</v>
      </c>
      <c r="B189" s="375" t="str">
        <f>PROPER(TEXT(Banco[[#This Row],[Fecha]],"MMMM"))</f>
        <v>Agosto</v>
      </c>
      <c r="C189" s="376" t="str">
        <f>TEXT(Banco[[#This Row],[Fecha]],"mmm-yyyy")</f>
        <v>ago-2024</v>
      </c>
      <c r="D189" s="377">
        <v>45531</v>
      </c>
      <c r="E189" s="102" t="s">
        <v>15</v>
      </c>
      <c r="F189" s="102"/>
      <c r="G189" s="398">
        <v>0</v>
      </c>
      <c r="H189" s="398">
        <f>Banco[[#This Row],[cargos]]*-1</f>
        <v>0</v>
      </c>
      <c r="I189" s="398">
        <v>18282</v>
      </c>
      <c r="J189" s="398"/>
      <c r="K189" s="398">
        <f>+Banco[[#This Row],[cargos]]+Banco[[#This Row],[Ingresos]]</f>
        <v>18282</v>
      </c>
      <c r="L189" s="379" t="s">
        <v>16</v>
      </c>
      <c r="M189" s="379" t="str">
        <f>MID(Banco[[#This Row],[CtaCtbl]],FIND(" - ",Banco[[#This Row],[CtaCtbl]])+3,40)</f>
        <v>Cuota Extraordinaria</v>
      </c>
      <c r="N189" s="379"/>
      <c r="O189" s="379"/>
    </row>
    <row r="190" spans="1:15" hidden="1">
      <c r="A190" s="375">
        <f>YEAR(Banco[[#This Row],[Fecha]])</f>
        <v>2024</v>
      </c>
      <c r="B190" s="375" t="str">
        <f>PROPER(TEXT(Banco[[#This Row],[Fecha]],"MMMM"))</f>
        <v>Agosto</v>
      </c>
      <c r="C190" s="376" t="str">
        <f>TEXT(Banco[[#This Row],[Fecha]],"mmm-yyyy")</f>
        <v>ago-2024</v>
      </c>
      <c r="D190" s="377">
        <v>45531</v>
      </c>
      <c r="E190" s="102" t="s">
        <v>15</v>
      </c>
      <c r="F190" s="102">
        <v>4268018890</v>
      </c>
      <c r="G190" s="398">
        <v>0</v>
      </c>
      <c r="H190" s="398">
        <f>Banco[[#This Row],[cargos]]*-1</f>
        <v>0</v>
      </c>
      <c r="I190" s="398">
        <v>3643261</v>
      </c>
      <c r="J190" s="398">
        <v>37951180</v>
      </c>
      <c r="K190" s="398">
        <f>+Banco[[#This Row],[cargos]]+Banco[[#This Row],[Ingresos]]</f>
        <v>3643261</v>
      </c>
      <c r="L190" s="379" t="s">
        <v>18</v>
      </c>
      <c r="M190" s="379" t="str">
        <f>MID(Banco[[#This Row],[CtaCtbl]],FIND(" - ",Banco[[#This Row],[CtaCtbl]])+3,40)</f>
        <v>Cuota Ordinaria</v>
      </c>
      <c r="N190" s="379"/>
      <c r="O190" s="379"/>
    </row>
    <row r="191" spans="1:15" hidden="1">
      <c r="A191" s="375">
        <f>YEAR(Banco[[#This Row],[Fecha]])</f>
        <v>2024</v>
      </c>
      <c r="B191" s="375" t="str">
        <f>PROPER(TEXT(Banco[[#This Row],[Fecha]],"MMMM"))</f>
        <v>Agosto</v>
      </c>
      <c r="C191" s="376" t="str">
        <f>TEXT(Banco[[#This Row],[Fecha]],"mmm-yyyy")</f>
        <v>ago-2024</v>
      </c>
      <c r="D191" s="377">
        <v>45532</v>
      </c>
      <c r="E191" s="102" t="s">
        <v>102</v>
      </c>
      <c r="F191" s="102">
        <v>4270318655</v>
      </c>
      <c r="G191" s="398">
        <v>-31000</v>
      </c>
      <c r="H191" s="398">
        <f>Banco[[#This Row],[cargos]]*-1</f>
        <v>31000</v>
      </c>
      <c r="I191" s="398">
        <v>0</v>
      </c>
      <c r="J191" s="398">
        <v>37920180</v>
      </c>
      <c r="K191" s="398">
        <f>+Banco[[#This Row],[cargos]]+Banco[[#This Row],[Ingresos]]</f>
        <v>-31000</v>
      </c>
      <c r="L191" s="379" t="s">
        <v>14</v>
      </c>
      <c r="M191" s="379" t="str">
        <f>MID(Banco[[#This Row],[CtaCtbl]],FIND(" - ",Banco[[#This Row],[CtaCtbl]])+3,40)</f>
        <v xml:space="preserve">Otros Pagos </v>
      </c>
      <c r="N191" s="379"/>
      <c r="O191" s="379"/>
    </row>
    <row r="192" spans="1:15" hidden="1">
      <c r="A192" s="375">
        <f>YEAR(Banco[[#This Row],[Fecha]])</f>
        <v>2024</v>
      </c>
      <c r="B192" s="375" t="str">
        <f>PROPER(TEXT(Banco[[#This Row],[Fecha]],"MMMM"))</f>
        <v>Septiembre</v>
      </c>
      <c r="C192" s="376" t="str">
        <f>TEXT(Banco[[#This Row],[Fecha]],"mmm-yyyy")</f>
        <v>sept-2024</v>
      </c>
      <c r="D192" s="377">
        <v>45537</v>
      </c>
      <c r="E192" s="102" t="s">
        <v>24</v>
      </c>
      <c r="F192" s="102">
        <v>4284215723</v>
      </c>
      <c r="G192" s="398">
        <v>-22474</v>
      </c>
      <c r="H192" s="398">
        <f>Banco[[#This Row],[cargos]]*-1</f>
        <v>22474</v>
      </c>
      <c r="I192" s="398">
        <v>0</v>
      </c>
      <c r="J192" s="398"/>
      <c r="K192" s="398">
        <f>+Banco[[#This Row],[cargos]]+Banco[[#This Row],[Ingresos]]</f>
        <v>-22474</v>
      </c>
      <c r="L192" s="379" t="s">
        <v>25</v>
      </c>
      <c r="M192" s="379" t="str">
        <f>MID(Banco[[#This Row],[CtaCtbl]],FIND(" - ",Banco[[#This Row],[CtaCtbl]])+3,40)</f>
        <v>Pago Comisiones</v>
      </c>
      <c r="N192" s="379"/>
      <c r="O192" s="379"/>
    </row>
    <row r="193" spans="1:15" ht="16.2" hidden="1" thickTop="1">
      <c r="A193" s="388">
        <f>YEAR(Banco[[#This Row],[Fecha]])</f>
        <v>2024</v>
      </c>
      <c r="B193" s="388" t="str">
        <f>PROPER(TEXT(Banco[[#This Row],[Fecha]],"MMMM"))</f>
        <v>Septiembre</v>
      </c>
      <c r="C193" s="389" t="str">
        <f>TEXT(Banco[[#This Row],[Fecha]],"mmm-yyyy")</f>
        <v>sept-2024</v>
      </c>
      <c r="D193" s="390">
        <v>45548</v>
      </c>
      <c r="E193" s="391" t="s">
        <v>29</v>
      </c>
      <c r="F193" s="391">
        <v>4309436231</v>
      </c>
      <c r="G193" s="400">
        <v>-12071</v>
      </c>
      <c r="H193" s="400">
        <f>Banco[[#This Row],[cargos]]*-1</f>
        <v>12071</v>
      </c>
      <c r="I193" s="400">
        <v>0</v>
      </c>
      <c r="J193" s="398"/>
      <c r="K193" s="398">
        <f>+Banco[[#This Row],[cargos]]+Banco[[#This Row],[Ingresos]]</f>
        <v>-12071</v>
      </c>
      <c r="L193" s="392" t="s">
        <v>20</v>
      </c>
      <c r="M193" s="379" t="str">
        <f>MID(Banco[[#This Row],[CtaCtbl]],FIND(" - ",Banco[[#This Row],[CtaCtbl]])+3,40)</f>
        <v>Traslado Terrestre Van/Taxi,etc</v>
      </c>
      <c r="N193" s="392"/>
      <c r="O193" s="379"/>
    </row>
    <row r="194" spans="1:15" hidden="1">
      <c r="A194" s="375">
        <f>YEAR(Banco[[#This Row],[Fecha]])</f>
        <v>2024</v>
      </c>
      <c r="B194" s="375" t="str">
        <f>PROPER(TEXT(Banco[[#This Row],[Fecha]],"MMMM"))</f>
        <v>Septiembre</v>
      </c>
      <c r="C194" s="376" t="str">
        <f>TEXT(Banco[[#This Row],[Fecha]],"mmm-yyyy")</f>
        <v>sept-2024</v>
      </c>
      <c r="D194" s="377">
        <v>45548</v>
      </c>
      <c r="E194" s="102" t="s">
        <v>29</v>
      </c>
      <c r="F194" s="102">
        <v>4309470222</v>
      </c>
      <c r="G194" s="398">
        <v>-103200</v>
      </c>
      <c r="H194" s="398">
        <f>Banco[[#This Row],[cargos]]*-1</f>
        <v>103200</v>
      </c>
      <c r="I194" s="398">
        <v>0</v>
      </c>
      <c r="J194" s="398"/>
      <c r="K194" s="398">
        <f>+Banco[[#This Row],[cargos]]+Banco[[#This Row],[Ingresos]]</f>
        <v>-103200</v>
      </c>
      <c r="L194" s="379" t="s">
        <v>20</v>
      </c>
      <c r="M194" s="379" t="str">
        <f>MID(Banco[[#This Row],[CtaCtbl]],FIND(" - ",Banco[[#This Row],[CtaCtbl]])+3,40)</f>
        <v>Traslado Terrestre Van/Taxi,etc</v>
      </c>
      <c r="N194" s="379"/>
      <c r="O194" s="379"/>
    </row>
    <row r="195" spans="1:15" hidden="1">
      <c r="A195" s="375">
        <f>YEAR(Banco[[#This Row],[Fecha]])</f>
        <v>2024</v>
      </c>
      <c r="B195" s="375" t="str">
        <f>PROPER(TEXT(Banco[[#This Row],[Fecha]],"MMMM"))</f>
        <v>Septiembre</v>
      </c>
      <c r="C195" s="376" t="str">
        <f>TEXT(Banco[[#This Row],[Fecha]],"mmm-yyyy")</f>
        <v>sept-2024</v>
      </c>
      <c r="D195" s="377">
        <v>45548</v>
      </c>
      <c r="E195" s="102" t="s">
        <v>22</v>
      </c>
      <c r="F195" s="102">
        <v>4309437082</v>
      </c>
      <c r="G195" s="398">
        <v>-160190</v>
      </c>
      <c r="H195" s="398">
        <f>Banco[[#This Row],[cargos]]*-1</f>
        <v>160190</v>
      </c>
      <c r="I195" s="398">
        <v>0</v>
      </c>
      <c r="J195" s="398"/>
      <c r="K195" s="398">
        <f>+Banco[[#This Row],[cargos]]+Banco[[#This Row],[Ingresos]]</f>
        <v>-160190</v>
      </c>
      <c r="L195" s="379" t="s">
        <v>23</v>
      </c>
      <c r="M195" s="379" t="str">
        <f>MID(Banco[[#This Row],[CtaCtbl]],FIND(" - ",Banco[[#This Row],[CtaCtbl]])+3,40)</f>
        <v>Asesoria Legal - Convenio Fijo Mensual</v>
      </c>
      <c r="N195" s="380" t="s">
        <v>103</v>
      </c>
      <c r="O195" s="379"/>
    </row>
    <row r="196" spans="1:15" hidden="1">
      <c r="A196" s="375">
        <f>YEAR(Banco[[#This Row],[Fecha]])</f>
        <v>2024</v>
      </c>
      <c r="B196" s="375" t="str">
        <f>PROPER(TEXT(Banco[[#This Row],[Fecha]],"MMMM"))</f>
        <v>Septiembre</v>
      </c>
      <c r="C196" s="376" t="str">
        <f>TEXT(Banco[[#This Row],[Fecha]],"mmm-yyyy")</f>
        <v>sept-2024</v>
      </c>
      <c r="D196" s="377">
        <v>45548</v>
      </c>
      <c r="E196" s="102" t="s">
        <v>22</v>
      </c>
      <c r="F196" s="102">
        <v>4309436228</v>
      </c>
      <c r="G196" s="398">
        <v>-160190</v>
      </c>
      <c r="H196" s="398">
        <f>Banco[[#This Row],[cargos]]*-1</f>
        <v>160190</v>
      </c>
      <c r="I196" s="398">
        <v>0</v>
      </c>
      <c r="J196" s="398"/>
      <c r="K196" s="398">
        <f>+Banco[[#This Row],[cargos]]+Banco[[#This Row],[Ingresos]]</f>
        <v>-160190</v>
      </c>
      <c r="L196" s="379" t="s">
        <v>23</v>
      </c>
      <c r="M196" s="379" t="str">
        <f>MID(Banco[[#This Row],[CtaCtbl]],FIND(" - ",Banco[[#This Row],[CtaCtbl]])+3,40)</f>
        <v>Asesoria Legal - Convenio Fijo Mensual</v>
      </c>
      <c r="N196" s="380" t="s">
        <v>104</v>
      </c>
      <c r="O196" s="379"/>
    </row>
    <row r="197" spans="1:15" hidden="1">
      <c r="A197" s="375">
        <f>YEAR(Banco[[#This Row],[Fecha]])</f>
        <v>2024</v>
      </c>
      <c r="B197" s="375" t="str">
        <f>PROPER(TEXT(Banco[[#This Row],[Fecha]],"MMMM"))</f>
        <v>Septiembre</v>
      </c>
      <c r="C197" s="376" t="str">
        <f>TEXT(Banco[[#This Row],[Fecha]],"mmm-yyyy")</f>
        <v>sept-2024</v>
      </c>
      <c r="D197" s="377">
        <v>45561</v>
      </c>
      <c r="E197" s="102" t="s">
        <v>15</v>
      </c>
      <c r="F197" s="102"/>
      <c r="G197" s="398">
        <v>0</v>
      </c>
      <c r="H197" s="398">
        <f>Banco[[#This Row],[cargos]]*-1</f>
        <v>0</v>
      </c>
      <c r="I197" s="398">
        <v>18282</v>
      </c>
      <c r="J197" s="398"/>
      <c r="K197" s="398">
        <f>+Banco[[#This Row],[cargos]]+Banco[[#This Row],[Ingresos]]</f>
        <v>18282</v>
      </c>
      <c r="L197" s="379" t="s">
        <v>16</v>
      </c>
      <c r="M197" s="379" t="str">
        <f>MID(Banco[[#This Row],[CtaCtbl]],FIND(" - ",Banco[[#This Row],[CtaCtbl]])+3,40)</f>
        <v>Cuota Extraordinaria</v>
      </c>
      <c r="N197" s="379"/>
      <c r="O197" s="379"/>
    </row>
    <row r="198" spans="1:15" hidden="1">
      <c r="A198" s="375">
        <f>YEAR(Banco[[#This Row],[Fecha]])</f>
        <v>2024</v>
      </c>
      <c r="B198" s="375" t="str">
        <f>PROPER(TEXT(Banco[[#This Row],[Fecha]],"MMMM"))</f>
        <v>Septiembre</v>
      </c>
      <c r="C198" s="376" t="str">
        <f>TEXT(Banco[[#This Row],[Fecha]],"mmm-yyyy")</f>
        <v>sept-2024</v>
      </c>
      <c r="D198" s="377">
        <v>45561</v>
      </c>
      <c r="E198" s="102" t="s">
        <v>15</v>
      </c>
      <c r="F198" s="102">
        <v>4330839054</v>
      </c>
      <c r="G198" s="398">
        <v>0</v>
      </c>
      <c r="H198" s="398">
        <f>Banco[[#This Row],[cargos]]*-1</f>
        <v>0</v>
      </c>
      <c r="I198" s="398">
        <v>3658315</v>
      </c>
      <c r="J198" s="398"/>
      <c r="K198" s="398">
        <f>+Banco[[#This Row],[cargos]]+Banco[[#This Row],[Ingresos]]</f>
        <v>3658315</v>
      </c>
      <c r="L198" s="379" t="s">
        <v>18</v>
      </c>
      <c r="M198" s="379" t="str">
        <f>MID(Banco[[#This Row],[CtaCtbl]],FIND(" - ",Banco[[#This Row],[CtaCtbl]])+3,40)</f>
        <v>Cuota Ordinaria</v>
      </c>
      <c r="N198" s="379"/>
      <c r="O198" s="379"/>
    </row>
    <row r="199" spans="1:15" hidden="1">
      <c r="A199" s="375">
        <f>YEAR(Banco[[#This Row],[Fecha]])</f>
        <v>2024</v>
      </c>
      <c r="B199" s="375" t="str">
        <f>PROPER(TEXT(Banco[[#This Row],[Fecha]],"MMMM"))</f>
        <v>Octubre</v>
      </c>
      <c r="C199" s="376" t="str">
        <f>TEXT(Banco[[#This Row],[Fecha]],"mmm-yyyy")</f>
        <v>oct-2024</v>
      </c>
      <c r="D199" s="393">
        <v>45566</v>
      </c>
      <c r="E199" s="394" t="s">
        <v>24</v>
      </c>
      <c r="F199" s="394">
        <v>4345261841</v>
      </c>
      <c r="G199" s="398">
        <v>-22559</v>
      </c>
      <c r="H199" s="398">
        <f>Banco[[#This Row],[cargos]]*-1</f>
        <v>22559</v>
      </c>
      <c r="I199" s="398">
        <v>0</v>
      </c>
      <c r="J199" s="398">
        <v>41116093</v>
      </c>
      <c r="K199" s="398">
        <f>+Banco[[#This Row],[cargos]]+Banco[[#This Row],[Ingresos]]</f>
        <v>-22559</v>
      </c>
      <c r="L199" s="379" t="s">
        <v>25</v>
      </c>
      <c r="M199" s="379" t="str">
        <f>MID(Banco[[#This Row],[CtaCtbl]],FIND(" - ",Banco[[#This Row],[CtaCtbl]])+3,40)</f>
        <v>Pago Comisiones</v>
      </c>
      <c r="N199" s="379"/>
      <c r="O199" s="379"/>
    </row>
    <row r="200" spans="1:15" hidden="1">
      <c r="A200" s="375">
        <f>YEAR(Banco[[#This Row],[Fecha]])</f>
        <v>2024</v>
      </c>
      <c r="B200" s="375" t="str">
        <f>PROPER(TEXT(Banco[[#This Row],[Fecha]],"MMMM"))</f>
        <v>Octubre</v>
      </c>
      <c r="C200" s="376" t="str">
        <f>TEXT(Banco[[#This Row],[Fecha]],"mmm-yyyy")</f>
        <v>oct-2024</v>
      </c>
      <c r="D200" s="393">
        <v>45569</v>
      </c>
      <c r="E200" s="394" t="s">
        <v>105</v>
      </c>
      <c r="F200" s="394">
        <v>4352265961</v>
      </c>
      <c r="G200" s="398">
        <v>-500000</v>
      </c>
      <c r="H200" s="398">
        <f>Banco[[#This Row],[cargos]]*-1</f>
        <v>500000</v>
      </c>
      <c r="I200" s="398">
        <v>0</v>
      </c>
      <c r="J200" s="398">
        <v>5616093</v>
      </c>
      <c r="K200" s="398">
        <f>+Banco[[#This Row],[cargos]]+Banco[[#This Row],[Ingresos]]</f>
        <v>-500000</v>
      </c>
      <c r="L200" s="379" t="s">
        <v>535</v>
      </c>
      <c r="M200" s="379" t="str">
        <f>MID(Banco[[#This Row],[CtaCtbl]],FIND(" - ",Banco[[#This Row],[CtaCtbl]])+3,40)</f>
        <v>Regalo Corportivo (Aniversario)</v>
      </c>
      <c r="N200" s="380" t="s">
        <v>106</v>
      </c>
      <c r="O200" s="379"/>
    </row>
    <row r="201" spans="1:15" hidden="1">
      <c r="A201" s="375">
        <f>YEAR(Banco[[#This Row],[Fecha]])</f>
        <v>2024</v>
      </c>
      <c r="B201" s="375" t="str">
        <f>PROPER(TEXT(Banco[[#This Row],[Fecha]],"MMMM"))</f>
        <v>Octubre</v>
      </c>
      <c r="C201" s="376" t="str">
        <f>TEXT(Banco[[#This Row],[Fecha]],"mmm-yyyy")</f>
        <v>oct-2024</v>
      </c>
      <c r="D201" s="393">
        <v>45569</v>
      </c>
      <c r="E201" s="394" t="s">
        <v>79</v>
      </c>
      <c r="F201" s="394">
        <v>4352290693</v>
      </c>
      <c r="G201" s="398">
        <v>-35000000</v>
      </c>
      <c r="H201" s="398">
        <f>Banco[[#This Row],[cargos]]*-1</f>
        <v>35000000</v>
      </c>
      <c r="I201" s="398">
        <v>0</v>
      </c>
      <c r="J201" s="398">
        <v>6116093</v>
      </c>
      <c r="K201" s="398">
        <f>+Banco[[#This Row],[cargos]]+Banco[[#This Row],[Ingresos]]</f>
        <v>-35000000</v>
      </c>
      <c r="L201" s="379" t="s">
        <v>80</v>
      </c>
      <c r="M201" s="379" t="str">
        <f>MID(Banco[[#This Row],[CtaCtbl]],FIND(" - ",Banco[[#This Row],[CtaCtbl]])+3,40)</f>
        <v>Deposito a Plazo a 30</v>
      </c>
      <c r="N201" s="379"/>
      <c r="O201" s="379"/>
    </row>
    <row r="202" spans="1:15" hidden="1">
      <c r="A202" s="375">
        <f>YEAR(Banco[[#This Row],[Fecha]])</f>
        <v>2024</v>
      </c>
      <c r="B202" s="375" t="str">
        <f>PROPER(TEXT(Banco[[#This Row],[Fecha]],"MMMM"))</f>
        <v>Octubre</v>
      </c>
      <c r="C202" s="376" t="str">
        <f>TEXT(Banco[[#This Row],[Fecha]],"mmm-yyyy")</f>
        <v>oct-2024</v>
      </c>
      <c r="D202" s="393">
        <v>45574</v>
      </c>
      <c r="E202" s="394" t="s">
        <v>105</v>
      </c>
      <c r="F202" s="394">
        <v>4362564137</v>
      </c>
      <c r="G202" s="398">
        <v>-3458020</v>
      </c>
      <c r="H202" s="398">
        <f>Banco[[#This Row],[cargos]]*-1</f>
        <v>3458020</v>
      </c>
      <c r="I202" s="398">
        <v>0</v>
      </c>
      <c r="J202" s="398">
        <v>2158073</v>
      </c>
      <c r="K202" s="398">
        <f>+Banco[[#This Row],[cargos]]+Banco[[#This Row],[Ingresos]]</f>
        <v>-3458020</v>
      </c>
      <c r="L202" s="379" t="s">
        <v>535</v>
      </c>
      <c r="M202" s="379" t="str">
        <f>MID(Banco[[#This Row],[CtaCtbl]],FIND(" - ",Banco[[#This Row],[CtaCtbl]])+3,40)</f>
        <v>Regalo Corportivo (Aniversario)</v>
      </c>
      <c r="N202" s="380" t="s">
        <v>106</v>
      </c>
      <c r="O202" s="379"/>
    </row>
    <row r="203" spans="1:15" hidden="1">
      <c r="A203" s="375">
        <f>YEAR(Banco[[#This Row],[Fecha]])</f>
        <v>2024</v>
      </c>
      <c r="B203" s="375" t="str">
        <f>PROPER(TEXT(Banco[[#This Row],[Fecha]],"MMMM"))</f>
        <v>Octubre</v>
      </c>
      <c r="C203" s="376" t="str">
        <f>TEXT(Banco[[#This Row],[Fecha]],"mmm-yyyy")</f>
        <v>oct-2024</v>
      </c>
      <c r="D203" s="393">
        <v>45590</v>
      </c>
      <c r="E203" s="394" t="s">
        <v>15</v>
      </c>
      <c r="F203" s="394"/>
      <c r="G203" s="398">
        <v>0</v>
      </c>
      <c r="H203" s="398">
        <f>Banco[[#This Row],[cargos]]*-1</f>
        <v>0</v>
      </c>
      <c r="I203" s="398">
        <v>18282</v>
      </c>
      <c r="J203" s="398"/>
      <c r="K203" s="398">
        <f>+Banco[[#This Row],[cargos]]+Banco[[#This Row],[Ingresos]]</f>
        <v>18282</v>
      </c>
      <c r="L203" s="379" t="s">
        <v>16</v>
      </c>
      <c r="M203" s="379" t="str">
        <f>MID(Banco[[#This Row],[CtaCtbl]],FIND(" - ",Banco[[#This Row],[CtaCtbl]])+3,40)</f>
        <v>Cuota Extraordinaria</v>
      </c>
      <c r="N203" s="379"/>
      <c r="O203" s="379"/>
    </row>
    <row r="204" spans="1:15" hidden="1">
      <c r="A204" s="375">
        <f>YEAR(Banco[[#This Row],[Fecha]])</f>
        <v>2024</v>
      </c>
      <c r="B204" s="375" t="str">
        <f>PROPER(TEXT(Banco[[#This Row],[Fecha]],"MMMM"))</f>
        <v>Octubre</v>
      </c>
      <c r="C204" s="376" t="str">
        <f>TEXT(Banco[[#This Row],[Fecha]],"mmm-yyyy")</f>
        <v>oct-2024</v>
      </c>
      <c r="D204" s="393">
        <v>45590</v>
      </c>
      <c r="E204" s="394" t="s">
        <v>15</v>
      </c>
      <c r="F204" s="394">
        <v>4395470028</v>
      </c>
      <c r="G204" s="398">
        <v>0</v>
      </c>
      <c r="H204" s="398">
        <f>Banco[[#This Row],[cargos]]*-1</f>
        <v>0</v>
      </c>
      <c r="I204" s="398">
        <v>4025032</v>
      </c>
      <c r="J204" s="398">
        <v>6201387</v>
      </c>
      <c r="K204" s="398">
        <f>+Banco[[#This Row],[cargos]]+Banco[[#This Row],[Ingresos]]</f>
        <v>4025032</v>
      </c>
      <c r="L204" s="379" t="s">
        <v>18</v>
      </c>
      <c r="M204" s="379" t="str">
        <f>MID(Banco[[#This Row],[CtaCtbl]],FIND(" - ",Banco[[#This Row],[CtaCtbl]])+3,40)</f>
        <v>Cuota Ordinaria</v>
      </c>
      <c r="N204" s="379"/>
      <c r="O204" s="379"/>
    </row>
    <row r="205" spans="1:15" hidden="1">
      <c r="A205" s="375">
        <f>YEAR(Banco[[#This Row],[Fecha]])</f>
        <v>2024</v>
      </c>
      <c r="B205" s="375" t="str">
        <f>PROPER(TEXT(Banco[[#This Row],[Fecha]],"MMMM"))</f>
        <v>Octubre</v>
      </c>
      <c r="C205" s="376" t="str">
        <f>TEXT(Banco[[#This Row],[Fecha]],"mmm-yyyy")</f>
        <v>oct-2024</v>
      </c>
      <c r="D205" s="393">
        <v>45593</v>
      </c>
      <c r="E205" s="394" t="s">
        <v>29</v>
      </c>
      <c r="F205" s="394">
        <v>4399936377</v>
      </c>
      <c r="G205" s="398">
        <v>-6284</v>
      </c>
      <c r="H205" s="398">
        <f>Banco[[#This Row],[cargos]]*-1</f>
        <v>6284</v>
      </c>
      <c r="I205" s="398">
        <v>0</v>
      </c>
      <c r="J205" s="398">
        <v>6195103</v>
      </c>
      <c r="K205" s="398">
        <f>+Banco[[#This Row],[cargos]]+Banco[[#This Row],[Ingresos]]</f>
        <v>-6284</v>
      </c>
      <c r="L205" s="379" t="s">
        <v>41</v>
      </c>
      <c r="M205" s="379" t="str">
        <f>MID(Banco[[#This Row],[CtaCtbl]],FIND(" - ",Banco[[#This Row],[CtaCtbl]])+3,40)</f>
        <v>Taxi, Uber o Similar</v>
      </c>
      <c r="N205" s="379"/>
      <c r="O205" s="379"/>
    </row>
    <row r="206" spans="1:15" hidden="1">
      <c r="A206" s="375">
        <f>YEAR(Banco[[#This Row],[Fecha]])</f>
        <v>2024</v>
      </c>
      <c r="B206" s="375" t="str">
        <f>PROPER(TEXT(Banco[[#This Row],[Fecha]],"MMMM"))</f>
        <v>Noviembre</v>
      </c>
      <c r="C206" s="376" t="str">
        <f>TEXT(Banco[[#This Row],[Fecha]],"mmm-yyyy")</f>
        <v>nov-2024</v>
      </c>
      <c r="D206" s="377">
        <v>45600</v>
      </c>
      <c r="E206" s="102" t="s">
        <v>24</v>
      </c>
      <c r="F206" s="102">
        <v>4415878039</v>
      </c>
      <c r="G206" s="398">
        <v>-22596</v>
      </c>
      <c r="H206" s="398">
        <f>Banco[[#This Row],[cargos]]*-1</f>
        <v>22596</v>
      </c>
      <c r="I206" s="398">
        <v>0</v>
      </c>
      <c r="J206" s="398">
        <v>6172507</v>
      </c>
      <c r="K206" s="398">
        <f>+Banco[[#This Row],[cargos]]+Banco[[#This Row],[Ingresos]]</f>
        <v>-22596</v>
      </c>
      <c r="L206" s="379" t="s">
        <v>25</v>
      </c>
      <c r="M206" s="379" t="str">
        <f>MID(Banco[[#This Row],[CtaCtbl]],FIND(" - ",Banco[[#This Row],[CtaCtbl]])+3,40)</f>
        <v>Pago Comisiones</v>
      </c>
      <c r="N206" s="379"/>
      <c r="O206" s="379"/>
    </row>
    <row r="207" spans="1:15" hidden="1">
      <c r="A207" s="395">
        <f>YEAR(Banco[[#This Row],[Fecha]])</f>
        <v>2024</v>
      </c>
      <c r="B207" s="395" t="str">
        <f>PROPER(TEXT(Banco[[#This Row],[Fecha]],"MMMM"))</f>
        <v>Noviembre</v>
      </c>
      <c r="C207" s="396" t="str">
        <f>TEXT(Banco[[#This Row],[Fecha]],"mmm-yyyy")</f>
        <v>nov-2024</v>
      </c>
      <c r="D207" s="377">
        <v>45602</v>
      </c>
      <c r="E207" s="102" t="s">
        <v>29</v>
      </c>
      <c r="F207" s="102">
        <v>4420275654</v>
      </c>
      <c r="G207" s="401">
        <v>-6792</v>
      </c>
      <c r="H207" s="401">
        <f>Banco[[#This Row],[cargos]]*-1</f>
        <v>6792</v>
      </c>
      <c r="I207" s="401">
        <v>0</v>
      </c>
      <c r="J207" s="398">
        <v>5845335</v>
      </c>
      <c r="K207" s="398">
        <f>+Banco[[#This Row],[cargos]]+Banco[[#This Row],[Ingresos]]</f>
        <v>-6792</v>
      </c>
      <c r="L207" s="397" t="s">
        <v>20</v>
      </c>
      <c r="M207" s="379" t="str">
        <f>MID(Banco[[#This Row],[CtaCtbl]],FIND(" - ",Banco[[#This Row],[CtaCtbl]])+3,40)</f>
        <v>Traslado Terrestre Van/Taxi,etc</v>
      </c>
      <c r="N207" s="397"/>
      <c r="O207" s="379"/>
    </row>
    <row r="208" spans="1:15" hidden="1">
      <c r="A208" s="375">
        <f>YEAR(Banco[[#This Row],[Fecha]])</f>
        <v>2024</v>
      </c>
      <c r="B208" s="375" t="str">
        <f>PROPER(TEXT(Banco[[#This Row],[Fecha]],"MMMM"))</f>
        <v>Noviembre</v>
      </c>
      <c r="C208" s="376" t="str">
        <f>TEXT(Banco[[#This Row],[Fecha]],"mmm-yyyy")</f>
        <v>nov-2024</v>
      </c>
      <c r="D208" s="377">
        <v>45602</v>
      </c>
      <c r="E208" s="102" t="s">
        <v>22</v>
      </c>
      <c r="F208" s="102">
        <v>4420280198</v>
      </c>
      <c r="G208" s="398">
        <v>-160190</v>
      </c>
      <c r="H208" s="398">
        <f>Banco[[#This Row],[cargos]]*-1</f>
        <v>160190</v>
      </c>
      <c r="I208" s="398">
        <v>0</v>
      </c>
      <c r="J208" s="398">
        <v>6012317</v>
      </c>
      <c r="K208" s="398">
        <f>+Banco[[#This Row],[cargos]]+Banco[[#This Row],[Ingresos]]</f>
        <v>-160190</v>
      </c>
      <c r="L208" s="379" t="s">
        <v>23</v>
      </c>
      <c r="M208" s="379" t="str">
        <f>MID(Banco[[#This Row],[CtaCtbl]],FIND(" - ",Banco[[#This Row],[CtaCtbl]])+3,40)</f>
        <v>Asesoria Legal - Convenio Fijo Mensual</v>
      </c>
      <c r="N208" s="380" t="s">
        <v>107</v>
      </c>
      <c r="O208" s="379"/>
    </row>
    <row r="209" spans="1:15" hidden="1">
      <c r="A209" s="375">
        <f>YEAR(Banco[[#This Row],[Fecha]])</f>
        <v>2024</v>
      </c>
      <c r="B209" s="375" t="str">
        <f>PROPER(TEXT(Banco[[#This Row],[Fecha]],"MMMM"))</f>
        <v>Noviembre</v>
      </c>
      <c r="C209" s="376" t="str">
        <f>TEXT(Banco[[#This Row],[Fecha]],"mmm-yyyy")</f>
        <v>nov-2024</v>
      </c>
      <c r="D209" s="377">
        <v>45602</v>
      </c>
      <c r="E209" s="102" t="s">
        <v>22</v>
      </c>
      <c r="F209" s="102">
        <v>4420280199</v>
      </c>
      <c r="G209" s="398">
        <v>-160190</v>
      </c>
      <c r="H209" s="398">
        <f>Banco[[#This Row],[cargos]]*-1</f>
        <v>160190</v>
      </c>
      <c r="I209" s="398">
        <v>0</v>
      </c>
      <c r="J209" s="398">
        <v>5852127</v>
      </c>
      <c r="K209" s="398">
        <f>+Banco[[#This Row],[cargos]]+Banco[[#This Row],[Ingresos]]</f>
        <v>-160190</v>
      </c>
      <c r="L209" s="379" t="s">
        <v>23</v>
      </c>
      <c r="M209" s="379" t="str">
        <f>MID(Banco[[#This Row],[CtaCtbl]],FIND(" - ",Banco[[#This Row],[CtaCtbl]])+3,40)</f>
        <v>Asesoria Legal - Convenio Fijo Mensual</v>
      </c>
      <c r="N209" s="380" t="s">
        <v>108</v>
      </c>
      <c r="O209" s="379"/>
    </row>
    <row r="210" spans="1:15" hidden="1">
      <c r="A210" s="375">
        <f>YEAR(Banco[[#This Row],[Fecha]])</f>
        <v>2024</v>
      </c>
      <c r="B210" s="375" t="str">
        <f>PROPER(TEXT(Banco[[#This Row],[Fecha]],"MMMM"))</f>
        <v>Noviembre</v>
      </c>
      <c r="C210" s="376" t="str">
        <f>TEXT(Banco[[#This Row],[Fecha]],"mmm-yyyy")</f>
        <v>nov-2024</v>
      </c>
      <c r="D210" s="377">
        <v>45616</v>
      </c>
      <c r="E210" s="102" t="s">
        <v>29</v>
      </c>
      <c r="F210" s="102">
        <v>4450097772</v>
      </c>
      <c r="G210" s="398">
        <v>-87000</v>
      </c>
      <c r="H210" s="398">
        <f>Banco[[#This Row],[cargos]]*-1</f>
        <v>87000</v>
      </c>
      <c r="I210" s="398">
        <v>0</v>
      </c>
      <c r="J210" s="398">
        <v>5758335</v>
      </c>
      <c r="K210" s="398">
        <f>+Banco[[#This Row],[cargos]]+Banco[[#This Row],[Ingresos]]</f>
        <v>-87000</v>
      </c>
      <c r="L210" s="379" t="s">
        <v>20</v>
      </c>
      <c r="M210" s="379" t="str">
        <f>MID(Banco[[#This Row],[CtaCtbl]],FIND(" - ",Banco[[#This Row],[CtaCtbl]])+3,40)</f>
        <v>Traslado Terrestre Van/Taxi,etc</v>
      </c>
      <c r="N210" s="380" t="s">
        <v>109</v>
      </c>
      <c r="O210" s="379"/>
    </row>
    <row r="211" spans="1:15" hidden="1">
      <c r="A211" s="375">
        <f>YEAR(Banco[[#This Row],[Fecha]])</f>
        <v>2024</v>
      </c>
      <c r="B211" s="375" t="str">
        <f>PROPER(TEXT(Banco[[#This Row],[Fecha]],"MMMM"))</f>
        <v>Noviembre</v>
      </c>
      <c r="C211" s="376" t="str">
        <f>TEXT(Banco[[#This Row],[Fecha]],"mmm-yyyy")</f>
        <v>nov-2024</v>
      </c>
      <c r="D211" s="377">
        <v>45623</v>
      </c>
      <c r="E211" s="102" t="s">
        <v>15</v>
      </c>
      <c r="F211" s="102"/>
      <c r="G211" s="398">
        <v>0</v>
      </c>
      <c r="H211" s="398">
        <f>Banco[[#This Row],[cargos]]*-1</f>
        <v>0</v>
      </c>
      <c r="I211" s="398">
        <v>18282</v>
      </c>
      <c r="J211" s="398"/>
      <c r="K211" s="398">
        <f>+Banco[[#This Row],[cargos]]+Banco[[#This Row],[Ingresos]]</f>
        <v>18282</v>
      </c>
      <c r="L211" s="379" t="s">
        <v>16</v>
      </c>
      <c r="M211" s="379" t="str">
        <f>MID(Banco[[#This Row],[CtaCtbl]],FIND(" - ",Banco[[#This Row],[CtaCtbl]])+3,40)</f>
        <v>Cuota Extraordinaria</v>
      </c>
      <c r="N211" s="379"/>
      <c r="O211" s="379"/>
    </row>
    <row r="212" spans="1:15" hidden="1">
      <c r="A212" s="375">
        <f>YEAR(Banco[[#This Row],[Fecha]])</f>
        <v>2024</v>
      </c>
      <c r="B212" s="375" t="str">
        <f>PROPER(TEXT(Banco[[#This Row],[Fecha]],"MMMM"))</f>
        <v>Noviembre</v>
      </c>
      <c r="C212" s="376" t="str">
        <f>TEXT(Banco[[#This Row],[Fecha]],"mmm-yyyy")</f>
        <v>nov-2024</v>
      </c>
      <c r="D212" s="377">
        <v>45623</v>
      </c>
      <c r="E212" s="102" t="s">
        <v>15</v>
      </c>
      <c r="F212" s="102">
        <v>4464370898</v>
      </c>
      <c r="G212" s="398">
        <v>0</v>
      </c>
      <c r="H212" s="398">
        <f>Banco[[#This Row],[cargos]]*-1</f>
        <v>0</v>
      </c>
      <c r="I212" s="398">
        <v>4054288</v>
      </c>
      <c r="J212" s="398">
        <v>9830905</v>
      </c>
      <c r="K212" s="398">
        <f>+Banco[[#This Row],[cargos]]+Banco[[#This Row],[Ingresos]]</f>
        <v>4054288</v>
      </c>
      <c r="L212" s="379" t="s">
        <v>18</v>
      </c>
      <c r="M212" s="379" t="str">
        <f>MID(Banco[[#This Row],[CtaCtbl]],FIND(" - ",Banco[[#This Row],[CtaCtbl]])+3,40)</f>
        <v>Cuota Ordinaria</v>
      </c>
      <c r="N212" s="379"/>
      <c r="O212" s="379"/>
    </row>
    <row r="213" spans="1:15" hidden="1">
      <c r="A213" s="375">
        <f>YEAR(Banco[[#This Row],[Fecha]])</f>
        <v>2024</v>
      </c>
      <c r="B213" s="375" t="str">
        <f>PROPER(TEXT(Banco[[#This Row],[Fecha]],"MMMM"))</f>
        <v>Noviembre</v>
      </c>
      <c r="C213" s="376" t="str">
        <f>TEXT(Banco[[#This Row],[Fecha]],"mmm-yyyy")</f>
        <v>nov-2024</v>
      </c>
      <c r="D213" s="377">
        <v>45624</v>
      </c>
      <c r="E213" s="102" t="s">
        <v>22</v>
      </c>
      <c r="F213" s="102">
        <v>4467094120</v>
      </c>
      <c r="G213" s="398">
        <v>-222464</v>
      </c>
      <c r="H213" s="398">
        <f>Banco[[#This Row],[cargos]]*-1</f>
        <v>222464</v>
      </c>
      <c r="I213" s="398">
        <v>0</v>
      </c>
      <c r="J213" s="398">
        <v>9608441</v>
      </c>
      <c r="K213" s="398">
        <f>+Banco[[#This Row],[cargos]]+Banco[[#This Row],[Ingresos]]</f>
        <v>-222464</v>
      </c>
      <c r="L213" s="379" t="s">
        <v>23</v>
      </c>
      <c r="M213" s="379" t="str">
        <f>MID(Banco[[#This Row],[CtaCtbl]],FIND(" - ",Banco[[#This Row],[CtaCtbl]])+3,40)</f>
        <v>Asesoria Legal - Convenio Fijo Mensual</v>
      </c>
      <c r="N213" s="380" t="s">
        <v>110</v>
      </c>
      <c r="O213" s="379"/>
    </row>
    <row r="214" spans="1:15" hidden="1">
      <c r="A214" s="375">
        <f>YEAR(Banco[[#This Row],[Fecha]])</f>
        <v>2024</v>
      </c>
      <c r="B214" s="375" t="str">
        <f>PROPER(TEXT(Banco[[#This Row],[Fecha]],"MMMM"))</f>
        <v>Diciembre</v>
      </c>
      <c r="C214" s="376" t="str">
        <f>TEXT(Banco[[#This Row],[Fecha]],"mmm-yyyy")</f>
        <v>dic-2024</v>
      </c>
      <c r="D214" s="377">
        <v>45628</v>
      </c>
      <c r="E214" s="102" t="s">
        <v>24</v>
      </c>
      <c r="F214" s="102">
        <v>4478641938</v>
      </c>
      <c r="G214" s="398">
        <v>-22773</v>
      </c>
      <c r="H214" s="398">
        <f>Banco[[#This Row],[cargos]]*-1</f>
        <v>22773</v>
      </c>
      <c r="I214" s="398">
        <v>0</v>
      </c>
      <c r="J214" s="398">
        <v>9585668</v>
      </c>
      <c r="K214" s="398">
        <f>+Banco[[#This Row],[cargos]]+Banco[[#This Row],[Ingresos]]</f>
        <v>-22773</v>
      </c>
      <c r="L214" s="379" t="s">
        <v>25</v>
      </c>
      <c r="M214" s="379" t="str">
        <f>MID(Banco[[#This Row],[CtaCtbl]],FIND(" - ",Banco[[#This Row],[CtaCtbl]])+3,40)</f>
        <v>Pago Comisiones</v>
      </c>
      <c r="N214" s="379"/>
      <c r="O214" s="379"/>
    </row>
    <row r="215" spans="1:15" hidden="1">
      <c r="A215" s="375">
        <f>YEAR(Banco[[#This Row],[Fecha]])</f>
        <v>2024</v>
      </c>
      <c r="B215" s="375" t="str">
        <f>PROPER(TEXT(Banco[[#This Row],[Fecha]],"MMMM"))</f>
        <v>Diciembre</v>
      </c>
      <c r="C215" s="376" t="str">
        <f>TEXT(Banco[[#This Row],[Fecha]],"mmm-yyyy")</f>
        <v>dic-2024</v>
      </c>
      <c r="D215" s="377">
        <v>45635</v>
      </c>
      <c r="E215" s="102" t="s">
        <v>111</v>
      </c>
      <c r="F215" s="102">
        <v>4492681927</v>
      </c>
      <c r="G215" s="398">
        <v>-159252</v>
      </c>
      <c r="H215" s="398">
        <f>Banco[[#This Row],[cargos]]*-1</f>
        <v>159252</v>
      </c>
      <c r="I215" s="398">
        <v>0</v>
      </c>
      <c r="J215" s="398">
        <v>9426416</v>
      </c>
      <c r="K215" s="398">
        <f>+Banco[[#This Row],[cargos]]+Banco[[#This Row],[Ingresos]]</f>
        <v>-159252</v>
      </c>
      <c r="L215" s="379" t="s">
        <v>20</v>
      </c>
      <c r="M215" s="379" t="str">
        <f>MID(Banco[[#This Row],[CtaCtbl]],FIND(" - ",Banco[[#This Row],[CtaCtbl]])+3,40)</f>
        <v>Traslado Terrestre Van/Taxi,etc</v>
      </c>
      <c r="N215" s="380" t="s">
        <v>112</v>
      </c>
      <c r="O215" s="379"/>
    </row>
    <row r="216" spans="1:15" hidden="1">
      <c r="A216" s="375">
        <f>YEAR(Banco[[#This Row],[Fecha]])</f>
        <v>2024</v>
      </c>
      <c r="B216" s="375" t="str">
        <f>PROPER(TEXT(Banco[[#This Row],[Fecha]],"MMMM"))</f>
        <v>Diciembre</v>
      </c>
      <c r="C216" s="376" t="str">
        <f>TEXT(Banco[[#This Row],[Fecha]],"mmm-yyyy")</f>
        <v>dic-2024</v>
      </c>
      <c r="D216" s="377">
        <v>45635</v>
      </c>
      <c r="E216" s="102" t="s">
        <v>113</v>
      </c>
      <c r="F216" s="102">
        <v>4492672651</v>
      </c>
      <c r="G216" s="398">
        <v>-219384</v>
      </c>
      <c r="H216" s="398">
        <f>Banco[[#This Row],[cargos]]*-1</f>
        <v>219384</v>
      </c>
      <c r="I216" s="398">
        <v>0</v>
      </c>
      <c r="J216" s="398">
        <v>9207032</v>
      </c>
      <c r="K216" s="398">
        <f>+Banco[[#This Row],[cargos]]+Banco[[#This Row],[Ingresos]]</f>
        <v>-219384</v>
      </c>
      <c r="L216" s="379" t="s">
        <v>44</v>
      </c>
      <c r="M216" s="379" t="str">
        <f>MID(Banco[[#This Row],[CtaCtbl]],FIND(" - ",Banco[[#This Row],[CtaCtbl]])+3,40)</f>
        <v>Restitución Fondos Socios</v>
      </c>
      <c r="N216" s="379" t="s">
        <v>114</v>
      </c>
      <c r="O216" s="379"/>
    </row>
    <row r="217" spans="1:15" hidden="1">
      <c r="A217" s="375">
        <f>YEAR(Banco[[#This Row],[Fecha]])</f>
        <v>2024</v>
      </c>
      <c r="B217" s="375" t="str">
        <f>PROPER(TEXT(Banco[[#This Row],[Fecha]],"MMMM"))</f>
        <v>Diciembre</v>
      </c>
      <c r="C217" s="376" t="str">
        <f>TEXT(Banco[[#This Row],[Fecha]],"mmm-yyyy")</f>
        <v>dic-2024</v>
      </c>
      <c r="D217" s="377">
        <v>45642</v>
      </c>
      <c r="E217" s="102" t="s">
        <v>29</v>
      </c>
      <c r="F217" s="102">
        <v>4508161794</v>
      </c>
      <c r="G217" s="398">
        <v>-562727</v>
      </c>
      <c r="H217" s="398">
        <f>Banco[[#This Row],[cargos]]*-1</f>
        <v>562727</v>
      </c>
      <c r="I217" s="398">
        <v>0</v>
      </c>
      <c r="J217" s="398">
        <v>8644305</v>
      </c>
      <c r="K217" s="398">
        <f>+Banco[[#This Row],[cargos]]+Banco[[#This Row],[Ingresos]]</f>
        <v>-562727</v>
      </c>
      <c r="L217" s="379" t="s">
        <v>20</v>
      </c>
      <c r="M217" s="379" t="str">
        <f>MID(Banco[[#This Row],[CtaCtbl]],FIND(" - ",Banco[[#This Row],[CtaCtbl]])+3,40)</f>
        <v>Traslado Terrestre Van/Taxi,etc</v>
      </c>
      <c r="N217" s="380" t="s">
        <v>115</v>
      </c>
      <c r="O217" s="379"/>
    </row>
    <row r="218" spans="1:15" hidden="1">
      <c r="A218" s="375">
        <f>YEAR(Banco[[#This Row],[Fecha]])</f>
        <v>2024</v>
      </c>
      <c r="B218" s="375" t="str">
        <f>PROPER(TEXT(Banco[[#This Row],[Fecha]],"MMMM"))</f>
        <v>Diciembre</v>
      </c>
      <c r="C218" s="376" t="str">
        <f>TEXT(Banco[[#This Row],[Fecha]],"mmm-yyyy")</f>
        <v>dic-2024</v>
      </c>
      <c r="D218" s="377">
        <v>45650</v>
      </c>
      <c r="E218" s="102" t="s">
        <v>15</v>
      </c>
      <c r="F218" s="102"/>
      <c r="G218" s="398">
        <v>0</v>
      </c>
      <c r="H218" s="398">
        <f>Banco[[#This Row],[cargos]]*-1</f>
        <v>0</v>
      </c>
      <c r="I218" s="398">
        <v>1450664</v>
      </c>
      <c r="J218" s="398"/>
      <c r="K218" s="398">
        <f>+Banco[[#This Row],[cargos]]+Banco[[#This Row],[Ingresos]]</f>
        <v>1450664</v>
      </c>
      <c r="L218" s="379" t="s">
        <v>16</v>
      </c>
      <c r="M218" s="379" t="str">
        <f>MID(Banco[[#This Row],[CtaCtbl]],FIND(" - ",Banco[[#This Row],[CtaCtbl]])+3,40)</f>
        <v>Cuota Extraordinaria</v>
      </c>
      <c r="N218" s="379"/>
      <c r="O218" s="379"/>
    </row>
    <row r="219" spans="1:15" hidden="1">
      <c r="A219" s="375">
        <f>YEAR(Banco[[#This Row],[Fecha]])</f>
        <v>2024</v>
      </c>
      <c r="B219" s="375" t="str">
        <f>PROPER(TEXT(Banco[[#This Row],[Fecha]],"MMMM"))</f>
        <v>Diciembre</v>
      </c>
      <c r="C219" s="376" t="str">
        <f>TEXT(Banco[[#This Row],[Fecha]],"mmm-yyyy")</f>
        <v>dic-2024</v>
      </c>
      <c r="D219" s="377">
        <v>45650</v>
      </c>
      <c r="E219" s="102" t="s">
        <v>15</v>
      </c>
      <c r="F219" s="102">
        <v>4527932491</v>
      </c>
      <c r="G219" s="398">
        <v>0</v>
      </c>
      <c r="H219" s="398">
        <f>Banco[[#This Row],[cargos]]*-1</f>
        <v>0</v>
      </c>
      <c r="I219" s="398">
        <v>5128536</v>
      </c>
      <c r="J219" s="398">
        <v>15223505</v>
      </c>
      <c r="K219" s="398">
        <f>+Banco[[#This Row],[cargos]]+Banco[[#This Row],[Ingresos]]</f>
        <v>5128536</v>
      </c>
      <c r="L219" s="379" t="s">
        <v>18</v>
      </c>
      <c r="M219" s="379" t="str">
        <f>MID(Banco[[#This Row],[CtaCtbl]],FIND(" - ",Banco[[#This Row],[CtaCtbl]])+3,40)</f>
        <v>Cuota Ordinaria</v>
      </c>
      <c r="N219" s="379"/>
      <c r="O219" s="379"/>
    </row>
    <row r="220" spans="1:15" hidden="1">
      <c r="A220" s="272">
        <f>YEAR(Banco[[#This Row],[Fecha]])</f>
        <v>2025</v>
      </c>
      <c r="B220" s="272" t="str">
        <f>PROPER(TEXT(Banco[[#This Row],[Fecha]],"MMMM"))</f>
        <v>Enero</v>
      </c>
      <c r="C220" s="273" t="str">
        <f>TEXT(Banco[[#This Row],[Fecha]],"mmm-yyyy")</f>
        <v>ene-2025</v>
      </c>
      <c r="D220" s="274">
        <v>45659</v>
      </c>
      <c r="E220" s="275" t="s">
        <v>24</v>
      </c>
      <c r="F220" s="275">
        <v>4547304437</v>
      </c>
      <c r="G220" s="402">
        <v>-22861</v>
      </c>
      <c r="H220" s="402">
        <f>Banco[[#This Row],[cargos]]*-1</f>
        <v>22861</v>
      </c>
      <c r="I220" s="402">
        <v>0</v>
      </c>
      <c r="J220" s="403">
        <v>15200644</v>
      </c>
      <c r="K220" s="403">
        <f>+Banco[[#This Row],[cargos]]+Banco[[#This Row],[Ingresos]]</f>
        <v>-22861</v>
      </c>
      <c r="L220" s="276" t="s">
        <v>25</v>
      </c>
      <c r="M220" s="276" t="str">
        <f>MID(Banco[[#This Row],[CtaCtbl]],FIND(" - ",Banco[[#This Row],[CtaCtbl]])+3,40)</f>
        <v>Pago Comisiones</v>
      </c>
      <c r="N220" s="276"/>
      <c r="O220" s="89"/>
    </row>
    <row r="221" spans="1:15" hidden="1">
      <c r="A221" s="272">
        <f>YEAR(Banco[[#This Row],[Fecha]])</f>
        <v>2025</v>
      </c>
      <c r="B221" s="272" t="str">
        <f>PROPER(TEXT(Banco[[#This Row],[Fecha]],"MMMM"))</f>
        <v>Enero</v>
      </c>
      <c r="C221" s="273" t="str">
        <f>TEXT(Banco[[#This Row],[Fecha]],"mmm-yyyy")</f>
        <v>ene-2025</v>
      </c>
      <c r="D221" s="274">
        <v>45680</v>
      </c>
      <c r="E221" s="275" t="s">
        <v>22</v>
      </c>
      <c r="F221" s="275">
        <v>4590408642</v>
      </c>
      <c r="G221" s="402">
        <v>-222462</v>
      </c>
      <c r="H221" s="402">
        <f>Banco[[#This Row],[cargos]]*-1</f>
        <v>222462</v>
      </c>
      <c r="I221" s="402">
        <v>0</v>
      </c>
      <c r="J221" s="403">
        <v>14978182</v>
      </c>
      <c r="K221" s="403">
        <f>+Banco[[#This Row],[cargos]]+Banco[[#This Row],[Ingresos]]</f>
        <v>-222462</v>
      </c>
      <c r="L221" s="276" t="s">
        <v>23</v>
      </c>
      <c r="M221" s="276" t="str">
        <f>MID(Banco[[#This Row],[CtaCtbl]],FIND(" - ",Banco[[#This Row],[CtaCtbl]])+3,40)</f>
        <v>Asesoria Legal - Convenio Fijo Mensual</v>
      </c>
      <c r="N221" s="287" t="s">
        <v>116</v>
      </c>
      <c r="O221" s="89"/>
    </row>
    <row r="222" spans="1:15" hidden="1">
      <c r="A222" s="272">
        <f>YEAR(Banco[[#This Row],[Fecha]])</f>
        <v>2025</v>
      </c>
      <c r="B222" s="272" t="str">
        <f>PROPER(TEXT(Banco[[#This Row],[Fecha]],"MMMM"))</f>
        <v>Enero</v>
      </c>
      <c r="C222" s="273" t="str">
        <f>TEXT(Banco[[#This Row],[Fecha]],"mmm-yyyy")</f>
        <v>ene-2025</v>
      </c>
      <c r="D222" s="274">
        <v>45680</v>
      </c>
      <c r="E222" s="275" t="s">
        <v>22</v>
      </c>
      <c r="F222" s="275">
        <v>4590408644</v>
      </c>
      <c r="G222" s="402">
        <v>-222462</v>
      </c>
      <c r="H222" s="402">
        <f>Banco[[#This Row],[cargos]]*-1</f>
        <v>222462</v>
      </c>
      <c r="I222" s="402">
        <v>0</v>
      </c>
      <c r="J222" s="403">
        <v>14755720</v>
      </c>
      <c r="K222" s="403">
        <f>+Banco[[#This Row],[cargos]]+Banco[[#This Row],[Ingresos]]</f>
        <v>-222462</v>
      </c>
      <c r="L222" s="276" t="s">
        <v>23</v>
      </c>
      <c r="M222" s="276" t="str">
        <f>MID(Banco[[#This Row],[CtaCtbl]],FIND(" - ",Banco[[#This Row],[CtaCtbl]])+3,40)</f>
        <v>Asesoria Legal - Convenio Fijo Mensual</v>
      </c>
      <c r="N222" s="287" t="s">
        <v>117</v>
      </c>
      <c r="O222" s="89"/>
    </row>
    <row r="223" spans="1:15" hidden="1">
      <c r="A223" s="272">
        <f>YEAR(Banco[[#This Row],[Fecha]])</f>
        <v>2025</v>
      </c>
      <c r="B223" s="272" t="str">
        <f>PROPER(TEXT(Banco[[#This Row],[Fecha]],"MMMM"))</f>
        <v>Enero</v>
      </c>
      <c r="C223" s="273" t="str">
        <f>TEXT(Banco[[#This Row],[Fecha]],"mmm-yyyy")</f>
        <v>ene-2025</v>
      </c>
      <c r="D223" s="274">
        <v>45684</v>
      </c>
      <c r="E223" s="275" t="s">
        <v>15</v>
      </c>
      <c r="F223" s="275">
        <v>4594688438</v>
      </c>
      <c r="G223" s="402">
        <v>0</v>
      </c>
      <c r="H223" s="402">
        <f>Banco[[#This Row],[cargos]]*-1</f>
        <v>0</v>
      </c>
      <c r="I223" s="402">
        <v>5047496</v>
      </c>
      <c r="J223" s="403">
        <v>19803216</v>
      </c>
      <c r="K223" s="403">
        <f>+Banco[[#This Row],[cargos]]+Banco[[#This Row],[Ingresos]]</f>
        <v>5047496</v>
      </c>
      <c r="L223" s="276" t="s">
        <v>18</v>
      </c>
      <c r="M223" s="276" t="str">
        <f>MID(Banco[[#This Row],[CtaCtbl]],FIND(" - ",Banco[[#This Row],[CtaCtbl]])+3,40)</f>
        <v>Cuota Ordinaria</v>
      </c>
      <c r="N223" s="276"/>
      <c r="O223" s="89"/>
    </row>
    <row r="224" spans="1:15" hidden="1">
      <c r="A224" s="272">
        <f>YEAR(Banco[[#This Row],[Fecha]])</f>
        <v>2025</v>
      </c>
      <c r="B224" s="272" t="str">
        <f>PROPER(TEXT(Banco[[#This Row],[Fecha]],"MMMM"))</f>
        <v>Febrero</v>
      </c>
      <c r="C224" s="273" t="str">
        <f>TEXT(Banco[[#This Row],[Fecha]],"mmm-yyyy")</f>
        <v>feb-2025</v>
      </c>
      <c r="D224" s="274">
        <v>45691</v>
      </c>
      <c r="E224" s="275" t="s">
        <v>24</v>
      </c>
      <c r="F224" s="275">
        <v>4615494035</v>
      </c>
      <c r="G224" s="402">
        <v>-22834</v>
      </c>
      <c r="H224" s="402">
        <f>Banco[[#This Row],[cargos]]*-1</f>
        <v>22834</v>
      </c>
      <c r="I224" s="402">
        <v>0</v>
      </c>
      <c r="J224" s="403">
        <v>19780382</v>
      </c>
      <c r="K224" s="403">
        <f>+Banco[[#This Row],[cargos]]+Banco[[#This Row],[Ingresos]]</f>
        <v>-22834</v>
      </c>
      <c r="L224" s="276" t="s">
        <v>25</v>
      </c>
      <c r="M224" s="276" t="str">
        <f>MID(Banco[[#This Row],[CtaCtbl]],FIND(" - ",Banco[[#This Row],[CtaCtbl]])+3,40)</f>
        <v>Pago Comisiones</v>
      </c>
      <c r="N224" s="276"/>
      <c r="O224" s="89"/>
    </row>
    <row r="225" spans="1:15" hidden="1">
      <c r="A225" s="272">
        <f>YEAR(Banco[[#This Row],[Fecha]])</f>
        <v>2025</v>
      </c>
      <c r="B225" s="272" t="str">
        <f>PROPER(TEXT(Banco[[#This Row],[Fecha]],"MMMM"))</f>
        <v>Febrero</v>
      </c>
      <c r="C225" s="273" t="str">
        <f>TEXT(Banco[[#This Row],[Fecha]],"mmm-yyyy")</f>
        <v>feb-2025</v>
      </c>
      <c r="D225" s="274">
        <v>45707</v>
      </c>
      <c r="E225" s="275" t="s">
        <v>22</v>
      </c>
      <c r="F225" s="275">
        <v>4649566335</v>
      </c>
      <c r="G225" s="402">
        <v>-5000000</v>
      </c>
      <c r="H225" s="402">
        <f>Banco[[#This Row],[cargos]]*-1</f>
        <v>5000000</v>
      </c>
      <c r="I225" s="402">
        <v>0</v>
      </c>
      <c r="J225" s="403">
        <v>14780382</v>
      </c>
      <c r="K225" s="403">
        <f>+Banco[[#This Row],[cargos]]+Banco[[#This Row],[Ingresos]]</f>
        <v>-5000000</v>
      </c>
      <c r="L225" s="276" t="s">
        <v>38</v>
      </c>
      <c r="M225" s="276" t="str">
        <f>MID(Banco[[#This Row],[CtaCtbl]],FIND(" - ",Banco[[#This Row],[CtaCtbl]])+3,40)</f>
        <v>Asesoria Legal - Proyectos Negociacion</v>
      </c>
      <c r="N225" s="285" t="s">
        <v>118</v>
      </c>
      <c r="O225" s="89"/>
    </row>
    <row r="226" spans="1:15" hidden="1">
      <c r="A226" s="272">
        <f>YEAR(Banco[[#This Row],[Fecha]])</f>
        <v>2025</v>
      </c>
      <c r="B226" s="272" t="str">
        <f>PROPER(TEXT(Banco[[#This Row],[Fecha]],"MMMM"))</f>
        <v>Febrero</v>
      </c>
      <c r="C226" s="273" t="str">
        <f>TEXT(Banco[[#This Row],[Fecha]],"mmm-yyyy")</f>
        <v>feb-2025</v>
      </c>
      <c r="D226" s="274">
        <v>45715</v>
      </c>
      <c r="E226" s="275" t="s">
        <v>15</v>
      </c>
      <c r="F226" s="275"/>
      <c r="G226" s="402">
        <v>0</v>
      </c>
      <c r="H226" s="402">
        <f>Banco[[#This Row],[cargos]]*-1</f>
        <v>0</v>
      </c>
      <c r="I226" s="402">
        <v>3594264</v>
      </c>
      <c r="J226" s="403"/>
      <c r="K226" s="403">
        <f>+Banco[[#This Row],[cargos]]+Banco[[#This Row],[Ingresos]]</f>
        <v>3594264</v>
      </c>
      <c r="L226" s="276" t="s">
        <v>16</v>
      </c>
      <c r="M226" s="276" t="str">
        <f>MID(Banco[[#This Row],[CtaCtbl]],FIND(" - ",Banco[[#This Row],[CtaCtbl]])+3,40)</f>
        <v>Cuota Extraordinaria</v>
      </c>
      <c r="N226" s="276"/>
      <c r="O226" s="89"/>
    </row>
    <row r="227" spans="1:15" hidden="1">
      <c r="A227" s="272">
        <f>YEAR(Banco[[#This Row],[Fecha]])</f>
        <v>2025</v>
      </c>
      <c r="B227" s="272" t="str">
        <f>PROPER(TEXT(Banco[[#This Row],[Fecha]],"MMMM"))</f>
        <v>Febrero</v>
      </c>
      <c r="C227" s="273" t="str">
        <f>TEXT(Banco[[#This Row],[Fecha]],"mmm-yyyy")</f>
        <v>feb-2025</v>
      </c>
      <c r="D227" s="274">
        <v>45715</v>
      </c>
      <c r="E227" s="275" t="s">
        <v>15</v>
      </c>
      <c r="F227" s="275">
        <v>4664618737</v>
      </c>
      <c r="G227" s="402">
        <v>0</v>
      </c>
      <c r="H227" s="402">
        <f>Banco[[#This Row],[cargos]]*-1</f>
        <v>0</v>
      </c>
      <c r="I227" s="402">
        <v>8599180</v>
      </c>
      <c r="J227" s="403">
        <v>26973826</v>
      </c>
      <c r="K227" s="403">
        <f>+Banco[[#This Row],[cargos]]+Banco[[#This Row],[Ingresos]]</f>
        <v>8599180</v>
      </c>
      <c r="L227" s="276" t="s">
        <v>18</v>
      </c>
      <c r="M227" s="276" t="str">
        <f>MID(Banco[[#This Row],[CtaCtbl]],FIND(" - ",Banco[[#This Row],[CtaCtbl]])+3,40)</f>
        <v>Cuota Ordinaria</v>
      </c>
      <c r="N227" s="276"/>
      <c r="O227" s="89"/>
    </row>
    <row r="228" spans="1:15" hidden="1">
      <c r="A228" s="272">
        <f>YEAR(Banco[[#This Row],[Fecha]])</f>
        <v>2025</v>
      </c>
      <c r="B228" s="272" t="str">
        <f>PROPER(TEXT(Banco[[#This Row],[Fecha]],"MMMM"))</f>
        <v>Marzo</v>
      </c>
      <c r="C228" s="273" t="str">
        <f>TEXT(Banco[[#This Row],[Fecha]],"mmm-yyyy")</f>
        <v>mar-2025</v>
      </c>
      <c r="D228" s="274">
        <v>45719</v>
      </c>
      <c r="E228" s="275" t="s">
        <v>24</v>
      </c>
      <c r="F228" s="275"/>
      <c r="G228" s="402">
        <v>-23023</v>
      </c>
      <c r="H228" s="402">
        <f>Banco[[#This Row],[cargos]]*-1</f>
        <v>23023</v>
      </c>
      <c r="I228" s="402">
        <v>0</v>
      </c>
      <c r="J228" s="403"/>
      <c r="K228" s="403">
        <f>+Banco[[#This Row],[cargos]]+Banco[[#This Row],[Ingresos]]</f>
        <v>-23023</v>
      </c>
      <c r="L228" s="276" t="s">
        <v>25</v>
      </c>
      <c r="M228" s="276" t="str">
        <f>MID(Banco[[#This Row],[CtaCtbl]],FIND(" - ",Banco[[#This Row],[CtaCtbl]])+3,40)</f>
        <v>Pago Comisiones</v>
      </c>
      <c r="N228" s="276"/>
      <c r="O228" s="89"/>
    </row>
    <row r="229" spans="1:15" hidden="1">
      <c r="A229" s="272">
        <f>YEAR(Banco[[#This Row],[Fecha]])</f>
        <v>2025</v>
      </c>
      <c r="B229" s="272" t="str">
        <f>PROPER(TEXT(Banco[[#This Row],[Fecha]],"MMMM"))</f>
        <v>Marzo</v>
      </c>
      <c r="C229" s="273" t="str">
        <f>TEXT(Banco[[#This Row],[Fecha]],"mmm-yyyy")</f>
        <v>mar-2025</v>
      </c>
      <c r="D229" s="274">
        <v>45742</v>
      </c>
      <c r="E229" s="275" t="s">
        <v>15</v>
      </c>
      <c r="F229" s="275"/>
      <c r="G229" s="402">
        <v>0</v>
      </c>
      <c r="H229" s="402">
        <f>Banco[[#This Row],[cargos]]*-1</f>
        <v>0</v>
      </c>
      <c r="I229" s="402">
        <v>738986</v>
      </c>
      <c r="J229" s="403"/>
      <c r="K229" s="403">
        <f>+Banco[[#This Row],[cargos]]+Banco[[#This Row],[Ingresos]]</f>
        <v>738986</v>
      </c>
      <c r="L229" s="276" t="s">
        <v>16</v>
      </c>
      <c r="M229" s="276" t="str">
        <f>MID(Banco[[#This Row],[CtaCtbl]],FIND(" - ",Banco[[#This Row],[CtaCtbl]])+3,40)</f>
        <v>Cuota Extraordinaria</v>
      </c>
      <c r="N229" s="276"/>
      <c r="O229" s="89"/>
    </row>
    <row r="230" spans="1:15" hidden="1">
      <c r="A230" s="272">
        <f>YEAR(Banco[[#This Row],[Fecha]])</f>
        <v>2025</v>
      </c>
      <c r="B230" s="272" t="str">
        <f>PROPER(TEXT(Banco[[#This Row],[Fecha]],"MMMM"))</f>
        <v>Marzo</v>
      </c>
      <c r="C230" s="273" t="str">
        <f>TEXT(Banco[[#This Row],[Fecha]],"mmm-yyyy")</f>
        <v>mar-2025</v>
      </c>
      <c r="D230" s="274">
        <v>45742</v>
      </c>
      <c r="E230" s="275" t="s">
        <v>15</v>
      </c>
      <c r="F230" s="275"/>
      <c r="G230" s="402">
        <v>0</v>
      </c>
      <c r="H230" s="402">
        <f>Banco[[#This Row],[cargos]]*-1</f>
        <v>0</v>
      </c>
      <c r="I230" s="402">
        <v>9373454</v>
      </c>
      <c r="J230" s="403"/>
      <c r="K230" s="403">
        <f>+Banco[[#This Row],[cargos]]+Banco[[#This Row],[Ingresos]]</f>
        <v>9373454</v>
      </c>
      <c r="L230" s="276" t="s">
        <v>18</v>
      </c>
      <c r="M230" s="276" t="str">
        <f>MID(Banco[[#This Row],[CtaCtbl]],FIND(" - ",Banco[[#This Row],[CtaCtbl]])+3,40)</f>
        <v>Cuota Ordinaria</v>
      </c>
      <c r="N230" s="276"/>
      <c r="O230" s="89"/>
    </row>
    <row r="231" spans="1:15" hidden="1">
      <c r="A231" s="272">
        <f>YEAR(Banco[[#This Row],[Fecha]])</f>
        <v>2025</v>
      </c>
      <c r="B231" s="272" t="str">
        <f>PROPER(TEXT(Banco[[#This Row],[Fecha]],"MMMM"))</f>
        <v>Abril</v>
      </c>
      <c r="C231" s="273" t="str">
        <f>TEXT(Banco[[#This Row],[Fecha]],"mmm-yyyy")</f>
        <v>abr-2025</v>
      </c>
      <c r="D231" s="274">
        <v>45748</v>
      </c>
      <c r="E231" s="277" t="s">
        <v>24</v>
      </c>
      <c r="F231" s="276"/>
      <c r="G231" s="402">
        <v>-23146</v>
      </c>
      <c r="H231" s="402">
        <f>Banco[[#This Row],[cargos]]*-1</f>
        <v>23146</v>
      </c>
      <c r="I231" s="402">
        <v>0</v>
      </c>
      <c r="J231" s="403"/>
      <c r="K231" s="403">
        <f>+Banco[[#This Row],[cargos]]+Banco[[#This Row],[Ingresos]]</f>
        <v>-23146</v>
      </c>
      <c r="L231" s="276" t="s">
        <v>25</v>
      </c>
      <c r="M231" s="276" t="str">
        <f>MID(Banco[[#This Row],[CtaCtbl]],FIND(" - ",Banco[[#This Row],[CtaCtbl]])+3,40)</f>
        <v>Pago Comisiones</v>
      </c>
      <c r="N231" s="276"/>
      <c r="O231" s="89"/>
    </row>
    <row r="232" spans="1:15" hidden="1">
      <c r="A232" s="272">
        <f>YEAR(Banco[[#This Row],[Fecha]])</f>
        <v>2025</v>
      </c>
      <c r="B232" s="272" t="str">
        <f>PROPER(TEXT(Banco[[#This Row],[Fecha]],"MMMM"))</f>
        <v>Abril</v>
      </c>
      <c r="C232" s="273" t="str">
        <f>TEXT(Banco[[#This Row],[Fecha]],"mmm-yyyy")</f>
        <v>abr-2025</v>
      </c>
      <c r="D232" s="274">
        <v>45749</v>
      </c>
      <c r="E232" s="277" t="s">
        <v>15</v>
      </c>
      <c r="F232" s="276"/>
      <c r="G232" s="402">
        <v>0</v>
      </c>
      <c r="H232" s="402">
        <f>Banco[[#This Row],[cargos]]*-1</f>
        <v>0</v>
      </c>
      <c r="I232" s="402">
        <v>2334248</v>
      </c>
      <c r="J232" s="403"/>
      <c r="K232" s="403">
        <f>+Banco[[#This Row],[cargos]]+Banco[[#This Row],[Ingresos]]</f>
        <v>2334248</v>
      </c>
      <c r="L232" s="276" t="s">
        <v>47</v>
      </c>
      <c r="M232" s="276" t="str">
        <f>MID(Banco[[#This Row],[CtaCtbl]],FIND(" - ",Banco[[#This Row],[CtaCtbl]])+3,40)</f>
        <v>Aporte Colbun</v>
      </c>
      <c r="N232" s="276"/>
      <c r="O232" s="89"/>
    </row>
    <row r="233" spans="1:15" hidden="1">
      <c r="A233" s="272">
        <f>YEAR(Banco[[#This Row],[Fecha]])</f>
        <v>2025</v>
      </c>
      <c r="B233" s="272" t="str">
        <f>PROPER(TEXT(Banco[[#This Row],[Fecha]],"MMMM"))</f>
        <v>Abril</v>
      </c>
      <c r="C233" s="273" t="str">
        <f>TEXT(Banco[[#This Row],[Fecha]],"mmm-yyyy")</f>
        <v>abr-2025</v>
      </c>
      <c r="D233" s="274">
        <v>45755</v>
      </c>
      <c r="E233" s="277" t="s">
        <v>22</v>
      </c>
      <c r="F233" s="276"/>
      <c r="G233" s="402">
        <v>-222462</v>
      </c>
      <c r="H233" s="402">
        <f>Banco[[#This Row],[cargos]]*-1</f>
        <v>222462</v>
      </c>
      <c r="I233" s="402">
        <v>0</v>
      </c>
      <c r="J233" s="403"/>
      <c r="K233" s="403">
        <f>+Banco[[#This Row],[cargos]]+Banco[[#This Row],[Ingresos]]</f>
        <v>-222462</v>
      </c>
      <c r="L233" s="276" t="s">
        <v>23</v>
      </c>
      <c r="M233" s="276" t="str">
        <f>MID(Banco[[#This Row],[CtaCtbl]],FIND(" - ",Banco[[#This Row],[CtaCtbl]])+3,40)</f>
        <v>Asesoria Legal - Convenio Fijo Mensual</v>
      </c>
      <c r="N233" s="285" t="s">
        <v>119</v>
      </c>
      <c r="O233" s="89"/>
    </row>
    <row r="234" spans="1:15" hidden="1">
      <c r="A234" s="272">
        <f>YEAR(Banco[[#This Row],[Fecha]])</f>
        <v>2025</v>
      </c>
      <c r="B234" s="272" t="str">
        <f>PROPER(TEXT(Banco[[#This Row],[Fecha]],"MMMM"))</f>
        <v>Abril</v>
      </c>
      <c r="C234" s="273" t="str">
        <f>TEXT(Banco[[#This Row],[Fecha]],"mmm-yyyy")</f>
        <v>abr-2025</v>
      </c>
      <c r="D234" s="274">
        <v>45755</v>
      </c>
      <c r="E234" s="277" t="s">
        <v>22</v>
      </c>
      <c r="F234" s="276"/>
      <c r="G234" s="402">
        <v>-222462</v>
      </c>
      <c r="H234" s="402">
        <f>Banco[[#This Row],[cargos]]*-1</f>
        <v>222462</v>
      </c>
      <c r="I234" s="402">
        <v>0</v>
      </c>
      <c r="J234" s="403"/>
      <c r="K234" s="403">
        <f>+Banco[[#This Row],[cargos]]+Banco[[#This Row],[Ingresos]]</f>
        <v>-222462</v>
      </c>
      <c r="L234" s="276" t="s">
        <v>23</v>
      </c>
      <c r="M234" s="276" t="str">
        <f>MID(Banco[[#This Row],[CtaCtbl]],FIND(" - ",Banco[[#This Row],[CtaCtbl]])+3,40)</f>
        <v>Asesoria Legal - Convenio Fijo Mensual</v>
      </c>
      <c r="N234" s="287" t="s">
        <v>120</v>
      </c>
      <c r="O234" s="89"/>
    </row>
    <row r="235" spans="1:15" hidden="1">
      <c r="A235" s="288">
        <f>YEAR(Banco[[#This Row],[Fecha]])</f>
        <v>2025</v>
      </c>
      <c r="B235" s="288" t="str">
        <f>PROPER(TEXT(Banco[[#This Row],[Fecha]],"MMMM"))</f>
        <v>Abril</v>
      </c>
      <c r="C235" s="270" t="str">
        <f>TEXT(Banco[[#This Row],[Fecha]],"mmm-yyyy")</f>
        <v>abr-2025</v>
      </c>
      <c r="D235" s="289">
        <v>45757</v>
      </c>
      <c r="E235" s="291" t="s">
        <v>29</v>
      </c>
      <c r="F235" s="290"/>
      <c r="G235" s="404">
        <v>-6854</v>
      </c>
      <c r="H235" s="404">
        <f>Banco[[#This Row],[cargos]]*-1</f>
        <v>6854</v>
      </c>
      <c r="I235" s="404">
        <v>0</v>
      </c>
      <c r="J235" s="403"/>
      <c r="K235" s="403">
        <f>+Banco[[#This Row],[cargos]]+Banco[[#This Row],[Ingresos]]</f>
        <v>-6854</v>
      </c>
      <c r="L235" s="290" t="s">
        <v>42</v>
      </c>
      <c r="M235" s="276" t="str">
        <f>MID(Banco[[#This Row],[CtaCtbl]],FIND(" - ",Banco[[#This Row],[CtaCtbl]])+3,40)</f>
        <v>Otros gastos varios</v>
      </c>
      <c r="N235" s="290"/>
      <c r="O235" s="89"/>
    </row>
    <row r="236" spans="1:15" hidden="1">
      <c r="A236" s="272">
        <f>YEAR(Banco[[#This Row],[Fecha]])</f>
        <v>2025</v>
      </c>
      <c r="B236" s="272" t="str">
        <f>PROPER(TEXT(Banco[[#This Row],[Fecha]],"MMMM"))</f>
        <v>Abril</v>
      </c>
      <c r="C236" s="273" t="str">
        <f>TEXT(Banco[[#This Row],[Fecha]],"mmm-yyyy")</f>
        <v>abr-2025</v>
      </c>
      <c r="D236" s="274">
        <v>45757</v>
      </c>
      <c r="E236" s="284" t="s">
        <v>121</v>
      </c>
      <c r="F236" s="276"/>
      <c r="G236" s="402">
        <v>-411959</v>
      </c>
      <c r="H236" s="402">
        <f>Banco[[#This Row],[cargos]]*-1</f>
        <v>411959</v>
      </c>
      <c r="I236" s="402">
        <v>0</v>
      </c>
      <c r="J236" s="405"/>
      <c r="K236" s="405">
        <f>+Banco[[#This Row],[cargos]]+Banco[[#This Row],[Ingresos]]</f>
        <v>-411959</v>
      </c>
      <c r="L236" s="276" t="s">
        <v>122</v>
      </c>
      <c r="M236" s="276" t="str">
        <f>MID(Banco[[#This Row],[CtaCtbl]],FIND(" - ",Banco[[#This Row],[CtaCtbl]])+3,40)</f>
        <v>Uso de Vehiculo personal</v>
      </c>
      <c r="N236" s="285" t="s">
        <v>123</v>
      </c>
      <c r="O236" s="89"/>
    </row>
    <row r="237" spans="1:15" hidden="1">
      <c r="A237" s="272">
        <f>YEAR(Banco[[#This Row],[Fecha]])</f>
        <v>2025</v>
      </c>
      <c r="B237" s="272" t="str">
        <f>PROPER(TEXT(Banco[[#This Row],[Fecha]],"MMMM"))</f>
        <v>Abril</v>
      </c>
      <c r="C237" s="273" t="str">
        <f>TEXT(Banco[[#This Row],[Fecha]],"mmm-yyyy")</f>
        <v>abr-2025</v>
      </c>
      <c r="D237" s="274">
        <v>45757</v>
      </c>
      <c r="E237" s="284" t="s">
        <v>121</v>
      </c>
      <c r="F237" s="276"/>
      <c r="G237" s="402">
        <v>-10680</v>
      </c>
      <c r="H237" s="402">
        <f>Banco[[#This Row],[cargos]]*-1</f>
        <v>10680</v>
      </c>
      <c r="I237" s="402">
        <v>0</v>
      </c>
      <c r="J237" s="405"/>
      <c r="K237" s="405">
        <f>+Banco[[#This Row],[cargos]]+Banco[[#This Row],[Ingresos]]</f>
        <v>-10680</v>
      </c>
      <c r="L237" s="276" t="s">
        <v>124</v>
      </c>
      <c r="M237" s="276" t="str">
        <f>MID(Banco[[#This Row],[CtaCtbl]],FIND(" - ",Banco[[#This Row],[CtaCtbl]])+3,40)</f>
        <v>Peajes</v>
      </c>
      <c r="N237" s="285" t="s">
        <v>123</v>
      </c>
      <c r="O237" s="89"/>
    </row>
    <row r="238" spans="1:15" hidden="1">
      <c r="A238" s="272">
        <f>YEAR(Banco[[#This Row],[Fecha]])</f>
        <v>2025</v>
      </c>
      <c r="B238" s="272" t="str">
        <f>PROPER(TEXT(Banco[[#This Row],[Fecha]],"MMMM"))</f>
        <v>Abril</v>
      </c>
      <c r="C238" s="273" t="str">
        <f>TEXT(Banco[[#This Row],[Fecha]],"mmm-yyyy")</f>
        <v>abr-2025</v>
      </c>
      <c r="D238" s="274">
        <v>45757</v>
      </c>
      <c r="E238" s="284" t="s">
        <v>121</v>
      </c>
      <c r="F238" s="276"/>
      <c r="G238" s="402">
        <v>-19278</v>
      </c>
      <c r="H238" s="402">
        <f>Banco[[#This Row],[cargos]]*-1</f>
        <v>19278</v>
      </c>
      <c r="I238" s="402">
        <v>0</v>
      </c>
      <c r="J238" s="405"/>
      <c r="K238" s="405">
        <f>+Banco[[#This Row],[cargos]]+Banco[[#This Row],[Ingresos]]</f>
        <v>-19278</v>
      </c>
      <c r="L238" s="276" t="s">
        <v>30</v>
      </c>
      <c r="M238" s="276" t="str">
        <f>MID(Banco[[#This Row],[CtaCtbl]],FIND(" - ",Banco[[#This Row],[CtaCtbl]])+3,40)</f>
        <v>Almuerzo</v>
      </c>
      <c r="N238" s="285" t="s">
        <v>125</v>
      </c>
      <c r="O238" s="89"/>
    </row>
    <row r="239" spans="1:15" hidden="1">
      <c r="A239" s="272">
        <f>YEAR(Banco[[#This Row],[Fecha]])</f>
        <v>2025</v>
      </c>
      <c r="B239" s="272" t="str">
        <f>PROPER(TEXT(Banco[[#This Row],[Fecha]],"MMMM"))</f>
        <v>Abril</v>
      </c>
      <c r="C239" s="273" t="str">
        <f>TEXT(Banco[[#This Row],[Fecha]],"mmm-yyyy")</f>
        <v>abr-2025</v>
      </c>
      <c r="D239" s="274">
        <v>45757</v>
      </c>
      <c r="E239" s="284" t="s">
        <v>121</v>
      </c>
      <c r="F239" s="276"/>
      <c r="G239" s="402">
        <v>-19278</v>
      </c>
      <c r="H239" s="402">
        <f>Banco[[#This Row],[cargos]]*-1</f>
        <v>19278</v>
      </c>
      <c r="I239" s="402">
        <v>0</v>
      </c>
      <c r="J239" s="405"/>
      <c r="K239" s="405">
        <f>+Banco[[#This Row],[cargos]]+Banco[[#This Row],[Ingresos]]</f>
        <v>-19278</v>
      </c>
      <c r="L239" s="276" t="s">
        <v>30</v>
      </c>
      <c r="M239" s="276" t="str">
        <f>MID(Banco[[#This Row],[CtaCtbl]],FIND(" - ",Banco[[#This Row],[CtaCtbl]])+3,40)</f>
        <v>Almuerzo</v>
      </c>
      <c r="N239" s="285" t="s">
        <v>126</v>
      </c>
      <c r="O239" s="89"/>
    </row>
    <row r="240" spans="1:15" hidden="1">
      <c r="A240" s="272">
        <f>YEAR(Banco[[#This Row],[Fecha]])</f>
        <v>2025</v>
      </c>
      <c r="B240" s="272" t="str">
        <f>PROPER(TEXT(Banco[[#This Row],[Fecha]],"MMMM"))</f>
        <v>Abril</v>
      </c>
      <c r="C240" s="273" t="str">
        <f>TEXT(Banco[[#This Row],[Fecha]],"mmm-yyyy")</f>
        <v>abr-2025</v>
      </c>
      <c r="D240" s="274">
        <v>45757</v>
      </c>
      <c r="E240" s="284" t="s">
        <v>121</v>
      </c>
      <c r="F240" s="276"/>
      <c r="G240" s="402">
        <v>-13035</v>
      </c>
      <c r="H240" s="402">
        <f>Banco[[#This Row],[cargos]]*-1</f>
        <v>13035</v>
      </c>
      <c r="I240" s="402">
        <v>0</v>
      </c>
      <c r="J240" s="405"/>
      <c r="K240" s="405">
        <f>+Banco[[#This Row],[cargos]]+Banco[[#This Row],[Ingresos]]</f>
        <v>-13035</v>
      </c>
      <c r="L240" s="276" t="s">
        <v>127</v>
      </c>
      <c r="M240" s="276" t="str">
        <f>MID(Banco[[#This Row],[CtaCtbl]],FIND(" - ",Banco[[#This Row],[CtaCtbl]])+3,40)</f>
        <v>Cena</v>
      </c>
      <c r="N240" s="285" t="s">
        <v>126</v>
      </c>
      <c r="O240" s="89"/>
    </row>
    <row r="241" spans="1:15" hidden="1">
      <c r="A241" s="272">
        <f>YEAR(Banco[[#This Row],[Fecha]])</f>
        <v>2025</v>
      </c>
      <c r="B241" s="272" t="str">
        <f>PROPER(TEXT(Banco[[#This Row],[Fecha]],"MMMM"))</f>
        <v>Abril</v>
      </c>
      <c r="C241" s="273" t="str">
        <f>TEXT(Banco[[#This Row],[Fecha]],"mmm-yyyy")</f>
        <v>abr-2025</v>
      </c>
      <c r="D241" s="274">
        <v>45757</v>
      </c>
      <c r="E241" s="284" t="s">
        <v>121</v>
      </c>
      <c r="F241" s="276"/>
      <c r="G241" s="402">
        <v>-13035</v>
      </c>
      <c r="H241" s="402">
        <f>Banco[[#This Row],[cargos]]*-1</f>
        <v>13035</v>
      </c>
      <c r="I241" s="402">
        <v>0</v>
      </c>
      <c r="J241" s="405"/>
      <c r="K241" s="405">
        <f>+Banco[[#This Row],[cargos]]+Banco[[#This Row],[Ingresos]]</f>
        <v>-13035</v>
      </c>
      <c r="L241" s="276" t="s">
        <v>127</v>
      </c>
      <c r="M241" s="276" t="str">
        <f>MID(Banco[[#This Row],[CtaCtbl]],FIND(" - ",Banco[[#This Row],[CtaCtbl]])+3,40)</f>
        <v>Cena</v>
      </c>
      <c r="N241" s="285" t="s">
        <v>125</v>
      </c>
      <c r="O241" s="89"/>
    </row>
    <row r="242" spans="1:15" s="149" customFormat="1" hidden="1">
      <c r="A242" s="272">
        <f>YEAR(Banco[[#This Row],[Fecha]])</f>
        <v>2025</v>
      </c>
      <c r="B242" s="272" t="str">
        <f>PROPER(TEXT(Banco[[#This Row],[Fecha]],"MMMM"))</f>
        <v>Abril</v>
      </c>
      <c r="C242" s="273" t="str">
        <f>TEXT(Banco[[#This Row],[Fecha]],"mmm-yyyy")</f>
        <v>abr-2025</v>
      </c>
      <c r="D242" s="274">
        <v>45757</v>
      </c>
      <c r="E242" s="284" t="s">
        <v>121</v>
      </c>
      <c r="F242" s="276"/>
      <c r="G242" s="402">
        <v>-89250</v>
      </c>
      <c r="H242" s="402">
        <f>Banco[[#This Row],[cargos]]*-1</f>
        <v>89250</v>
      </c>
      <c r="I242" s="402">
        <v>0</v>
      </c>
      <c r="J242" s="405"/>
      <c r="K242" s="405">
        <f>+Banco[[#This Row],[cargos]]+Banco[[#This Row],[Ingresos]]</f>
        <v>-89250</v>
      </c>
      <c r="L242" s="276" t="s">
        <v>32</v>
      </c>
      <c r="M242" s="276" t="str">
        <f>MID(Banco[[#This Row],[CtaCtbl]],FIND(" - ",Banco[[#This Row],[CtaCtbl]])+3,40)</f>
        <v>Alojamiento</v>
      </c>
      <c r="N242" s="285" t="s">
        <v>125</v>
      </c>
      <c r="O242" s="292"/>
    </row>
    <row r="243" spans="1:15" s="149" customFormat="1" hidden="1">
      <c r="A243" s="272">
        <f>YEAR(Banco[[#This Row],[Fecha]])</f>
        <v>2025</v>
      </c>
      <c r="B243" s="272" t="str">
        <f>PROPER(TEXT(Banco[[#This Row],[Fecha]],"MMMM"))</f>
        <v>Abril</v>
      </c>
      <c r="C243" s="273" t="str">
        <f>TEXT(Banco[[#This Row],[Fecha]],"mmm-yyyy")</f>
        <v>abr-2025</v>
      </c>
      <c r="D243" s="274">
        <v>45757</v>
      </c>
      <c r="E243" s="284" t="s">
        <v>121</v>
      </c>
      <c r="F243" s="276"/>
      <c r="G243" s="402">
        <v>-89250</v>
      </c>
      <c r="H243" s="402">
        <f>Banco[[#This Row],[cargos]]*-1</f>
        <v>89250</v>
      </c>
      <c r="I243" s="402">
        <v>0</v>
      </c>
      <c r="J243" s="405"/>
      <c r="K243" s="405">
        <f>+Banco[[#This Row],[cargos]]+Banco[[#This Row],[Ingresos]]</f>
        <v>-89250</v>
      </c>
      <c r="L243" s="276" t="s">
        <v>32</v>
      </c>
      <c r="M243" s="276" t="str">
        <f>MID(Banco[[#This Row],[CtaCtbl]],FIND(" - ",Banco[[#This Row],[CtaCtbl]])+3,40)</f>
        <v>Alojamiento</v>
      </c>
      <c r="N243" s="285" t="s">
        <v>126</v>
      </c>
      <c r="O243" s="292"/>
    </row>
    <row r="244" spans="1:15" s="149" customFormat="1" hidden="1">
      <c r="A244" s="272">
        <f>YEAR(Banco[[#This Row],[Fecha]])</f>
        <v>2025</v>
      </c>
      <c r="B244" s="272" t="str">
        <f>PROPER(TEXT(Banco[[#This Row],[Fecha]],"MMMM"))</f>
        <v>Abril</v>
      </c>
      <c r="C244" s="273" t="str">
        <f>TEXT(Banco[[#This Row],[Fecha]],"mmm-yyyy")</f>
        <v>abr-2025</v>
      </c>
      <c r="D244" s="274">
        <v>45757</v>
      </c>
      <c r="E244" s="284" t="s">
        <v>121</v>
      </c>
      <c r="F244" s="276"/>
      <c r="G244" s="402">
        <v>-51026</v>
      </c>
      <c r="H244" s="402">
        <f>Banco[[#This Row],[cargos]]*-1</f>
        <v>51026</v>
      </c>
      <c r="I244" s="402">
        <v>0</v>
      </c>
      <c r="J244" s="405"/>
      <c r="K244" s="405">
        <f>+Banco[[#This Row],[cargos]]+Banco[[#This Row],[Ingresos]]</f>
        <v>-51026</v>
      </c>
      <c r="L244" s="276" t="s">
        <v>128</v>
      </c>
      <c r="M244" s="276" t="str">
        <f>MID(Banco[[#This Row],[CtaCtbl]],FIND(" - ",Banco[[#This Row],[CtaCtbl]])+3,40)</f>
        <v>Combustible</v>
      </c>
      <c r="N244" s="285" t="s">
        <v>123</v>
      </c>
      <c r="O244" s="292"/>
    </row>
    <row r="245" spans="1:15" s="149" customFormat="1" hidden="1">
      <c r="A245" s="272">
        <f>YEAR(Banco[[#This Row],[Fecha]])</f>
        <v>2025</v>
      </c>
      <c r="B245" s="272" t="str">
        <f>PROPER(TEXT(Banco[[#This Row],[Fecha]],"MMMM"))</f>
        <v>Abril</v>
      </c>
      <c r="C245" s="273" t="str">
        <f>TEXT(Banco[[#This Row],[Fecha]],"mmm-yyyy")</f>
        <v>abr-2025</v>
      </c>
      <c r="D245" s="274">
        <v>45757</v>
      </c>
      <c r="E245" s="284" t="s">
        <v>121</v>
      </c>
      <c r="F245" s="276"/>
      <c r="G245" s="402">
        <v>-34609</v>
      </c>
      <c r="H245" s="402">
        <f>Banco[[#This Row],[cargos]]*-1</f>
        <v>34609</v>
      </c>
      <c r="I245" s="402">
        <v>0</v>
      </c>
      <c r="J245" s="405"/>
      <c r="K245" s="405">
        <f>+Banco[[#This Row],[cargos]]+Banco[[#This Row],[Ingresos]]</f>
        <v>-34609</v>
      </c>
      <c r="L245" s="276" t="s">
        <v>128</v>
      </c>
      <c r="M245" s="276" t="str">
        <f>MID(Banco[[#This Row],[CtaCtbl]],FIND(" - ",Banco[[#This Row],[CtaCtbl]])+3,40)</f>
        <v>Combustible</v>
      </c>
      <c r="N245" s="285" t="s">
        <v>123</v>
      </c>
      <c r="O245" s="292"/>
    </row>
    <row r="246" spans="1:15" s="149" customFormat="1" hidden="1">
      <c r="A246" s="272">
        <f>YEAR(Banco[[#This Row],[Fecha]])</f>
        <v>2025</v>
      </c>
      <c r="B246" s="272" t="str">
        <f>PROPER(TEXT(Banco[[#This Row],[Fecha]],"MMMM"))</f>
        <v>Abril</v>
      </c>
      <c r="C246" s="273" t="str">
        <f>TEXT(Banco[[#This Row],[Fecha]],"mmm-yyyy")</f>
        <v>abr-2025</v>
      </c>
      <c r="D246" s="274">
        <v>45757</v>
      </c>
      <c r="E246" s="284" t="s">
        <v>121</v>
      </c>
      <c r="F246" s="276"/>
      <c r="G246" s="402">
        <v>-13090</v>
      </c>
      <c r="H246" s="402">
        <f>Banco[[#This Row],[cargos]]*-1</f>
        <v>13090</v>
      </c>
      <c r="I246" s="402">
        <v>0</v>
      </c>
      <c r="J246" s="405"/>
      <c r="K246" s="405">
        <f>+Banco[[#This Row],[cargos]]+Banco[[#This Row],[Ingresos]]</f>
        <v>-13090</v>
      </c>
      <c r="L246" s="276" t="s">
        <v>30</v>
      </c>
      <c r="M246" s="276" t="str">
        <f>MID(Banco[[#This Row],[CtaCtbl]],FIND(" - ",Banco[[#This Row],[CtaCtbl]])+3,40)</f>
        <v>Almuerzo</v>
      </c>
      <c r="N246" s="285" t="s">
        <v>126</v>
      </c>
      <c r="O246" s="292"/>
    </row>
    <row r="247" spans="1:15" s="149" customFormat="1" hidden="1">
      <c r="A247" s="272">
        <f>YEAR(Banco[[#This Row],[Fecha]])</f>
        <v>2025</v>
      </c>
      <c r="B247" s="272" t="str">
        <f>PROPER(TEXT(Banco[[#This Row],[Fecha]],"MMMM"))</f>
        <v>Abril</v>
      </c>
      <c r="C247" s="273" t="str">
        <f>TEXT(Banco[[#This Row],[Fecha]],"mmm-yyyy")</f>
        <v>abr-2025</v>
      </c>
      <c r="D247" s="274">
        <v>45757</v>
      </c>
      <c r="E247" s="284" t="s">
        <v>121</v>
      </c>
      <c r="F247" s="276"/>
      <c r="G247" s="402">
        <v>-10090</v>
      </c>
      <c r="H247" s="402">
        <f>Banco[[#This Row],[cargos]]*-1</f>
        <v>10090</v>
      </c>
      <c r="I247" s="402">
        <v>0</v>
      </c>
      <c r="J247" s="405"/>
      <c r="K247" s="405">
        <f>+Banco[[#This Row],[cargos]]+Banco[[#This Row],[Ingresos]]</f>
        <v>-10090</v>
      </c>
      <c r="L247" s="276" t="s">
        <v>127</v>
      </c>
      <c r="M247" s="276" t="str">
        <f>MID(Banco[[#This Row],[CtaCtbl]],FIND(" - ",Banco[[#This Row],[CtaCtbl]])+3,40)</f>
        <v>Cena</v>
      </c>
      <c r="N247" s="285" t="s">
        <v>126</v>
      </c>
      <c r="O247" s="292"/>
    </row>
    <row r="248" spans="1:15" s="149" customFormat="1" hidden="1">
      <c r="A248" s="272">
        <f>YEAR(Banco[[#This Row],[Fecha]])</f>
        <v>2025</v>
      </c>
      <c r="B248" s="272" t="str">
        <f>PROPER(TEXT(Banco[[#This Row],[Fecha]],"MMMM"))</f>
        <v>Abril</v>
      </c>
      <c r="C248" s="273" t="str">
        <f>TEXT(Banco[[#This Row],[Fecha]],"mmm-yyyy")</f>
        <v>abr-2025</v>
      </c>
      <c r="D248" s="274">
        <v>45757</v>
      </c>
      <c r="E248" s="284" t="s">
        <v>121</v>
      </c>
      <c r="F248" s="276"/>
      <c r="G248" s="402">
        <v>-33770</v>
      </c>
      <c r="H248" s="402">
        <f>Banco[[#This Row],[cargos]]*-1</f>
        <v>33770</v>
      </c>
      <c r="I248" s="402">
        <v>0</v>
      </c>
      <c r="J248" s="405"/>
      <c r="K248" s="405">
        <f>+Banco[[#This Row],[cargos]]+Banco[[#This Row],[Ingresos]]</f>
        <v>-33770</v>
      </c>
      <c r="L248" s="276" t="s">
        <v>124</v>
      </c>
      <c r="M248" s="276" t="str">
        <f>MID(Banco[[#This Row],[CtaCtbl]],FIND(" - ",Banco[[#This Row],[CtaCtbl]])+3,40)</f>
        <v>Peajes</v>
      </c>
      <c r="N248" s="285" t="s">
        <v>123</v>
      </c>
      <c r="O248" s="292"/>
    </row>
    <row r="249" spans="1:15" s="149" customFormat="1" hidden="1">
      <c r="A249" s="272">
        <f>YEAR(Banco[[#This Row],[Fecha]])</f>
        <v>2025</v>
      </c>
      <c r="B249" s="272" t="str">
        <f>PROPER(TEXT(Banco[[#This Row],[Fecha]],"MMMM"))</f>
        <v>Abril</v>
      </c>
      <c r="C249" s="273" t="str">
        <f>TEXT(Banco[[#This Row],[Fecha]],"mmm-yyyy")</f>
        <v>abr-2025</v>
      </c>
      <c r="D249" s="274">
        <v>45757</v>
      </c>
      <c r="E249" s="284" t="s">
        <v>121</v>
      </c>
      <c r="F249" s="276"/>
      <c r="G249" s="402">
        <v>-29145</v>
      </c>
      <c r="H249" s="402">
        <f>Banco[[#This Row],[cargos]]*-1</f>
        <v>29145</v>
      </c>
      <c r="I249" s="402">
        <v>0</v>
      </c>
      <c r="J249" s="405"/>
      <c r="K249" s="405">
        <f>+Banco[[#This Row],[cargos]]+Banco[[#This Row],[Ingresos]]</f>
        <v>-29145</v>
      </c>
      <c r="L249" s="276" t="s">
        <v>124</v>
      </c>
      <c r="M249" s="276" t="str">
        <f>MID(Banco[[#This Row],[CtaCtbl]],FIND(" - ",Banco[[#This Row],[CtaCtbl]])+3,40)</f>
        <v>Peajes</v>
      </c>
      <c r="N249" s="285" t="s">
        <v>123</v>
      </c>
      <c r="O249" s="292"/>
    </row>
    <row r="250" spans="1:15" s="149" customFormat="1" hidden="1">
      <c r="A250" s="272">
        <f>YEAR(Banco[[#This Row],[Fecha]])</f>
        <v>2025</v>
      </c>
      <c r="B250" s="272" t="str">
        <f>PROPER(TEXT(Banco[[#This Row],[Fecha]],"MMMM"))</f>
        <v>Abril</v>
      </c>
      <c r="C250" s="273" t="str">
        <f>TEXT(Banco[[#This Row],[Fecha]],"mmm-yyyy")</f>
        <v>abr-2025</v>
      </c>
      <c r="D250" s="274">
        <v>45762</v>
      </c>
      <c r="E250" s="284" t="s">
        <v>129</v>
      </c>
      <c r="F250" s="276"/>
      <c r="G250" s="402">
        <v>-414451</v>
      </c>
      <c r="H250" s="402">
        <f>Banco[[#This Row],[cargos]]*-1</f>
        <v>414451</v>
      </c>
      <c r="I250" s="402">
        <v>0</v>
      </c>
      <c r="J250" s="405"/>
      <c r="K250" s="405">
        <f>+Banco[[#This Row],[cargos]]+Banco[[#This Row],[Ingresos]]</f>
        <v>-414451</v>
      </c>
      <c r="L250" s="276" t="s">
        <v>122</v>
      </c>
      <c r="M250" s="276" t="str">
        <f>MID(Banco[[#This Row],[CtaCtbl]],FIND(" - ",Banco[[#This Row],[CtaCtbl]])+3,40)</f>
        <v>Uso de Vehiculo personal</v>
      </c>
      <c r="N250" s="285" t="s">
        <v>130</v>
      </c>
      <c r="O250" s="292"/>
    </row>
    <row r="251" spans="1:15" s="149" customFormat="1" hidden="1">
      <c r="A251" s="272">
        <f>YEAR(Banco[[#This Row],[Fecha]])</f>
        <v>2025</v>
      </c>
      <c r="B251" s="272" t="str">
        <f>PROPER(TEXT(Banco[[#This Row],[Fecha]],"MMMM"))</f>
        <v>Abril</v>
      </c>
      <c r="C251" s="273" t="str">
        <f>TEXT(Banco[[#This Row],[Fecha]],"mmm-yyyy")</f>
        <v>abr-2025</v>
      </c>
      <c r="D251" s="274">
        <v>45762</v>
      </c>
      <c r="E251" s="284" t="s">
        <v>129</v>
      </c>
      <c r="F251" s="276"/>
      <c r="G251" s="402">
        <v>-178500</v>
      </c>
      <c r="H251" s="402">
        <f>Banco[[#This Row],[cargos]]*-1</f>
        <v>178500</v>
      </c>
      <c r="I251" s="402">
        <v>0</v>
      </c>
      <c r="J251" s="405"/>
      <c r="K251" s="405">
        <f>+Banco[[#This Row],[cargos]]+Banco[[#This Row],[Ingresos]]</f>
        <v>-178500</v>
      </c>
      <c r="L251" s="276" t="s">
        <v>32</v>
      </c>
      <c r="M251" s="276" t="str">
        <f>MID(Banco[[#This Row],[CtaCtbl]],FIND(" - ",Banco[[#This Row],[CtaCtbl]])+3,40)</f>
        <v>Alojamiento</v>
      </c>
      <c r="N251" s="285" t="s">
        <v>130</v>
      </c>
      <c r="O251" s="292"/>
    </row>
    <row r="252" spans="1:15" s="149" customFormat="1" hidden="1">
      <c r="A252" s="272">
        <f>YEAR(Banco[[#This Row],[Fecha]])</f>
        <v>2025</v>
      </c>
      <c r="B252" s="272" t="str">
        <f>PROPER(TEXT(Banco[[#This Row],[Fecha]],"MMMM"))</f>
        <v>Abril</v>
      </c>
      <c r="C252" s="273" t="str">
        <f>TEXT(Banco[[#This Row],[Fecha]],"mmm-yyyy")</f>
        <v>abr-2025</v>
      </c>
      <c r="D252" s="274">
        <v>45762</v>
      </c>
      <c r="E252" s="284" t="s">
        <v>129</v>
      </c>
      <c r="F252" s="276"/>
      <c r="G252" s="402">
        <v>-24487</v>
      </c>
      <c r="H252" s="402">
        <f>Banco[[#This Row],[cargos]]*-1</f>
        <v>24487</v>
      </c>
      <c r="I252" s="402">
        <v>0</v>
      </c>
      <c r="J252" s="405"/>
      <c r="K252" s="405">
        <f>+Banco[[#This Row],[cargos]]+Banco[[#This Row],[Ingresos]]</f>
        <v>-24487</v>
      </c>
      <c r="L252" s="276" t="s">
        <v>30</v>
      </c>
      <c r="M252" s="276" t="str">
        <f>MID(Banco[[#This Row],[CtaCtbl]],FIND(" - ",Banco[[#This Row],[CtaCtbl]])+3,40)</f>
        <v>Almuerzo</v>
      </c>
      <c r="N252" s="285" t="s">
        <v>130</v>
      </c>
      <c r="O252" s="292"/>
    </row>
    <row r="253" spans="1:15" s="149" customFormat="1" hidden="1">
      <c r="A253" s="272">
        <f>YEAR(Banco[[#This Row],[Fecha]])</f>
        <v>2025</v>
      </c>
      <c r="B253" s="272" t="str">
        <f>PROPER(TEXT(Banco[[#This Row],[Fecha]],"MMMM"))</f>
        <v>Abril</v>
      </c>
      <c r="C253" s="273" t="str">
        <f>TEXT(Banco[[#This Row],[Fecha]],"mmm-yyyy")</f>
        <v>abr-2025</v>
      </c>
      <c r="D253" s="274">
        <v>45762</v>
      </c>
      <c r="E253" s="284" t="s">
        <v>129</v>
      </c>
      <c r="F253" s="276"/>
      <c r="G253" s="402">
        <v>-40205</v>
      </c>
      <c r="H253" s="402">
        <f>Banco[[#This Row],[cargos]]*-1</f>
        <v>40205</v>
      </c>
      <c r="I253" s="402">
        <v>0</v>
      </c>
      <c r="J253" s="405"/>
      <c r="K253" s="405">
        <f>+Banco[[#This Row],[cargos]]+Banco[[#This Row],[Ingresos]]</f>
        <v>-40205</v>
      </c>
      <c r="L253" s="276" t="s">
        <v>127</v>
      </c>
      <c r="M253" s="276" t="str">
        <f>MID(Banco[[#This Row],[CtaCtbl]],FIND(" - ",Banco[[#This Row],[CtaCtbl]])+3,40)</f>
        <v>Cena</v>
      </c>
      <c r="N253" s="285" t="s">
        <v>130</v>
      </c>
      <c r="O253" s="292"/>
    </row>
    <row r="254" spans="1:15" s="149" customFormat="1" hidden="1">
      <c r="A254" s="272">
        <f>YEAR(Banco[[#This Row],[Fecha]])</f>
        <v>2025</v>
      </c>
      <c r="B254" s="272" t="str">
        <f>PROPER(TEXT(Banco[[#This Row],[Fecha]],"MMMM"))</f>
        <v>Abril</v>
      </c>
      <c r="C254" s="273" t="str">
        <f>TEXT(Banco[[#This Row],[Fecha]],"mmm-yyyy")</f>
        <v>abr-2025</v>
      </c>
      <c r="D254" s="274">
        <v>45762</v>
      </c>
      <c r="E254" s="284" t="s">
        <v>129</v>
      </c>
      <c r="F254" s="276"/>
      <c r="G254" s="402">
        <v>-4000</v>
      </c>
      <c r="H254" s="402">
        <f>Banco[[#This Row],[cargos]]*-1</f>
        <v>4000</v>
      </c>
      <c r="I254" s="402">
        <v>0</v>
      </c>
      <c r="J254" s="405"/>
      <c r="K254" s="405">
        <f>+Banco[[#This Row],[cargos]]+Banco[[#This Row],[Ingresos]]</f>
        <v>-4000</v>
      </c>
      <c r="L254" s="276" t="s">
        <v>131</v>
      </c>
      <c r="M254" s="276" t="str">
        <f>MID(Banco[[#This Row],[CtaCtbl]],FIND(" - ",Banco[[#This Row],[CtaCtbl]])+3,40)</f>
        <v>Desayuno</v>
      </c>
      <c r="N254" s="285" t="s">
        <v>130</v>
      </c>
      <c r="O254" s="292"/>
    </row>
    <row r="255" spans="1:15" s="149" customFormat="1" hidden="1">
      <c r="A255" s="272">
        <f>YEAR(Banco[[#This Row],[Fecha]])</f>
        <v>2025</v>
      </c>
      <c r="B255" s="272" t="str">
        <f>PROPER(TEXT(Banco[[#This Row],[Fecha]],"MMMM"))</f>
        <v>Abril</v>
      </c>
      <c r="C255" s="273" t="str">
        <f>TEXT(Banco[[#This Row],[Fecha]],"mmm-yyyy")</f>
        <v>abr-2025</v>
      </c>
      <c r="D255" s="274">
        <v>45762</v>
      </c>
      <c r="E255" s="284" t="s">
        <v>129</v>
      </c>
      <c r="F255" s="276"/>
      <c r="G255" s="402">
        <v>-52126</v>
      </c>
      <c r="H255" s="402">
        <f>Banco[[#This Row],[cargos]]*-1</f>
        <v>52126</v>
      </c>
      <c r="I255" s="402">
        <v>0</v>
      </c>
      <c r="J255" s="405"/>
      <c r="K255" s="405">
        <f>+Banco[[#This Row],[cargos]]+Banco[[#This Row],[Ingresos]]</f>
        <v>-52126</v>
      </c>
      <c r="L255" s="276" t="s">
        <v>128</v>
      </c>
      <c r="M255" s="276" t="str">
        <f>MID(Banco[[#This Row],[CtaCtbl]],FIND(" - ",Banco[[#This Row],[CtaCtbl]])+3,40)</f>
        <v>Combustible</v>
      </c>
      <c r="N255" s="285" t="s">
        <v>130</v>
      </c>
      <c r="O255" s="292"/>
    </row>
    <row r="256" spans="1:15" hidden="1">
      <c r="A256" s="272">
        <f>YEAR(Banco[[#This Row],[Fecha]])</f>
        <v>2025</v>
      </c>
      <c r="B256" s="272" t="str">
        <f>PROPER(TEXT(Banco[[#This Row],[Fecha]],"MMMM"))</f>
        <v>Abril</v>
      </c>
      <c r="C256" s="273" t="str">
        <f>TEXT(Banco[[#This Row],[Fecha]],"mmm-yyyy")</f>
        <v>abr-2025</v>
      </c>
      <c r="D256" s="274">
        <v>45762</v>
      </c>
      <c r="E256" s="284" t="s">
        <v>129</v>
      </c>
      <c r="F256" s="276"/>
      <c r="G256" s="402">
        <v>-11090</v>
      </c>
      <c r="H256" s="402">
        <f>Banco[[#This Row],[cargos]]*-1</f>
        <v>11090</v>
      </c>
      <c r="I256" s="402">
        <v>0</v>
      </c>
      <c r="J256" s="405"/>
      <c r="K256" s="405">
        <f>+Banco[[#This Row],[cargos]]+Banco[[#This Row],[Ingresos]]</f>
        <v>-11090</v>
      </c>
      <c r="L256" s="276" t="s">
        <v>30</v>
      </c>
      <c r="M256" s="276" t="str">
        <f>MID(Banco[[#This Row],[CtaCtbl]],FIND(" - ",Banco[[#This Row],[CtaCtbl]])+3,40)</f>
        <v>Almuerzo</v>
      </c>
      <c r="N256" s="285" t="s">
        <v>130</v>
      </c>
      <c r="O256" s="89"/>
    </row>
    <row r="257" spans="1:15" hidden="1">
      <c r="A257" s="272">
        <f>YEAR(Banco[[#This Row],[Fecha]])</f>
        <v>2025</v>
      </c>
      <c r="B257" s="272" t="str">
        <f>PROPER(TEXT(Banco[[#This Row],[Fecha]],"MMMM"))</f>
        <v>Abril</v>
      </c>
      <c r="C257" s="273" t="str">
        <f>TEXT(Banco[[#This Row],[Fecha]],"mmm-yyyy")</f>
        <v>abr-2025</v>
      </c>
      <c r="D257" s="274">
        <v>45762</v>
      </c>
      <c r="E257" s="284" t="s">
        <v>129</v>
      </c>
      <c r="F257" s="276"/>
      <c r="G257" s="402">
        <v>-10370</v>
      </c>
      <c r="H257" s="402">
        <f>Banco[[#This Row],[cargos]]*-1</f>
        <v>10370</v>
      </c>
      <c r="I257" s="402">
        <v>0</v>
      </c>
      <c r="J257" s="405"/>
      <c r="K257" s="405">
        <f>+Banco[[#This Row],[cargos]]+Banco[[#This Row],[Ingresos]]</f>
        <v>-10370</v>
      </c>
      <c r="L257" s="276" t="s">
        <v>127</v>
      </c>
      <c r="M257" s="276" t="str">
        <f>MID(Banco[[#This Row],[CtaCtbl]],FIND(" - ",Banco[[#This Row],[CtaCtbl]])+3,40)</f>
        <v>Cena</v>
      </c>
      <c r="N257" s="285" t="s">
        <v>130</v>
      </c>
      <c r="O257" s="89"/>
    </row>
    <row r="258" spans="1:15" hidden="1">
      <c r="A258" s="272">
        <f>YEAR(Banco[[#This Row],[Fecha]])</f>
        <v>2025</v>
      </c>
      <c r="B258" s="272" t="str">
        <f>PROPER(TEXT(Banco[[#This Row],[Fecha]],"MMMM"))</f>
        <v>Abril</v>
      </c>
      <c r="C258" s="273" t="str">
        <f>TEXT(Banco[[#This Row],[Fecha]],"mmm-yyyy")</f>
        <v>abr-2025</v>
      </c>
      <c r="D258" s="274">
        <v>45762</v>
      </c>
      <c r="E258" s="284" t="s">
        <v>129</v>
      </c>
      <c r="F258" s="276"/>
      <c r="G258" s="402">
        <v>-45878</v>
      </c>
      <c r="H258" s="402">
        <f>Banco[[#This Row],[cargos]]*-1</f>
        <v>45878</v>
      </c>
      <c r="I258" s="402">
        <v>0</v>
      </c>
      <c r="J258" s="405"/>
      <c r="K258" s="405">
        <f>+Banco[[#This Row],[cargos]]+Banco[[#This Row],[Ingresos]]</f>
        <v>-45878</v>
      </c>
      <c r="L258" s="276" t="s">
        <v>128</v>
      </c>
      <c r="M258" s="276" t="str">
        <f>MID(Banco[[#This Row],[CtaCtbl]],FIND(" - ",Banco[[#This Row],[CtaCtbl]])+3,40)</f>
        <v>Combustible</v>
      </c>
      <c r="N258" s="285" t="s">
        <v>130</v>
      </c>
      <c r="O258" s="89"/>
    </row>
    <row r="259" spans="1:15" hidden="1">
      <c r="A259" s="272">
        <f>YEAR(Banco[[#This Row],[Fecha]])</f>
        <v>2025</v>
      </c>
      <c r="B259" s="272" t="str">
        <f>PROPER(TEXT(Banco[[#This Row],[Fecha]],"MMMM"))</f>
        <v>Abril</v>
      </c>
      <c r="C259" s="273" t="str">
        <f>TEXT(Banco[[#This Row],[Fecha]],"mmm-yyyy")</f>
        <v>abr-2025</v>
      </c>
      <c r="D259" s="274">
        <v>45762</v>
      </c>
      <c r="E259" s="284" t="s">
        <v>129</v>
      </c>
      <c r="F259" s="276"/>
      <c r="G259" s="402">
        <v>-800</v>
      </c>
      <c r="H259" s="402">
        <f>Banco[[#This Row],[cargos]]*-1</f>
        <v>800</v>
      </c>
      <c r="I259" s="402">
        <v>0</v>
      </c>
      <c r="J259" s="405"/>
      <c r="K259" s="405">
        <f>+Banco[[#This Row],[cargos]]+Banco[[#This Row],[Ingresos]]</f>
        <v>-800</v>
      </c>
      <c r="L259" s="276" t="s">
        <v>124</v>
      </c>
      <c r="M259" s="276" t="str">
        <f>MID(Banco[[#This Row],[CtaCtbl]],FIND(" - ",Banco[[#This Row],[CtaCtbl]])+3,40)</f>
        <v>Peajes</v>
      </c>
      <c r="N259" s="285" t="s">
        <v>130</v>
      </c>
      <c r="O259" s="89"/>
    </row>
    <row r="260" spans="1:15" hidden="1">
      <c r="A260" s="288">
        <f>YEAR(Banco[[#This Row],[Fecha]])</f>
        <v>2025</v>
      </c>
      <c r="B260" s="288" t="str">
        <f>PROPER(TEXT(Banco[[#This Row],[Fecha]],"MMMM"))</f>
        <v>Abril</v>
      </c>
      <c r="C260" s="270" t="str">
        <f>TEXT(Banco[[#This Row],[Fecha]],"mmm-yyyy")</f>
        <v>abr-2025</v>
      </c>
      <c r="D260" s="289">
        <v>45772</v>
      </c>
      <c r="E260" s="271" t="s">
        <v>132</v>
      </c>
      <c r="F260" s="290"/>
      <c r="G260" s="404">
        <v>-23500</v>
      </c>
      <c r="H260" s="404">
        <f>Banco[[#This Row],[cargos]]*-1</f>
        <v>23500</v>
      </c>
      <c r="I260" s="404">
        <v>0</v>
      </c>
      <c r="J260" s="403"/>
      <c r="K260" s="403">
        <f>+Banco[[#This Row],[cargos]]+Banco[[#This Row],[Ingresos]]</f>
        <v>-23500</v>
      </c>
      <c r="L260" s="290" t="s">
        <v>133</v>
      </c>
      <c r="M260" s="276" t="str">
        <f>MID(Banco[[#This Row],[CtaCtbl]],FIND(" - ",Banco[[#This Row],[CtaCtbl]])+3,40)</f>
        <v>Pasaje en Bus</v>
      </c>
      <c r="N260" s="290" t="s">
        <v>134</v>
      </c>
      <c r="O260" s="89"/>
    </row>
    <row r="261" spans="1:15" hidden="1">
      <c r="A261" s="272">
        <f>YEAR(Banco[[#This Row],[Fecha]])</f>
        <v>2025</v>
      </c>
      <c r="B261" s="272" t="str">
        <f>PROPER(TEXT(Banco[[#This Row],[Fecha]],"MMMM"))</f>
        <v>Abril</v>
      </c>
      <c r="C261" s="273" t="str">
        <f>TEXT(Banco[[#This Row],[Fecha]],"mmm-yyyy")</f>
        <v>abr-2025</v>
      </c>
      <c r="D261" s="274">
        <v>45772</v>
      </c>
      <c r="E261" s="277" t="s">
        <v>22</v>
      </c>
      <c r="F261" s="276"/>
      <c r="G261" s="402">
        <v>-5000000</v>
      </c>
      <c r="H261" s="402">
        <f>Banco[[#This Row],[cargos]]*-1</f>
        <v>5000000</v>
      </c>
      <c r="I261" s="402">
        <v>0</v>
      </c>
      <c r="J261" s="403"/>
      <c r="K261" s="403">
        <f>+Banco[[#This Row],[cargos]]+Banco[[#This Row],[Ingresos]]</f>
        <v>-5000000</v>
      </c>
      <c r="L261" s="276" t="s">
        <v>38</v>
      </c>
      <c r="M261" s="276" t="str">
        <f>MID(Banco[[#This Row],[CtaCtbl]],FIND(" - ",Banco[[#This Row],[CtaCtbl]])+3,40)</f>
        <v>Asesoria Legal - Proyectos Negociacion</v>
      </c>
      <c r="N261" s="285" t="s">
        <v>135</v>
      </c>
      <c r="O261" s="89"/>
    </row>
    <row r="262" spans="1:15" hidden="1">
      <c r="A262" s="272">
        <f>YEAR(Banco[[#This Row],[Fecha]])</f>
        <v>2025</v>
      </c>
      <c r="B262" s="272" t="str">
        <f>PROPER(TEXT(Banco[[#This Row],[Fecha]],"MMMM"))</f>
        <v>Abril</v>
      </c>
      <c r="C262" s="273" t="str">
        <f>TEXT(Banco[[#This Row],[Fecha]],"mmm-yyyy")</f>
        <v>abr-2025</v>
      </c>
      <c r="D262" s="274">
        <v>45772</v>
      </c>
      <c r="E262" s="277" t="s">
        <v>22</v>
      </c>
      <c r="F262" s="276"/>
      <c r="G262" s="402">
        <v>-1950000</v>
      </c>
      <c r="H262" s="402">
        <f>Banco[[#This Row],[cargos]]*-1</f>
        <v>1950000</v>
      </c>
      <c r="I262" s="402">
        <v>0</v>
      </c>
      <c r="J262" s="403"/>
      <c r="K262" s="403">
        <f>+Banco[[#This Row],[cargos]]+Banco[[#This Row],[Ingresos]]</f>
        <v>-1950000</v>
      </c>
      <c r="L262" s="276" t="s">
        <v>38</v>
      </c>
      <c r="M262" s="276" t="str">
        <f>MID(Banco[[#This Row],[CtaCtbl]],FIND(" - ",Banco[[#This Row],[CtaCtbl]])+3,40)</f>
        <v>Asesoria Legal - Proyectos Negociacion</v>
      </c>
      <c r="N262" s="285" t="s">
        <v>135</v>
      </c>
      <c r="O262" s="89"/>
    </row>
    <row r="263" spans="1:15" hidden="1">
      <c r="A263" s="272">
        <f>YEAR(Banco[[#This Row],[Fecha]])</f>
        <v>2025</v>
      </c>
      <c r="B263" s="272" t="str">
        <f>PROPER(TEXT(Banco[[#This Row],[Fecha]],"MMMM"))</f>
        <v>Abril</v>
      </c>
      <c r="C263" s="273" t="str">
        <f>TEXT(Banco[[#This Row],[Fecha]],"mmm-yyyy")</f>
        <v>abr-2025</v>
      </c>
      <c r="D263" s="274">
        <v>45772</v>
      </c>
      <c r="E263" s="277" t="s">
        <v>136</v>
      </c>
      <c r="F263" s="276"/>
      <c r="G263" s="402">
        <v>-222462</v>
      </c>
      <c r="H263" s="402">
        <f>Banco[[#This Row],[cargos]]*-1</f>
        <v>222462</v>
      </c>
      <c r="I263" s="402">
        <v>0</v>
      </c>
      <c r="J263" s="403"/>
      <c r="K263" s="403">
        <f>+Banco[[#This Row],[cargos]]+Banco[[#This Row],[Ingresos]]</f>
        <v>-222462</v>
      </c>
      <c r="L263" s="276" t="s">
        <v>23</v>
      </c>
      <c r="M263" s="276" t="str">
        <f>MID(Banco[[#This Row],[CtaCtbl]],FIND(" - ",Banco[[#This Row],[CtaCtbl]])+3,40)</f>
        <v>Asesoria Legal - Convenio Fijo Mensual</v>
      </c>
      <c r="N263" s="286" t="s">
        <v>137</v>
      </c>
      <c r="O263" s="89"/>
    </row>
    <row r="264" spans="1:15" hidden="1">
      <c r="A264" s="272">
        <f>YEAR(Banco[[#This Row],[Fecha]])</f>
        <v>2025</v>
      </c>
      <c r="B264" s="272" t="str">
        <f>PROPER(TEXT(Banco[[#This Row],[Fecha]],"MMMM"))</f>
        <v>Abril</v>
      </c>
      <c r="C264" s="273" t="str">
        <f>TEXT(Banco[[#This Row],[Fecha]],"mmm-yyyy")</f>
        <v>abr-2025</v>
      </c>
      <c r="D264" s="274">
        <v>45772</v>
      </c>
      <c r="E264" s="284" t="s">
        <v>129</v>
      </c>
      <c r="F264" s="276"/>
      <c r="G264" s="402">
        <v>-407015</v>
      </c>
      <c r="H264" s="402">
        <f>Banco[[#This Row],[cargos]]*-1</f>
        <v>407015</v>
      </c>
      <c r="I264" s="402">
        <v>0</v>
      </c>
      <c r="J264" s="405"/>
      <c r="K264" s="405">
        <f>+Banco[[#This Row],[cargos]]+Banco[[#This Row],[Ingresos]]</f>
        <v>-407015</v>
      </c>
      <c r="L264" s="276" t="s">
        <v>122</v>
      </c>
      <c r="M264" s="276" t="str">
        <f>MID(Banco[[#This Row],[CtaCtbl]],FIND(" - ",Banco[[#This Row],[CtaCtbl]])+3,40)</f>
        <v>Uso de Vehiculo personal</v>
      </c>
      <c r="N264" s="285" t="s">
        <v>138</v>
      </c>
      <c r="O264" s="89"/>
    </row>
    <row r="265" spans="1:15" hidden="1">
      <c r="A265" s="272">
        <f>YEAR(Banco[[#This Row],[Fecha]])</f>
        <v>2025</v>
      </c>
      <c r="B265" s="272" t="str">
        <f>PROPER(TEXT(Banco[[#This Row],[Fecha]],"MMMM"))</f>
        <v>Abril</v>
      </c>
      <c r="C265" s="273" t="str">
        <f>TEXT(Banco[[#This Row],[Fecha]],"mmm-yyyy")</f>
        <v>abr-2025</v>
      </c>
      <c r="D265" s="274">
        <v>45772</v>
      </c>
      <c r="E265" s="284" t="s">
        <v>129</v>
      </c>
      <c r="F265" s="276"/>
      <c r="G265" s="402">
        <v>-65450</v>
      </c>
      <c r="H265" s="402">
        <f>Banco[[#This Row],[cargos]]*-1</f>
        <v>65450</v>
      </c>
      <c r="I265" s="402">
        <v>0</v>
      </c>
      <c r="J265" s="405"/>
      <c r="K265" s="405">
        <f>+Banco[[#This Row],[cargos]]+Banco[[#This Row],[Ingresos]]</f>
        <v>-65450</v>
      </c>
      <c r="L265" s="276" t="s">
        <v>32</v>
      </c>
      <c r="M265" s="276" t="str">
        <f>MID(Banco[[#This Row],[CtaCtbl]],FIND(" - ",Banco[[#This Row],[CtaCtbl]])+3,40)</f>
        <v>Alojamiento</v>
      </c>
      <c r="N265" s="285" t="s">
        <v>138</v>
      </c>
      <c r="O265" s="89"/>
    </row>
    <row r="266" spans="1:15" hidden="1">
      <c r="A266" s="272">
        <f>YEAR(Banco[[#This Row],[Fecha]])</f>
        <v>2025</v>
      </c>
      <c r="B266" s="272" t="str">
        <f>PROPER(TEXT(Banco[[#This Row],[Fecha]],"MMMM"))</f>
        <v>Abril</v>
      </c>
      <c r="C266" s="273" t="str">
        <f>TEXT(Banco[[#This Row],[Fecha]],"mmm-yyyy")</f>
        <v>abr-2025</v>
      </c>
      <c r="D266" s="274">
        <v>45772</v>
      </c>
      <c r="E266" s="284" t="s">
        <v>129</v>
      </c>
      <c r="F266" s="276"/>
      <c r="G266" s="402">
        <v>-31699</v>
      </c>
      <c r="H266" s="402">
        <f>Banco[[#This Row],[cargos]]*-1</f>
        <v>31699</v>
      </c>
      <c r="I266" s="402">
        <v>0</v>
      </c>
      <c r="J266" s="405"/>
      <c r="K266" s="405">
        <f>+Banco[[#This Row],[cargos]]+Banco[[#This Row],[Ingresos]]</f>
        <v>-31699</v>
      </c>
      <c r="L266" s="276" t="s">
        <v>128</v>
      </c>
      <c r="M266" s="276" t="str">
        <f>MID(Banco[[#This Row],[CtaCtbl]],FIND(" - ",Banco[[#This Row],[CtaCtbl]])+3,40)</f>
        <v>Combustible</v>
      </c>
      <c r="N266" s="285" t="s">
        <v>138</v>
      </c>
      <c r="O266" s="89"/>
    </row>
    <row r="267" spans="1:15" hidden="1">
      <c r="A267" s="272">
        <f>YEAR(Banco[[#This Row],[Fecha]])</f>
        <v>2025</v>
      </c>
      <c r="B267" s="272" t="str">
        <f>PROPER(TEXT(Banco[[#This Row],[Fecha]],"MMMM"))</f>
        <v>Abril</v>
      </c>
      <c r="C267" s="273" t="str">
        <f>TEXT(Banco[[#This Row],[Fecha]],"mmm-yyyy")</f>
        <v>abr-2025</v>
      </c>
      <c r="D267" s="274">
        <v>45772</v>
      </c>
      <c r="E267" s="284" t="s">
        <v>129</v>
      </c>
      <c r="F267" s="276"/>
      <c r="G267" s="402">
        <v>-11500</v>
      </c>
      <c r="H267" s="402">
        <f>Banco[[#This Row],[cargos]]*-1</f>
        <v>11500</v>
      </c>
      <c r="I267" s="402">
        <v>0</v>
      </c>
      <c r="J267" s="405"/>
      <c r="K267" s="405">
        <f>+Banco[[#This Row],[cargos]]+Banco[[#This Row],[Ingresos]]</f>
        <v>-11500</v>
      </c>
      <c r="L267" s="276" t="s">
        <v>131</v>
      </c>
      <c r="M267" s="276" t="str">
        <f>MID(Banco[[#This Row],[CtaCtbl]],FIND(" - ",Banco[[#This Row],[CtaCtbl]])+3,40)</f>
        <v>Desayuno</v>
      </c>
      <c r="N267" s="285" t="s">
        <v>138</v>
      </c>
      <c r="O267" s="89"/>
    </row>
    <row r="268" spans="1:15" hidden="1">
      <c r="A268" s="272">
        <f>YEAR(Banco[[#This Row],[Fecha]])</f>
        <v>2025</v>
      </c>
      <c r="B268" s="272" t="str">
        <f>PROPER(TEXT(Banco[[#This Row],[Fecha]],"MMMM"))</f>
        <v>Abril</v>
      </c>
      <c r="C268" s="273" t="str">
        <f>TEXT(Banco[[#This Row],[Fecha]],"mmm-yyyy")</f>
        <v>abr-2025</v>
      </c>
      <c r="D268" s="274">
        <v>45772</v>
      </c>
      <c r="E268" s="284" t="s">
        <v>129</v>
      </c>
      <c r="F268" s="276"/>
      <c r="G268" s="402">
        <v>-50963</v>
      </c>
      <c r="H268" s="402">
        <f>Banco[[#This Row],[cargos]]*-1</f>
        <v>50963</v>
      </c>
      <c r="I268" s="402">
        <v>0</v>
      </c>
      <c r="J268" s="405"/>
      <c r="K268" s="405">
        <f>+Banco[[#This Row],[cargos]]+Banco[[#This Row],[Ingresos]]</f>
        <v>-50963</v>
      </c>
      <c r="L268" s="276" t="s">
        <v>30</v>
      </c>
      <c r="M268" s="276" t="str">
        <f>MID(Banco[[#This Row],[CtaCtbl]],FIND(" - ",Banco[[#This Row],[CtaCtbl]])+3,40)</f>
        <v>Almuerzo</v>
      </c>
      <c r="N268" s="285" t="s">
        <v>138</v>
      </c>
      <c r="O268" s="89"/>
    </row>
    <row r="269" spans="1:15" hidden="1">
      <c r="A269" s="272">
        <f>YEAR(Banco[[#This Row],[Fecha]])</f>
        <v>2025</v>
      </c>
      <c r="B269" s="272" t="str">
        <f>PROPER(TEXT(Banco[[#This Row],[Fecha]],"MMMM"))</f>
        <v>Abril</v>
      </c>
      <c r="C269" s="273" t="str">
        <f>TEXT(Banco[[#This Row],[Fecha]],"mmm-yyyy")</f>
        <v>abr-2025</v>
      </c>
      <c r="D269" s="274">
        <v>45772</v>
      </c>
      <c r="E269" s="284" t="s">
        <v>129</v>
      </c>
      <c r="F269" s="276"/>
      <c r="G269" s="402">
        <v>-13980</v>
      </c>
      <c r="H269" s="402">
        <f>Banco[[#This Row],[cargos]]*-1</f>
        <v>13980</v>
      </c>
      <c r="I269" s="402">
        <v>0</v>
      </c>
      <c r="J269" s="405"/>
      <c r="K269" s="405">
        <f>+Banco[[#This Row],[cargos]]+Banco[[#This Row],[Ingresos]]</f>
        <v>-13980</v>
      </c>
      <c r="L269" s="276" t="s">
        <v>127</v>
      </c>
      <c r="M269" s="276" t="str">
        <f>MID(Banco[[#This Row],[CtaCtbl]],FIND(" - ",Banco[[#This Row],[CtaCtbl]])+3,40)</f>
        <v>Cena</v>
      </c>
      <c r="N269" s="285" t="s">
        <v>138</v>
      </c>
      <c r="O269" s="89"/>
    </row>
    <row r="270" spans="1:15" hidden="1">
      <c r="A270" s="272">
        <f>YEAR(Banco[[#This Row],[Fecha]])</f>
        <v>2025</v>
      </c>
      <c r="B270" s="272" t="str">
        <f>PROPER(TEXT(Banco[[#This Row],[Fecha]],"MMMM"))</f>
        <v>Abril</v>
      </c>
      <c r="C270" s="273" t="str">
        <f>TEXT(Banco[[#This Row],[Fecha]],"mmm-yyyy")</f>
        <v>abr-2025</v>
      </c>
      <c r="D270" s="274">
        <v>45772</v>
      </c>
      <c r="E270" s="284" t="s">
        <v>129</v>
      </c>
      <c r="F270" s="276"/>
      <c r="G270" s="402">
        <v>-43100</v>
      </c>
      <c r="H270" s="402">
        <f>Banco[[#This Row],[cargos]]*-1</f>
        <v>43100</v>
      </c>
      <c r="I270" s="402">
        <v>0</v>
      </c>
      <c r="J270" s="405"/>
      <c r="K270" s="405">
        <f>+Banco[[#This Row],[cargos]]+Banco[[#This Row],[Ingresos]]</f>
        <v>-43100</v>
      </c>
      <c r="L270" s="276" t="s">
        <v>128</v>
      </c>
      <c r="M270" s="276" t="str">
        <f>MID(Banco[[#This Row],[CtaCtbl]],FIND(" - ",Banco[[#This Row],[CtaCtbl]])+3,40)</f>
        <v>Combustible</v>
      </c>
      <c r="N270" s="285" t="s">
        <v>138</v>
      </c>
      <c r="O270" s="89"/>
    </row>
    <row r="271" spans="1:15" hidden="1">
      <c r="A271" s="272">
        <f>YEAR(Banco[[#This Row],[Fecha]])</f>
        <v>2025</v>
      </c>
      <c r="B271" s="272" t="str">
        <f>PROPER(TEXT(Banco[[#This Row],[Fecha]],"MMMM"))</f>
        <v>Abril</v>
      </c>
      <c r="C271" s="273" t="str">
        <f>TEXT(Banco[[#This Row],[Fecha]],"mmm-yyyy")</f>
        <v>abr-2025</v>
      </c>
      <c r="D271" s="274">
        <v>45772</v>
      </c>
      <c r="E271" s="284" t="s">
        <v>129</v>
      </c>
      <c r="F271" s="276"/>
      <c r="G271" s="402">
        <v>-11190</v>
      </c>
      <c r="H271" s="402">
        <f>Banco[[#This Row],[cargos]]*-1</f>
        <v>11190</v>
      </c>
      <c r="I271" s="402">
        <v>0</v>
      </c>
      <c r="J271" s="405"/>
      <c r="K271" s="405">
        <f>+Banco[[#This Row],[cargos]]+Banco[[#This Row],[Ingresos]]</f>
        <v>-11190</v>
      </c>
      <c r="L271" s="276" t="s">
        <v>30</v>
      </c>
      <c r="M271" s="276" t="str">
        <f>MID(Banco[[#This Row],[CtaCtbl]],FIND(" - ",Banco[[#This Row],[CtaCtbl]])+3,40)</f>
        <v>Almuerzo</v>
      </c>
      <c r="N271" s="285" t="s">
        <v>138</v>
      </c>
      <c r="O271" s="89"/>
    </row>
    <row r="272" spans="1:15" hidden="1">
      <c r="A272" s="272">
        <f>YEAR(Banco[[#This Row],[Fecha]])</f>
        <v>2025</v>
      </c>
      <c r="B272" s="272" t="str">
        <f>PROPER(TEXT(Banco[[#This Row],[Fecha]],"MMMM"))</f>
        <v>Abril</v>
      </c>
      <c r="C272" s="273" t="str">
        <f>TEXT(Banco[[#This Row],[Fecha]],"mmm-yyyy")</f>
        <v>abr-2025</v>
      </c>
      <c r="D272" s="274">
        <v>45772</v>
      </c>
      <c r="E272" s="284" t="s">
        <v>129</v>
      </c>
      <c r="F272" s="276"/>
      <c r="G272" s="402">
        <v>-5390</v>
      </c>
      <c r="H272" s="402">
        <f>Banco[[#This Row],[cargos]]*-1</f>
        <v>5390</v>
      </c>
      <c r="I272" s="402">
        <v>0</v>
      </c>
      <c r="J272" s="405"/>
      <c r="K272" s="405">
        <f>+Banco[[#This Row],[cargos]]+Banco[[#This Row],[Ingresos]]</f>
        <v>-5390</v>
      </c>
      <c r="L272" s="276" t="s">
        <v>127</v>
      </c>
      <c r="M272" s="276" t="str">
        <f>MID(Banco[[#This Row],[CtaCtbl]],FIND(" - ",Banco[[#This Row],[CtaCtbl]])+3,40)</f>
        <v>Cena</v>
      </c>
      <c r="N272" s="285" t="s">
        <v>138</v>
      </c>
      <c r="O272" s="89"/>
    </row>
    <row r="273" spans="1:15" hidden="1">
      <c r="A273" s="272">
        <f>YEAR(Banco[[#This Row],[Fecha]])</f>
        <v>2025</v>
      </c>
      <c r="B273" s="272" t="str">
        <f>PROPER(TEXT(Banco[[#This Row],[Fecha]],"MMMM"))</f>
        <v>Abril</v>
      </c>
      <c r="C273" s="273" t="str">
        <f>TEXT(Banco[[#This Row],[Fecha]],"mmm-yyyy")</f>
        <v>abr-2025</v>
      </c>
      <c r="D273" s="274">
        <v>45772</v>
      </c>
      <c r="E273" s="284" t="s">
        <v>129</v>
      </c>
      <c r="F273" s="276"/>
      <c r="G273" s="402">
        <v>-46034</v>
      </c>
      <c r="H273" s="402">
        <f>Banco[[#This Row],[cargos]]*-1</f>
        <v>46034</v>
      </c>
      <c r="I273" s="402">
        <v>0</v>
      </c>
      <c r="J273" s="405"/>
      <c r="K273" s="405">
        <f>+Banco[[#This Row],[cargos]]+Banco[[#This Row],[Ingresos]]</f>
        <v>-46034</v>
      </c>
      <c r="L273" s="276" t="s">
        <v>128</v>
      </c>
      <c r="M273" s="276" t="str">
        <f>MID(Banco[[#This Row],[CtaCtbl]],FIND(" - ",Banco[[#This Row],[CtaCtbl]])+3,40)</f>
        <v>Combustible</v>
      </c>
      <c r="N273" s="285" t="s">
        <v>138</v>
      </c>
      <c r="O273" s="89"/>
    </row>
    <row r="274" spans="1:15" hidden="1">
      <c r="A274" s="272">
        <f>YEAR(Banco[[#This Row],[Fecha]])</f>
        <v>2025</v>
      </c>
      <c r="B274" s="272" t="str">
        <f>PROPER(TEXT(Banco[[#This Row],[Fecha]],"MMMM"))</f>
        <v>Abril</v>
      </c>
      <c r="C274" s="273" t="str">
        <f>TEXT(Banco[[#This Row],[Fecha]],"mmm-yyyy")</f>
        <v>abr-2025</v>
      </c>
      <c r="D274" s="274">
        <v>45772</v>
      </c>
      <c r="E274" s="284" t="s">
        <v>129</v>
      </c>
      <c r="F274" s="276"/>
      <c r="G274" s="402">
        <v>-11582</v>
      </c>
      <c r="H274" s="402">
        <f>Banco[[#This Row],[cargos]]*-1</f>
        <v>11582</v>
      </c>
      <c r="I274" s="402">
        <v>0</v>
      </c>
      <c r="J274" s="405"/>
      <c r="K274" s="405">
        <f>+Banco[[#This Row],[cargos]]+Banco[[#This Row],[Ingresos]]</f>
        <v>-11582</v>
      </c>
      <c r="L274" s="276" t="s">
        <v>139</v>
      </c>
      <c r="M274" s="276" t="str">
        <f>MID(Banco[[#This Row],[CtaCtbl]],FIND(" - ",Banco[[#This Row],[CtaCtbl]])+3,40)</f>
        <v>Mensajeria</v>
      </c>
      <c r="N274" s="285" t="s">
        <v>138</v>
      </c>
      <c r="O274" s="89"/>
    </row>
    <row r="275" spans="1:15" hidden="1">
      <c r="A275" s="272">
        <f>YEAR(Banco[[#This Row],[Fecha]])</f>
        <v>2025</v>
      </c>
      <c r="B275" s="272" t="str">
        <f>PROPER(TEXT(Banco[[#This Row],[Fecha]],"MMMM"))</f>
        <v>Abril</v>
      </c>
      <c r="C275" s="273" t="str">
        <f>TEXT(Banco[[#This Row],[Fecha]],"mmm-yyyy")</f>
        <v>abr-2025</v>
      </c>
      <c r="D275" s="274">
        <v>45772</v>
      </c>
      <c r="E275" s="284" t="s">
        <v>129</v>
      </c>
      <c r="F275" s="276"/>
      <c r="G275" s="402">
        <v>-1800</v>
      </c>
      <c r="H275" s="402">
        <f>Banco[[#This Row],[cargos]]*-1</f>
        <v>1800</v>
      </c>
      <c r="I275" s="402">
        <v>0</v>
      </c>
      <c r="J275" s="405"/>
      <c r="K275" s="405">
        <f>+Banco[[#This Row],[cargos]]+Banco[[#This Row],[Ingresos]]</f>
        <v>-1800</v>
      </c>
      <c r="L275" s="276" t="s">
        <v>140</v>
      </c>
      <c r="M275" s="276" t="str">
        <f>MID(Banco[[#This Row],[CtaCtbl]],FIND(" - ",Banco[[#This Row],[CtaCtbl]])+3,40)</f>
        <v>Estacionamientos</v>
      </c>
      <c r="N275" s="285" t="s">
        <v>138</v>
      </c>
      <c r="O275" s="89"/>
    </row>
    <row r="276" spans="1:15" hidden="1">
      <c r="A276" s="272">
        <f>YEAR(Banco[[#This Row],[Fecha]])</f>
        <v>2025</v>
      </c>
      <c r="B276" s="272" t="str">
        <f>PROPER(TEXT(Banco[[#This Row],[Fecha]],"MMMM"))</f>
        <v>Abril</v>
      </c>
      <c r="C276" s="273" t="str">
        <f>TEXT(Banco[[#This Row],[Fecha]],"mmm-yyyy")</f>
        <v>abr-2025</v>
      </c>
      <c r="D276" s="274">
        <v>45772</v>
      </c>
      <c r="E276" s="284" t="s">
        <v>129</v>
      </c>
      <c r="F276" s="276"/>
      <c r="G276" s="402">
        <v>-14000</v>
      </c>
      <c r="H276" s="402">
        <f>Banco[[#This Row],[cargos]]*-1</f>
        <v>14000</v>
      </c>
      <c r="I276" s="402">
        <v>0</v>
      </c>
      <c r="J276" s="405"/>
      <c r="K276" s="405">
        <f>+Banco[[#This Row],[cargos]]+Banco[[#This Row],[Ingresos]]</f>
        <v>-14000</v>
      </c>
      <c r="L276" s="276" t="s">
        <v>131</v>
      </c>
      <c r="M276" s="276" t="str">
        <f>MID(Banco[[#This Row],[CtaCtbl]],FIND(" - ",Banco[[#This Row],[CtaCtbl]])+3,40)</f>
        <v>Desayuno</v>
      </c>
      <c r="N276" s="285" t="s">
        <v>138</v>
      </c>
      <c r="O276" s="89"/>
    </row>
    <row r="277" spans="1:15" hidden="1">
      <c r="A277" s="272">
        <f>YEAR(Banco[[#This Row],[Fecha]])</f>
        <v>2025</v>
      </c>
      <c r="B277" s="272" t="str">
        <f>PROPER(TEXT(Banco[[#This Row],[Fecha]],"MMMM"))</f>
        <v>Abril</v>
      </c>
      <c r="C277" s="273" t="str">
        <f>TEXT(Banco[[#This Row],[Fecha]],"mmm-yyyy")</f>
        <v>abr-2025</v>
      </c>
      <c r="D277" s="274">
        <v>45772</v>
      </c>
      <c r="E277" s="284" t="s">
        <v>129</v>
      </c>
      <c r="F277" s="276"/>
      <c r="G277" s="402">
        <v>-70739</v>
      </c>
      <c r="H277" s="402">
        <f>Banco[[#This Row],[cargos]]*-1</f>
        <v>70739</v>
      </c>
      <c r="I277" s="402">
        <v>0</v>
      </c>
      <c r="J277" s="405"/>
      <c r="K277" s="405">
        <f>+Banco[[#This Row],[cargos]]+Banco[[#This Row],[Ingresos]]</f>
        <v>-70739</v>
      </c>
      <c r="L277" s="276" t="s">
        <v>124</v>
      </c>
      <c r="M277" s="276" t="str">
        <f>MID(Banco[[#This Row],[CtaCtbl]],FIND(" - ",Banco[[#This Row],[CtaCtbl]])+3,40)</f>
        <v>Peajes</v>
      </c>
      <c r="N277" s="285" t="s">
        <v>138</v>
      </c>
      <c r="O277" s="89"/>
    </row>
    <row r="278" spans="1:15" hidden="1">
      <c r="A278" s="272">
        <f>YEAR(Banco[[#This Row],[Fecha]])</f>
        <v>2025</v>
      </c>
      <c r="B278" s="272" t="str">
        <f>PROPER(TEXT(Banco[[#This Row],[Fecha]],"MMMM"))</f>
        <v>Abril</v>
      </c>
      <c r="C278" s="273" t="str">
        <f>TEXT(Banco[[#This Row],[Fecha]],"mmm-yyyy")</f>
        <v>abr-2025</v>
      </c>
      <c r="D278" s="274">
        <v>45775</v>
      </c>
      <c r="E278" s="277" t="s">
        <v>15</v>
      </c>
      <c r="F278" s="276"/>
      <c r="G278" s="402">
        <v>0</v>
      </c>
      <c r="H278" s="402">
        <f>Banco[[#This Row],[cargos]]*-1</f>
        <v>0</v>
      </c>
      <c r="I278" s="402">
        <v>9417316</v>
      </c>
      <c r="J278" s="403"/>
      <c r="K278" s="403">
        <f>+Banco[[#This Row],[cargos]]+Banco[[#This Row],[Ingresos]]</f>
        <v>9417316</v>
      </c>
      <c r="L278" s="276" t="s">
        <v>18</v>
      </c>
      <c r="M278" s="276" t="str">
        <f>MID(Banco[[#This Row],[CtaCtbl]],FIND(" - ",Banco[[#This Row],[CtaCtbl]])+3,40)</f>
        <v>Cuota Ordinaria</v>
      </c>
      <c r="N278" s="276"/>
      <c r="O278" s="89"/>
    </row>
    <row r="279" spans="1:15" hidden="1">
      <c r="A279" s="272">
        <f>YEAR(Banco[[#This Row],[Fecha]])</f>
        <v>2025</v>
      </c>
      <c r="B279" s="272" t="str">
        <f>PROPER(TEXT(Banco[[#This Row],[Fecha]],"MMMM"))</f>
        <v>Mayo</v>
      </c>
      <c r="C279" s="273" t="str">
        <f>TEXT(Banco[[#This Row],[Fecha]],"mmm-yyyy")</f>
        <v>may-2025</v>
      </c>
      <c r="D279" s="274">
        <v>45782</v>
      </c>
      <c r="E279" s="284" t="s">
        <v>121</v>
      </c>
      <c r="F279" s="276"/>
      <c r="G279" s="402">
        <v>-67540</v>
      </c>
      <c r="H279" s="402">
        <f>Banco[[#This Row],[cargos]]*-1</f>
        <v>67540</v>
      </c>
      <c r="I279" s="402">
        <v>0</v>
      </c>
      <c r="J279" s="403"/>
      <c r="K279" s="403">
        <f>+Banco[[#This Row],[cargos]]+Banco[[#This Row],[Ingresos]]</f>
        <v>-67540</v>
      </c>
      <c r="L279" s="276" t="s">
        <v>124</v>
      </c>
      <c r="M279" s="276" t="str">
        <f>MID(Banco[[#This Row],[CtaCtbl]],FIND(" - ",Banco[[#This Row],[CtaCtbl]])+3,40)</f>
        <v>Peajes</v>
      </c>
      <c r="N279" s="285" t="s">
        <v>141</v>
      </c>
      <c r="O279" s="89"/>
    </row>
    <row r="280" spans="1:15" hidden="1">
      <c r="A280" s="272">
        <f>YEAR(Banco[[#This Row],[Fecha]])</f>
        <v>2025</v>
      </c>
      <c r="B280" s="272" t="str">
        <f>PROPER(TEXT(Banco[[#This Row],[Fecha]],"MMMM"))</f>
        <v>Mayo</v>
      </c>
      <c r="C280" s="273" t="str">
        <f>TEXT(Banco[[#This Row],[Fecha]],"mmm-yyyy")</f>
        <v>may-2025</v>
      </c>
      <c r="D280" s="274">
        <v>45779</v>
      </c>
      <c r="E280" s="277" t="s">
        <v>24</v>
      </c>
      <c r="F280" s="276"/>
      <c r="G280" s="402">
        <v>-23257</v>
      </c>
      <c r="H280" s="402">
        <f>Banco[[#This Row],[cargos]]*-1</f>
        <v>23257</v>
      </c>
      <c r="I280" s="402">
        <v>0</v>
      </c>
      <c r="J280" s="403"/>
      <c r="K280" s="403">
        <f>+Banco[[#This Row],[cargos]]+Banco[[#This Row],[Ingresos]]</f>
        <v>-23257</v>
      </c>
      <c r="L280" s="276" t="s">
        <v>25</v>
      </c>
      <c r="M280" s="276" t="str">
        <f>MID(Banco[[#This Row],[CtaCtbl]],FIND(" - ",Banco[[#This Row],[CtaCtbl]])+3,40)</f>
        <v>Pago Comisiones</v>
      </c>
      <c r="N280" s="276"/>
      <c r="O280" s="89"/>
    </row>
    <row r="281" spans="1:15" hidden="1">
      <c r="A281" s="272">
        <f>YEAR(Banco[[#This Row],[Fecha]])</f>
        <v>2025</v>
      </c>
      <c r="B281" s="272" t="str">
        <f>PROPER(TEXT(Banco[[#This Row],[Fecha]],"MMMM"))</f>
        <v>Mayo</v>
      </c>
      <c r="C281" s="273" t="str">
        <f>TEXT(Banco[[#This Row],[Fecha]],"mmm-yyyy")</f>
        <v>may-2025</v>
      </c>
      <c r="D281" s="274">
        <v>45804</v>
      </c>
      <c r="E281" s="277" t="s">
        <v>15</v>
      </c>
      <c r="F281" s="276"/>
      <c r="G281" s="402">
        <v>0</v>
      </c>
      <c r="H281" s="402">
        <f>Banco[[#This Row],[cargos]]*-1</f>
        <v>0</v>
      </c>
      <c r="I281" s="402">
        <v>478000000</v>
      </c>
      <c r="J281" s="403"/>
      <c r="K281" s="403">
        <f>+Banco[[#This Row],[cargos]]+Banco[[#This Row],[Ingresos]]</f>
        <v>478000000</v>
      </c>
      <c r="L281" s="276" t="s">
        <v>47</v>
      </c>
      <c r="M281" s="276" t="str">
        <f>MID(Banco[[#This Row],[CtaCtbl]],FIND(" - ",Banco[[#This Row],[CtaCtbl]])+3,40)</f>
        <v>Aporte Colbun</v>
      </c>
      <c r="N281" s="276" t="s">
        <v>142</v>
      </c>
      <c r="O281" s="89"/>
    </row>
    <row r="282" spans="1:15" hidden="1">
      <c r="A282" s="272">
        <f>YEAR(Banco[[#This Row],[Fecha]])</f>
        <v>2025</v>
      </c>
      <c r="B282" s="272" t="str">
        <f>PROPER(TEXT(Banco[[#This Row],[Fecha]],"MMMM"))</f>
        <v>Mayo</v>
      </c>
      <c r="C282" s="273" t="str">
        <f>TEXT(Banco[[#This Row],[Fecha]],"mmm-yyyy")</f>
        <v>may-2025</v>
      </c>
      <c r="D282" s="274">
        <v>45804</v>
      </c>
      <c r="E282" s="277" t="s">
        <v>15</v>
      </c>
      <c r="F282" s="276"/>
      <c r="G282" s="402">
        <v>0</v>
      </c>
      <c r="H282" s="402">
        <f>Banco[[#This Row],[cargos]]*-1</f>
        <v>0</v>
      </c>
      <c r="I282" s="402">
        <v>9366410</v>
      </c>
      <c r="J282" s="403"/>
      <c r="K282" s="403">
        <f>+Banco[[#This Row],[cargos]]+Banco[[#This Row],[Ingresos]]</f>
        <v>9366410</v>
      </c>
      <c r="L282" s="276" t="s">
        <v>18</v>
      </c>
      <c r="M282" s="276" t="str">
        <f>MID(Banco[[#This Row],[CtaCtbl]],FIND(" - ",Banco[[#This Row],[CtaCtbl]])+3,40)</f>
        <v>Cuota Ordinaria</v>
      </c>
      <c r="N282" s="276" t="s">
        <v>143</v>
      </c>
      <c r="O282" s="89"/>
    </row>
    <row r="283" spans="1:15" hidden="1">
      <c r="A283" s="272">
        <f>YEAR(Banco[[#This Row],[Fecha]])</f>
        <v>2025</v>
      </c>
      <c r="B283" s="272" t="str">
        <f>PROPER(TEXT(Banco[[#This Row],[Fecha]],"MMMM"))</f>
        <v>Mayo</v>
      </c>
      <c r="C283" s="273" t="str">
        <f>TEXT(Banco[[#This Row],[Fecha]],"mmm-yyyy")</f>
        <v>may-2025</v>
      </c>
      <c r="D283" s="274">
        <v>45797</v>
      </c>
      <c r="E283" s="275" t="s">
        <v>144</v>
      </c>
      <c r="F283" s="276"/>
      <c r="G283" s="402">
        <v>-5880</v>
      </c>
      <c r="H283" s="402">
        <f>Banco[[#This Row],[cargos]]*-1</f>
        <v>5880</v>
      </c>
      <c r="I283" s="402">
        <v>0</v>
      </c>
      <c r="J283" s="403"/>
      <c r="K283" s="403">
        <f>+Banco[[#This Row],[cargos]]+Banco[[#This Row],[Ingresos]]</f>
        <v>-5880</v>
      </c>
      <c r="L283" s="276" t="s">
        <v>131</v>
      </c>
      <c r="M283" s="276" t="str">
        <f>MID(Banco[[#This Row],[CtaCtbl]],FIND(" - ",Banco[[#This Row],[CtaCtbl]])+3,40)</f>
        <v>Desayuno</v>
      </c>
      <c r="N283" s="285" t="s">
        <v>145</v>
      </c>
      <c r="O283" s="89"/>
    </row>
    <row r="284" spans="1:15" hidden="1">
      <c r="A284" s="272">
        <f>YEAR(Banco[[#This Row],[Fecha]])</f>
        <v>2025</v>
      </c>
      <c r="B284" s="272" t="str">
        <f>PROPER(TEXT(Banco[[#This Row],[Fecha]],"MMMM"))</f>
        <v>Mayo</v>
      </c>
      <c r="C284" s="273" t="str">
        <f>TEXT(Banco[[#This Row],[Fecha]],"mmm-yyyy")</f>
        <v>may-2025</v>
      </c>
      <c r="D284" s="274">
        <v>45797</v>
      </c>
      <c r="E284" s="275" t="s">
        <v>144</v>
      </c>
      <c r="F284" s="276"/>
      <c r="G284" s="402">
        <v>-8789</v>
      </c>
      <c r="H284" s="402">
        <f>Banco[[#This Row],[cargos]]*-1</f>
        <v>8789</v>
      </c>
      <c r="I284" s="402">
        <v>0</v>
      </c>
      <c r="J284" s="403"/>
      <c r="K284" s="403">
        <f>+Banco[[#This Row],[cargos]]+Banco[[#This Row],[Ingresos]]</f>
        <v>-8789</v>
      </c>
      <c r="L284" s="276" t="s">
        <v>30</v>
      </c>
      <c r="M284" s="276" t="str">
        <f>MID(Banco[[#This Row],[CtaCtbl]],FIND(" - ",Banco[[#This Row],[CtaCtbl]])+3,40)</f>
        <v>Almuerzo</v>
      </c>
      <c r="N284" s="285" t="s">
        <v>145</v>
      </c>
      <c r="O284" s="89"/>
    </row>
    <row r="285" spans="1:15" hidden="1">
      <c r="A285" s="272">
        <f>YEAR(Banco[[#This Row],[Fecha]])</f>
        <v>2025</v>
      </c>
      <c r="B285" s="272" t="str">
        <f>PROPER(TEXT(Banco[[#This Row],[Fecha]],"MMMM"))</f>
        <v>Mayo</v>
      </c>
      <c r="C285" s="273" t="str">
        <f>TEXT(Banco[[#This Row],[Fecha]],"mmm-yyyy")</f>
        <v>may-2025</v>
      </c>
      <c r="D285" s="274">
        <v>45797</v>
      </c>
      <c r="E285" s="275" t="s">
        <v>144</v>
      </c>
      <c r="F285" s="276"/>
      <c r="G285" s="402">
        <v>-6000</v>
      </c>
      <c r="H285" s="402">
        <f>Banco[[#This Row],[cargos]]*-1</f>
        <v>6000</v>
      </c>
      <c r="I285" s="402">
        <v>0</v>
      </c>
      <c r="J285" s="403"/>
      <c r="K285" s="403">
        <f>+Banco[[#This Row],[cargos]]+Banco[[#This Row],[Ingresos]]</f>
        <v>-6000</v>
      </c>
      <c r="L285" s="276" t="s">
        <v>133</v>
      </c>
      <c r="M285" s="276" t="str">
        <f>MID(Banco[[#This Row],[CtaCtbl]],FIND(" - ",Banco[[#This Row],[CtaCtbl]])+3,40)</f>
        <v>Pasaje en Bus</v>
      </c>
      <c r="N285" s="285" t="s">
        <v>145</v>
      </c>
      <c r="O285" s="89"/>
    </row>
    <row r="286" spans="1:15" hidden="1">
      <c r="A286" s="272">
        <f>YEAR(Banco[[#This Row],[Fecha]])</f>
        <v>2025</v>
      </c>
      <c r="B286" s="272" t="str">
        <f>PROPER(TEXT(Banco[[#This Row],[Fecha]],"MMMM"))</f>
        <v>Junio</v>
      </c>
      <c r="C286" s="273" t="str">
        <f>TEXT(Banco[[#This Row],[Fecha]],"mmm-yyyy")</f>
        <v>jun-2025</v>
      </c>
      <c r="D286" s="274">
        <v>45810</v>
      </c>
      <c r="E286" s="277" t="s">
        <v>24</v>
      </c>
      <c r="F286" s="276"/>
      <c r="G286" s="402">
        <v>-23320</v>
      </c>
      <c r="H286" s="402">
        <f>Banco[[#This Row],[cargos]]*-1</f>
        <v>23320</v>
      </c>
      <c r="I286" s="402">
        <v>0</v>
      </c>
      <c r="J286" s="403"/>
      <c r="K286" s="403">
        <f>+Banco[[#This Row],[cargos]]+Banco[[#This Row],[Ingresos]]</f>
        <v>-23320</v>
      </c>
      <c r="L286" s="276" t="s">
        <v>25</v>
      </c>
      <c r="M286" s="276" t="str">
        <f>MID(Banco[[#This Row],[CtaCtbl]],FIND(" - ",Banco[[#This Row],[CtaCtbl]])+3,40)</f>
        <v>Pago Comisiones</v>
      </c>
      <c r="N286" s="276"/>
      <c r="O286" s="89"/>
    </row>
    <row r="287" spans="1:15" hidden="1">
      <c r="A287" s="272">
        <f>YEAR(Banco[[#This Row],[Fecha]])</f>
        <v>2025</v>
      </c>
      <c r="B287" s="272" t="str">
        <f>PROPER(TEXT(Banco[[#This Row],[Fecha]],"MMMM"))</f>
        <v>Junio</v>
      </c>
      <c r="C287" s="273" t="str">
        <f>TEXT(Banco[[#This Row],[Fecha]],"mmm-yyyy")</f>
        <v>jun-2025</v>
      </c>
      <c r="D287" s="274">
        <v>45817</v>
      </c>
      <c r="E287" s="277" t="s">
        <v>146</v>
      </c>
      <c r="F287" s="276"/>
      <c r="G287" s="402">
        <v>0</v>
      </c>
      <c r="H287" s="402">
        <f>Banco[[#This Row],[cargos]]*-1</f>
        <v>0</v>
      </c>
      <c r="I287" s="402">
        <v>50000000</v>
      </c>
      <c r="J287" s="403"/>
      <c r="K287" s="403">
        <f>+Banco[[#This Row],[cargos]]+Banco[[#This Row],[Ingresos]]</f>
        <v>50000000</v>
      </c>
      <c r="L287" s="276" t="s">
        <v>147</v>
      </c>
      <c r="M287" s="276" t="str">
        <f>MID(Banco[[#This Row],[CtaCtbl]],FIND(" - ",Banco[[#This Row],[CtaCtbl]])+3,40)</f>
        <v>Rescate Plazo Fijo</v>
      </c>
      <c r="N287" s="276" t="s">
        <v>148</v>
      </c>
      <c r="O287" s="89"/>
    </row>
    <row r="288" spans="1:15" hidden="1">
      <c r="A288" s="272">
        <f>YEAR(Banco[[#This Row],[Fecha]])</f>
        <v>2025</v>
      </c>
      <c r="B288" s="272" t="str">
        <f>PROPER(TEXT(Banco[[#This Row],[Fecha]],"MMMM"))</f>
        <v>Junio</v>
      </c>
      <c r="C288" s="273" t="str">
        <f>TEXT(Banco[[#This Row],[Fecha]],"mmm-yyyy")</f>
        <v>jun-2025</v>
      </c>
      <c r="D288" s="274">
        <v>45817</v>
      </c>
      <c r="E288" s="275" t="s">
        <v>149</v>
      </c>
      <c r="F288" s="276"/>
      <c r="G288" s="402">
        <v>0</v>
      </c>
      <c r="H288" s="402">
        <f>Banco[[#This Row],[cargos]]*-1</f>
        <v>0</v>
      </c>
      <c r="I288" s="402">
        <v>6695600</v>
      </c>
      <c r="J288" s="403"/>
      <c r="K288" s="403">
        <f>+Banco[[#This Row],[cargos]]+Banco[[#This Row],[Ingresos]]</f>
        <v>6695600</v>
      </c>
      <c r="L288" s="276" t="s">
        <v>150</v>
      </c>
      <c r="M288" s="276" t="str">
        <f>MID(Banco[[#This Row],[CtaCtbl]],FIND(" - ",Banco[[#This Row],[CtaCtbl]])+3,40)</f>
        <v>Utilidades Plazo Fijo</v>
      </c>
      <c r="N288" s="276" t="s">
        <v>151</v>
      </c>
      <c r="O288" s="89"/>
    </row>
    <row r="289" spans="1:15" hidden="1">
      <c r="A289" s="272">
        <f>YEAR(Banco[[#This Row],[Fecha]])</f>
        <v>2025</v>
      </c>
      <c r="B289" s="272" t="str">
        <f>PROPER(TEXT(Banco[[#This Row],[Fecha]],"MMMM"))</f>
        <v>Junio</v>
      </c>
      <c r="C289" s="273" t="str">
        <f>TEXT(Banco[[#This Row],[Fecha]],"mmm-yyyy")</f>
        <v>jun-2025</v>
      </c>
      <c r="D289" s="274">
        <v>45817</v>
      </c>
      <c r="E289" s="275" t="s">
        <v>152</v>
      </c>
      <c r="F289" s="276"/>
      <c r="G289" s="402">
        <v>-222462</v>
      </c>
      <c r="H289" s="402">
        <f>Banco[[#This Row],[cargos]]*-1</f>
        <v>222462</v>
      </c>
      <c r="I289" s="402">
        <v>0</v>
      </c>
      <c r="J289" s="403"/>
      <c r="K289" s="403">
        <f>+Banco[[#This Row],[cargos]]+Banco[[#This Row],[Ingresos]]</f>
        <v>-222462</v>
      </c>
      <c r="L289" s="276" t="s">
        <v>23</v>
      </c>
      <c r="M289" s="276" t="str">
        <f>MID(Banco[[#This Row],[CtaCtbl]],FIND(" - ",Banco[[#This Row],[CtaCtbl]])+3,40)</f>
        <v>Asesoria Legal - Convenio Fijo Mensual</v>
      </c>
      <c r="N289" s="285" t="s">
        <v>153</v>
      </c>
      <c r="O289" s="89"/>
    </row>
    <row r="290" spans="1:15" hidden="1">
      <c r="A290" s="272">
        <f>YEAR(Banco[[#This Row],[Fecha]])</f>
        <v>2025</v>
      </c>
      <c r="B290" s="272" t="str">
        <f>PROPER(TEXT(Banco[[#This Row],[Fecha]],"MMMM"))</f>
        <v>Junio</v>
      </c>
      <c r="C290" s="273" t="str">
        <f>TEXT(Banco[[#This Row],[Fecha]],"mmm-yyyy")</f>
        <v>jun-2025</v>
      </c>
      <c r="D290" s="278">
        <v>45825</v>
      </c>
      <c r="E290" s="277" t="s">
        <v>146</v>
      </c>
      <c r="F290" s="276"/>
      <c r="G290" s="402">
        <v>0</v>
      </c>
      <c r="H290" s="402">
        <f>Banco[[#This Row],[cargos]]*-1</f>
        <v>0</v>
      </c>
      <c r="I290" s="402">
        <v>35000000</v>
      </c>
      <c r="J290" s="403"/>
      <c r="K290" s="403">
        <f>+Banco[[#This Row],[cargos]]+Banco[[#This Row],[Ingresos]]</f>
        <v>35000000</v>
      </c>
      <c r="L290" s="276" t="s">
        <v>80</v>
      </c>
      <c r="M290" s="276" t="str">
        <f>MID(Banco[[#This Row],[CtaCtbl]],FIND(" - ",Banco[[#This Row],[CtaCtbl]])+3,40)</f>
        <v>Deposito a Plazo a 30</v>
      </c>
      <c r="N290" s="276" t="s">
        <v>154</v>
      </c>
      <c r="O290" s="89"/>
    </row>
    <row r="291" spans="1:15" hidden="1">
      <c r="A291" s="272">
        <f>YEAR(Banco[[#This Row],[Fecha]])</f>
        <v>2025</v>
      </c>
      <c r="B291" s="272" t="str">
        <f>PROPER(TEXT(Banco[[#This Row],[Fecha]],"MMMM"))</f>
        <v>Junio</v>
      </c>
      <c r="C291" s="273" t="str">
        <f>TEXT(Banco[[#This Row],[Fecha]],"mmm-yyyy")</f>
        <v>jun-2025</v>
      </c>
      <c r="D291" s="278">
        <v>45825</v>
      </c>
      <c r="E291" s="275" t="s">
        <v>149</v>
      </c>
      <c r="F291" s="276"/>
      <c r="G291" s="402">
        <v>0</v>
      </c>
      <c r="H291" s="402">
        <f>Banco[[#This Row],[cargos]]*-1</f>
        <v>0</v>
      </c>
      <c r="I291" s="402">
        <v>1201431</v>
      </c>
      <c r="J291" s="403"/>
      <c r="K291" s="403">
        <f>+Banco[[#This Row],[cargos]]+Banco[[#This Row],[Ingresos]]</f>
        <v>1201431</v>
      </c>
      <c r="L291" s="276" t="s">
        <v>155</v>
      </c>
      <c r="M291" s="276" t="str">
        <f>MID(Banco[[#This Row],[CtaCtbl]],FIND(" - ",Banco[[#This Row],[CtaCtbl]])+3,40)</f>
        <v>Depositos a Plazo</v>
      </c>
      <c r="N291" s="276" t="s">
        <v>156</v>
      </c>
      <c r="O291" s="89"/>
    </row>
    <row r="292" spans="1:15" hidden="1">
      <c r="A292" s="272">
        <f>YEAR(Banco[[#This Row],[Fecha]])</f>
        <v>2025</v>
      </c>
      <c r="B292" s="272" t="str">
        <f>PROPER(TEXT(Banco[[#This Row],[Fecha]],"MMMM"))</f>
        <v>Junio</v>
      </c>
      <c r="C292" s="273" t="str">
        <f>TEXT(Banco[[#This Row],[Fecha]],"mmm-yyyy")</f>
        <v>jun-2025</v>
      </c>
      <c r="D292" s="279">
        <v>45827</v>
      </c>
      <c r="E292" s="277" t="s">
        <v>146</v>
      </c>
      <c r="F292" s="276"/>
      <c r="G292" s="402">
        <v>0</v>
      </c>
      <c r="H292" s="402">
        <f>Banco[[#This Row],[cargos]]*-1</f>
        <v>0</v>
      </c>
      <c r="I292" s="402">
        <v>20000000</v>
      </c>
      <c r="J292" s="403"/>
      <c r="K292" s="403">
        <f>+Banco[[#This Row],[cargos]]+Banco[[#This Row],[Ingresos]]</f>
        <v>20000000</v>
      </c>
      <c r="L292" s="276" t="s">
        <v>147</v>
      </c>
      <c r="M292" s="276" t="str">
        <f>MID(Banco[[#This Row],[CtaCtbl]],FIND(" - ",Banco[[#This Row],[CtaCtbl]])+3,40)</f>
        <v>Rescate Plazo Fijo</v>
      </c>
      <c r="N292" s="276" t="s">
        <v>154</v>
      </c>
      <c r="O292" s="89"/>
    </row>
    <row r="293" spans="1:15" hidden="1">
      <c r="A293" s="272">
        <f>YEAR(Banco[[#This Row],[Fecha]])</f>
        <v>2025</v>
      </c>
      <c r="B293" s="272" t="str">
        <f>PROPER(TEXT(Banco[[#This Row],[Fecha]],"MMMM"))</f>
        <v>Junio</v>
      </c>
      <c r="C293" s="273" t="str">
        <f>TEXT(Banco[[#This Row],[Fecha]],"mmm-yyyy")</f>
        <v>jun-2025</v>
      </c>
      <c r="D293" s="279">
        <v>45827</v>
      </c>
      <c r="E293" s="275" t="s">
        <v>149</v>
      </c>
      <c r="F293" s="276"/>
      <c r="G293" s="402">
        <v>0</v>
      </c>
      <c r="H293" s="402">
        <f>Banco[[#This Row],[cargos]]*-1</f>
        <v>0</v>
      </c>
      <c r="I293" s="402">
        <v>1167024</v>
      </c>
      <c r="J293" s="403"/>
      <c r="K293" s="403">
        <f>+Banco[[#This Row],[cargos]]+Banco[[#This Row],[Ingresos]]</f>
        <v>1167024</v>
      </c>
      <c r="L293" s="276" t="s">
        <v>150</v>
      </c>
      <c r="M293" s="276" t="str">
        <f>MID(Banco[[#This Row],[CtaCtbl]],FIND(" - ",Banco[[#This Row],[CtaCtbl]])+3,40)</f>
        <v>Utilidades Plazo Fijo</v>
      </c>
      <c r="N293" s="276" t="s">
        <v>157</v>
      </c>
      <c r="O293" s="89"/>
    </row>
    <row r="294" spans="1:15" hidden="1">
      <c r="A294" s="272">
        <f>YEAR(Banco[[#This Row],[Fecha]])</f>
        <v>2025</v>
      </c>
      <c r="B294" s="272" t="str">
        <f>PROPER(TEXT(Banco[[#This Row],[Fecha]],"MMMM"))</f>
        <v>Junio</v>
      </c>
      <c r="C294" s="273" t="str">
        <f>TEXT(Banco[[#This Row],[Fecha]],"mmm-yyyy")</f>
        <v>jun-2025</v>
      </c>
      <c r="D294" s="274">
        <v>45827</v>
      </c>
      <c r="E294" s="275" t="s">
        <v>158</v>
      </c>
      <c r="F294" s="276"/>
      <c r="G294" s="406">
        <v>-609105828</v>
      </c>
      <c r="H294" s="406">
        <f>Banco[[#This Row],[cargos]]*-1</f>
        <v>609105828</v>
      </c>
      <c r="I294" s="402">
        <v>0</v>
      </c>
      <c r="J294" s="403"/>
      <c r="K294" s="403">
        <f>+Banco[[#This Row],[cargos]]+Banco[[#This Row],[Ingresos]]</f>
        <v>-609105828</v>
      </c>
      <c r="L294" s="276" t="s">
        <v>51</v>
      </c>
      <c r="M294" s="276" t="str">
        <f>MID(Banco[[#This Row],[CtaCtbl]],FIND(" - ",Banco[[#This Row],[CtaCtbl]])+3,40)</f>
        <v>Pago Bonos a Socios</v>
      </c>
      <c r="N294" s="276" t="s">
        <v>159</v>
      </c>
      <c r="O294" s="89"/>
    </row>
    <row r="295" spans="1:15" hidden="1">
      <c r="A295" s="272">
        <f>YEAR(Banco[[#This Row],[Fecha]])</f>
        <v>2025</v>
      </c>
      <c r="B295" s="272" t="str">
        <f>PROPER(TEXT(Banco[[#This Row],[Fecha]],"MMMM"))</f>
        <v>Junio</v>
      </c>
      <c r="C295" s="273" t="str">
        <f>TEXT(Banco[[#This Row],[Fecha]],"mmm-yyyy")</f>
        <v>jun-2025</v>
      </c>
      <c r="D295" s="274">
        <v>45827</v>
      </c>
      <c r="E295" s="277" t="s">
        <v>160</v>
      </c>
      <c r="F295" s="276"/>
      <c r="G295" s="406">
        <v>0</v>
      </c>
      <c r="H295" s="406">
        <f>Banco[[#This Row],[cargos]]*-1</f>
        <v>0</v>
      </c>
      <c r="I295" s="402">
        <v>22271056</v>
      </c>
      <c r="J295" s="403"/>
      <c r="K295" s="403">
        <f>+Banco[[#This Row],[cargos]]+Banco[[#This Row],[Ingresos]]</f>
        <v>22271056</v>
      </c>
      <c r="L295" s="276" t="s">
        <v>161</v>
      </c>
      <c r="M295" s="276" t="str">
        <f>MID(Banco[[#This Row],[CtaCtbl]],FIND(" - ",Banco[[#This Row],[CtaCtbl]])+3,40)</f>
        <v>Restitución Fondos / Rechazo Depositos</v>
      </c>
      <c r="N295" s="276" t="s">
        <v>162</v>
      </c>
      <c r="O295" s="89"/>
    </row>
    <row r="296" spans="1:15" hidden="1">
      <c r="A296" s="272">
        <f>YEAR(Banco[[#This Row],[Fecha]])</f>
        <v>2025</v>
      </c>
      <c r="B296" s="272" t="str">
        <f>PROPER(TEXT(Banco[[#This Row],[Fecha]],"MMMM"))</f>
        <v>Junio</v>
      </c>
      <c r="C296" s="273" t="str">
        <f>TEXT(Banco[[#This Row],[Fecha]],"mmm-yyyy")</f>
        <v>jun-2025</v>
      </c>
      <c r="D296" s="274">
        <v>45827</v>
      </c>
      <c r="E296" s="275" t="s">
        <v>163</v>
      </c>
      <c r="F296" s="276"/>
      <c r="G296" s="406">
        <v>-19064392</v>
      </c>
      <c r="H296" s="406">
        <f>Banco[[#This Row],[cargos]]*-1</f>
        <v>19064392</v>
      </c>
      <c r="I296" s="402">
        <v>0</v>
      </c>
      <c r="J296" s="403"/>
      <c r="K296" s="403">
        <f>+Banco[[#This Row],[cargos]]+Banco[[#This Row],[Ingresos]]</f>
        <v>-19064392</v>
      </c>
      <c r="L296" s="276" t="s">
        <v>51</v>
      </c>
      <c r="M296" s="276" t="str">
        <f>MID(Banco[[#This Row],[CtaCtbl]],FIND(" - ",Banco[[#This Row],[CtaCtbl]])+3,40)</f>
        <v>Pago Bonos a Socios</v>
      </c>
      <c r="N296" s="276" t="s">
        <v>164</v>
      </c>
      <c r="O296" s="89"/>
    </row>
    <row r="297" spans="1:15" hidden="1">
      <c r="A297" s="272">
        <f>YEAR(Banco[[#This Row],[Fecha]])</f>
        <v>2025</v>
      </c>
      <c r="B297" s="272" t="str">
        <f>PROPER(TEXT(Banco[[#This Row],[Fecha]],"MMMM"))</f>
        <v>Julio</v>
      </c>
      <c r="C297" s="273" t="str">
        <f>TEXT(Banco[[#This Row],[Fecha]],"mmm-yyyy")</f>
        <v>jul-2025</v>
      </c>
      <c r="D297" s="274">
        <v>45846</v>
      </c>
      <c r="E297" s="275" t="s">
        <v>165</v>
      </c>
      <c r="F297" s="276"/>
      <c r="G297" s="402">
        <v>-72000</v>
      </c>
      <c r="H297" s="402">
        <f>Banco[[#This Row],[cargos]]*-1</f>
        <v>72000</v>
      </c>
      <c r="I297" s="407">
        <v>0</v>
      </c>
      <c r="J297" s="403"/>
      <c r="K297" s="403">
        <f>+Banco[[#This Row],[cargos]]+Banco[[#This Row],[Ingresos]]</f>
        <v>-72000</v>
      </c>
      <c r="L297" s="276" t="s">
        <v>94</v>
      </c>
      <c r="M297" s="276" t="str">
        <f>MID(Banco[[#This Row],[CtaCtbl]],FIND(" - ",Banco[[#This Row],[CtaCtbl]])+3,40)</f>
        <v>Coronas de Caridad Condolencias</v>
      </c>
      <c r="N297" s="285" t="s">
        <v>166</v>
      </c>
      <c r="O297" s="89"/>
    </row>
    <row r="298" spans="1:15" hidden="1">
      <c r="A298" s="280">
        <f>YEAR(Banco[[#This Row],[Fecha]])</f>
        <v>2025</v>
      </c>
      <c r="B298" s="280" t="str">
        <f>PROPER(TEXT(Banco[[#This Row],[Fecha]],"MMMM"))</f>
        <v>Julio</v>
      </c>
      <c r="C298" s="281" t="str">
        <f>TEXT(Banco[[#This Row],[Fecha]],"mmm-yyyy")</f>
        <v>jul-2025</v>
      </c>
      <c r="D298" s="274">
        <v>45839</v>
      </c>
      <c r="E298" s="277" t="s">
        <v>24</v>
      </c>
      <c r="F298" s="282"/>
      <c r="G298" s="407">
        <v>-23366</v>
      </c>
      <c r="H298" s="407">
        <f>Banco[[#This Row],[cargos]]*-1</f>
        <v>23366</v>
      </c>
      <c r="I298" s="408">
        <v>0</v>
      </c>
      <c r="J298" s="409"/>
      <c r="K298" s="409">
        <f>+Banco[[#This Row],[cargos]]+Banco[[#This Row],[Ingresos]]</f>
        <v>-23366</v>
      </c>
      <c r="L298" s="276" t="s">
        <v>25</v>
      </c>
      <c r="M298" s="276" t="str">
        <f>MID(Banco[[#This Row],[CtaCtbl]],FIND(" - ",Banco[[#This Row],[CtaCtbl]])+3,40)</f>
        <v>Pago Comisiones</v>
      </c>
      <c r="N298" s="282"/>
      <c r="O298" s="89"/>
    </row>
    <row r="299" spans="1:15" hidden="1">
      <c r="A299" s="272">
        <f>YEAR(Banco[[#This Row],[Fecha]])</f>
        <v>2025</v>
      </c>
      <c r="B299" s="272" t="str">
        <f>PROPER(TEXT(Banco[[#This Row],[Fecha]],"MMMM"))</f>
        <v>Junio</v>
      </c>
      <c r="C299" s="273" t="str">
        <f>TEXT(Banco[[#This Row],[Fecha]],"mmm-yyyy")</f>
        <v>jun-2025</v>
      </c>
      <c r="D299" s="274">
        <v>45835</v>
      </c>
      <c r="E299" s="277" t="s">
        <v>15</v>
      </c>
      <c r="F299" s="276"/>
      <c r="G299" s="402">
        <v>0</v>
      </c>
      <c r="H299" s="402">
        <f>Banco[[#This Row],[cargos]]*-1</f>
        <v>0</v>
      </c>
      <c r="I299" s="402">
        <v>9286882</v>
      </c>
      <c r="J299" s="403"/>
      <c r="K299" s="403">
        <f>+Banco[[#This Row],[cargos]]+Banco[[#This Row],[Ingresos]]</f>
        <v>9286882</v>
      </c>
      <c r="L299" s="276" t="s">
        <v>18</v>
      </c>
      <c r="M299" s="276" t="str">
        <f>MID(Banco[[#This Row],[CtaCtbl]],FIND(" - ",Banco[[#This Row],[CtaCtbl]])+3,40)</f>
        <v>Cuota Ordinaria</v>
      </c>
      <c r="N299" s="276"/>
      <c r="O299" s="89"/>
    </row>
    <row r="300" spans="1:15" hidden="1">
      <c r="A300" s="272">
        <f>YEAR(Banco[[#This Row],[Fecha]])</f>
        <v>2025</v>
      </c>
      <c r="B300" s="272" t="str">
        <f>PROPER(TEXT(Banco[[#This Row],[Fecha]],"MMMM"))</f>
        <v>Julio</v>
      </c>
      <c r="C300" s="273" t="str">
        <f>TEXT(Banco[[#This Row],[Fecha]],"mmm-yyyy")</f>
        <v>jul-2025</v>
      </c>
      <c r="D300" s="274">
        <v>45866</v>
      </c>
      <c r="E300" s="277" t="s">
        <v>15</v>
      </c>
      <c r="F300" s="276"/>
      <c r="G300" s="402">
        <v>0</v>
      </c>
      <c r="H300" s="402">
        <f>Banco[[#This Row],[cargos]]*-1</f>
        <v>0</v>
      </c>
      <c r="I300" s="402">
        <v>9187710</v>
      </c>
      <c r="J300" s="403"/>
      <c r="K300" s="403">
        <f>+Banco[[#This Row],[cargos]]+Banco[[#This Row],[Ingresos]]</f>
        <v>9187710</v>
      </c>
      <c r="L300" s="276" t="s">
        <v>18</v>
      </c>
      <c r="M300" s="276" t="str">
        <f>MID(Banco[[#This Row],[CtaCtbl]],FIND(" - ",Banco[[#This Row],[CtaCtbl]])+3,40)</f>
        <v>Cuota Ordinaria</v>
      </c>
      <c r="N300" s="276"/>
      <c r="O300" s="89"/>
    </row>
    <row r="301" spans="1:15" hidden="1">
      <c r="A301" s="272">
        <f>YEAR(Banco[[#This Row],[Fecha]])</f>
        <v>2025</v>
      </c>
      <c r="B301" s="272" t="str">
        <f>PROPER(TEXT(Banco[[#This Row],[Fecha]],"MMMM"))</f>
        <v>Julio</v>
      </c>
      <c r="C301" s="273" t="str">
        <f>TEXT(Banco[[#This Row],[Fecha]],"mmm-yyyy")</f>
        <v>jul-2025</v>
      </c>
      <c r="D301" s="274">
        <v>45867</v>
      </c>
      <c r="E301" s="275" t="s">
        <v>163</v>
      </c>
      <c r="F301" s="276"/>
      <c r="G301" s="402">
        <v>-26700482</v>
      </c>
      <c r="H301" s="402">
        <f>Banco[[#This Row],[cargos]]*-1</f>
        <v>26700482</v>
      </c>
      <c r="I301" s="402">
        <v>0</v>
      </c>
      <c r="J301" s="403"/>
      <c r="K301" s="403">
        <f>+Banco[[#This Row],[cargos]]+Banco[[#This Row],[Ingresos]]</f>
        <v>-26700482</v>
      </c>
      <c r="L301" s="276" t="s">
        <v>51</v>
      </c>
      <c r="M301" s="276" t="str">
        <f>MID(Banco[[#This Row],[CtaCtbl]],FIND(" - ",Banco[[#This Row],[CtaCtbl]])+3,40)</f>
        <v>Pago Bonos a Socios</v>
      </c>
      <c r="N301" s="276" t="s">
        <v>167</v>
      </c>
      <c r="O301" s="89"/>
    </row>
    <row r="302" spans="1:15" hidden="1">
      <c r="A302" s="272">
        <f>YEAR(Banco[[#This Row],[Fecha]])</f>
        <v>2025</v>
      </c>
      <c r="B302" s="272" t="str">
        <f>PROPER(TEXT(Banco[[#This Row],[Fecha]],"MMMM"))</f>
        <v>Julio</v>
      </c>
      <c r="C302" s="273" t="str">
        <f>TEXT(Banco[[#This Row],[Fecha]],"mmm-yyyy")</f>
        <v>jul-2025</v>
      </c>
      <c r="D302" s="274">
        <v>45867</v>
      </c>
      <c r="E302" s="275" t="s">
        <v>168</v>
      </c>
      <c r="F302" s="276"/>
      <c r="G302" s="402">
        <v>-3537</v>
      </c>
      <c r="H302" s="402">
        <f>Banco[[#This Row],[cargos]]*-1</f>
        <v>3537</v>
      </c>
      <c r="I302" s="402">
        <v>0</v>
      </c>
      <c r="J302" s="403"/>
      <c r="K302" s="403">
        <f>+Banco[[#This Row],[cargos]]+Banco[[#This Row],[Ingresos]]</f>
        <v>-3537</v>
      </c>
      <c r="L302" s="276" t="s">
        <v>169</v>
      </c>
      <c r="M302" s="276" t="str">
        <f>MID(Banco[[#This Row],[CtaCtbl]],FIND(" - ",Banco[[#This Row],[CtaCtbl]])+3,40)</f>
        <v>Impuestos Bancarios</v>
      </c>
      <c r="N302" s="276"/>
      <c r="O302" s="89"/>
    </row>
    <row r="303" spans="1:15" hidden="1">
      <c r="A303" s="272">
        <f>YEAR(Banco[[#This Row],[Fecha]])</f>
        <v>2025</v>
      </c>
      <c r="B303" s="272" t="str">
        <f>PROPER(TEXT(Banco[[#This Row],[Fecha]],"MMMM"))</f>
        <v>Julio</v>
      </c>
      <c r="C303" s="273" t="str">
        <f>TEXT(Banco[[#This Row],[Fecha]],"mmm-yyyy")</f>
        <v>jul-2025</v>
      </c>
      <c r="D303" s="274">
        <v>45867</v>
      </c>
      <c r="E303" s="275" t="s">
        <v>170</v>
      </c>
      <c r="F303" s="276"/>
      <c r="G303" s="402">
        <v>-18615</v>
      </c>
      <c r="H303" s="402">
        <f>Banco[[#This Row],[cargos]]*-1</f>
        <v>18615</v>
      </c>
      <c r="I303" s="402">
        <v>0</v>
      </c>
      <c r="J303" s="403"/>
      <c r="K303" s="403">
        <f>+Banco[[#This Row],[cargos]]+Banco[[#This Row],[Ingresos]]</f>
        <v>-18615</v>
      </c>
      <c r="L303" s="276" t="s">
        <v>25</v>
      </c>
      <c r="M303" s="276" t="str">
        <f>MID(Banco[[#This Row],[CtaCtbl]],FIND(" - ",Banco[[#This Row],[CtaCtbl]])+3,40)</f>
        <v>Pago Comisiones</v>
      </c>
      <c r="N303" s="276" t="s">
        <v>171</v>
      </c>
      <c r="O303" s="89"/>
    </row>
    <row r="304" spans="1:15" hidden="1">
      <c r="A304" s="288">
        <f>YEAR(Banco[[#This Row],[Fecha]])</f>
        <v>2025</v>
      </c>
      <c r="B304" s="288" t="str">
        <f>PROPER(TEXT(Banco[[#This Row],[Fecha]],"MMMM"))</f>
        <v>Agosto</v>
      </c>
      <c r="C304" s="270" t="str">
        <f>TEXT(Banco[[#This Row],[Fecha]],"mmm-yyyy")</f>
        <v>ago-2025</v>
      </c>
      <c r="D304" s="289">
        <v>45870</v>
      </c>
      <c r="E304" s="271" t="s">
        <v>172</v>
      </c>
      <c r="F304" s="290"/>
      <c r="G304" s="404">
        <v>-5694</v>
      </c>
      <c r="H304" s="404">
        <f>Banco[[#This Row],[cargos]]*-1</f>
        <v>5694</v>
      </c>
      <c r="I304" s="404">
        <v>0</v>
      </c>
      <c r="J304" s="403"/>
      <c r="K304" s="403">
        <f>+Banco[[#This Row],[cargos]]+Banco[[#This Row],[Ingresos]]</f>
        <v>-5694</v>
      </c>
      <c r="L304" s="290" t="s">
        <v>41</v>
      </c>
      <c r="M304" s="276" t="str">
        <f>MID(Banco[[#This Row],[CtaCtbl]],FIND(" - ",Banco[[#This Row],[CtaCtbl]])+3,40)</f>
        <v>Taxi, Uber o Similar</v>
      </c>
      <c r="N304" s="290" t="s">
        <v>173</v>
      </c>
      <c r="O304" s="89"/>
    </row>
    <row r="305" spans="1:15" hidden="1">
      <c r="A305" s="272">
        <f>YEAR(Banco[[#This Row],[Fecha]])</f>
        <v>2025</v>
      </c>
      <c r="B305" s="272" t="str">
        <f>PROPER(TEXT(Banco[[#This Row],[Fecha]],"MMMM"))</f>
        <v>Agosto</v>
      </c>
      <c r="C305" s="273" t="str">
        <f>TEXT(Banco[[#This Row],[Fecha]],"mmm-yyyy")</f>
        <v>ago-2025</v>
      </c>
      <c r="D305" s="274">
        <v>45870</v>
      </c>
      <c r="E305" s="277" t="s">
        <v>24</v>
      </c>
      <c r="F305" s="276"/>
      <c r="G305" s="402">
        <v>-23309</v>
      </c>
      <c r="H305" s="402">
        <f>Banco[[#This Row],[cargos]]*-1</f>
        <v>23309</v>
      </c>
      <c r="I305" s="402">
        <v>0</v>
      </c>
      <c r="J305" s="403"/>
      <c r="K305" s="403">
        <f>+Banco[[#This Row],[cargos]]+Banco[[#This Row],[Ingresos]]</f>
        <v>-23309</v>
      </c>
      <c r="L305" s="276" t="s">
        <v>25</v>
      </c>
      <c r="M305" s="276" t="str">
        <f>MID(Banco[[#This Row],[CtaCtbl]],FIND(" - ",Banco[[#This Row],[CtaCtbl]])+3,40)</f>
        <v>Pago Comisiones</v>
      </c>
      <c r="N305" s="276"/>
      <c r="O305" s="89"/>
    </row>
    <row r="306" spans="1:15" hidden="1">
      <c r="A306" s="272">
        <f>YEAR(Banco[[#This Row],[Fecha]])</f>
        <v>2025</v>
      </c>
      <c r="B306" s="272" t="str">
        <f>PROPER(TEXT(Banco[[#This Row],[Fecha]],"MMMM"))</f>
        <v>Agosto</v>
      </c>
      <c r="C306" s="273" t="str">
        <f>TEXT(Banco[[#This Row],[Fecha]],"mmm-yyyy")</f>
        <v>ago-2025</v>
      </c>
      <c r="D306" s="274">
        <v>45873</v>
      </c>
      <c r="E306" s="275" t="s">
        <v>174</v>
      </c>
      <c r="F306" s="276"/>
      <c r="G306" s="402">
        <v>-700000</v>
      </c>
      <c r="H306" s="402">
        <f>Banco[[#This Row],[cargos]]*-1</f>
        <v>700000</v>
      </c>
      <c r="I306" s="402">
        <v>0</v>
      </c>
      <c r="J306" s="403"/>
      <c r="K306" s="403">
        <f>+Banco[[#This Row],[cargos]]+Banco[[#This Row],[Ingresos]]</f>
        <v>-700000</v>
      </c>
      <c r="L306" s="276" t="s">
        <v>23</v>
      </c>
      <c r="M306" s="276" t="str">
        <f>MID(Banco[[#This Row],[CtaCtbl]],FIND(" - ",Banco[[#This Row],[CtaCtbl]])+3,40)</f>
        <v>Asesoria Legal - Convenio Fijo Mensual</v>
      </c>
      <c r="N306" s="287" t="s">
        <v>175</v>
      </c>
      <c r="O306" s="89"/>
    </row>
    <row r="307" spans="1:15" hidden="1">
      <c r="A307" s="272">
        <f>YEAR(Banco[[#This Row],[Fecha]])</f>
        <v>2025</v>
      </c>
      <c r="B307" s="272" t="str">
        <f>PROPER(TEXT(Banco[[#This Row],[Fecha]],"MMMM"))</f>
        <v>Agosto</v>
      </c>
      <c r="C307" s="273" t="str">
        <f>TEXT(Banco[[#This Row],[Fecha]],"mmm-yyyy")</f>
        <v>ago-2025</v>
      </c>
      <c r="D307" s="274">
        <v>45891</v>
      </c>
      <c r="E307" s="275" t="s">
        <v>172</v>
      </c>
      <c r="F307" s="276"/>
      <c r="G307" s="402">
        <v>-5694</v>
      </c>
      <c r="H307" s="402">
        <f>Banco[[#This Row],[cargos]]*-1</f>
        <v>5694</v>
      </c>
      <c r="I307" s="402">
        <v>0</v>
      </c>
      <c r="J307" s="403"/>
      <c r="K307" s="403">
        <f>+Banco[[#This Row],[cargos]]+Banco[[#This Row],[Ingresos]]</f>
        <v>-5694</v>
      </c>
      <c r="L307" s="276" t="s">
        <v>41</v>
      </c>
      <c r="M307" s="276" t="str">
        <f>MID(Banco[[#This Row],[CtaCtbl]],FIND(" - ",Banco[[#This Row],[CtaCtbl]])+3,40)</f>
        <v>Taxi, Uber o Similar</v>
      </c>
      <c r="N307" s="283" t="s">
        <v>176</v>
      </c>
      <c r="O307" s="89"/>
    </row>
    <row r="308" spans="1:15" hidden="1">
      <c r="A308" s="272">
        <f>YEAR(Banco[[#This Row],[Fecha]])</f>
        <v>2025</v>
      </c>
      <c r="B308" s="272" t="str">
        <f>PROPER(TEXT(Banco[[#This Row],[Fecha]],"MMMM"))</f>
        <v>Agosto</v>
      </c>
      <c r="C308" s="273" t="str">
        <f>TEXT(Banco[[#This Row],[Fecha]],"mmm-yyyy")</f>
        <v>ago-2025</v>
      </c>
      <c r="D308" s="274">
        <v>45891</v>
      </c>
      <c r="E308" s="275" t="s">
        <v>177</v>
      </c>
      <c r="F308" s="276"/>
      <c r="G308" s="402">
        <v>-11784</v>
      </c>
      <c r="H308" s="402">
        <f>Banco[[#This Row],[cargos]]*-1</f>
        <v>11784</v>
      </c>
      <c r="I308" s="402">
        <v>0</v>
      </c>
      <c r="J308" s="403"/>
      <c r="K308" s="403">
        <f>+Banco[[#This Row],[cargos]]+Banco[[#This Row],[Ingresos]]</f>
        <v>-11784</v>
      </c>
      <c r="L308" s="276" t="s">
        <v>25</v>
      </c>
      <c r="M308" s="276" t="str">
        <f>MID(Banco[[#This Row],[CtaCtbl]],FIND(" - ",Banco[[#This Row],[CtaCtbl]])+3,40)</f>
        <v>Pago Comisiones</v>
      </c>
      <c r="N308" s="276"/>
      <c r="O308" s="89"/>
    </row>
    <row r="309" spans="1:15" hidden="1">
      <c r="A309" s="272">
        <f>YEAR(Banco[[#This Row],[Fecha]])</f>
        <v>2025</v>
      </c>
      <c r="B309" s="272" t="str">
        <f>PROPER(TEXT(Banco[[#This Row],[Fecha]],"MMMM"))</f>
        <v>Agosto</v>
      </c>
      <c r="C309" s="273" t="str">
        <f>TEXT(Banco[[#This Row],[Fecha]],"mmm-yyyy")</f>
        <v>ago-2025</v>
      </c>
      <c r="D309" s="274">
        <v>45891</v>
      </c>
      <c r="E309" s="275" t="s">
        <v>168</v>
      </c>
      <c r="F309" s="276"/>
      <c r="G309" s="402">
        <v>-2239</v>
      </c>
      <c r="H309" s="402">
        <f>Banco[[#This Row],[cargos]]*-1</f>
        <v>2239</v>
      </c>
      <c r="I309" s="402">
        <v>0</v>
      </c>
      <c r="J309" s="403"/>
      <c r="K309" s="403">
        <f>+Banco[[#This Row],[cargos]]+Banco[[#This Row],[Ingresos]]</f>
        <v>-2239</v>
      </c>
      <c r="L309" s="276" t="s">
        <v>25</v>
      </c>
      <c r="M309" s="276" t="str">
        <f>MID(Banco[[#This Row],[CtaCtbl]],FIND(" - ",Banco[[#This Row],[CtaCtbl]])+3,40)</f>
        <v>Pago Comisiones</v>
      </c>
      <c r="N309" s="276"/>
      <c r="O309" s="89"/>
    </row>
    <row r="310" spans="1:15" hidden="1">
      <c r="A310" s="272">
        <f>YEAR(Banco[[#This Row],[Fecha]])</f>
        <v>2025</v>
      </c>
      <c r="B310" s="272" t="str">
        <f>PROPER(TEXT(Banco[[#This Row],[Fecha]],"MMMM"))</f>
        <v>Agosto</v>
      </c>
      <c r="C310" s="273" t="str">
        <f>TEXT(Banco[[#This Row],[Fecha]],"mmm-yyyy")</f>
        <v>ago-2025</v>
      </c>
      <c r="D310" s="274">
        <v>45894</v>
      </c>
      <c r="E310" s="275" t="s">
        <v>178</v>
      </c>
      <c r="F310" s="276"/>
      <c r="G310" s="402">
        <v>-500000</v>
      </c>
      <c r="H310" s="402">
        <f>Banco[[#This Row],[cargos]]*-1</f>
        <v>500000</v>
      </c>
      <c r="I310" s="402">
        <v>0</v>
      </c>
      <c r="J310" s="403"/>
      <c r="K310" s="403">
        <f>+Banco[[#This Row],[cargos]]+Banco[[#This Row],[Ingresos]]</f>
        <v>-500000</v>
      </c>
      <c r="L310" s="276" t="s">
        <v>51</v>
      </c>
      <c r="M310" s="276" t="str">
        <f>MID(Banco[[#This Row],[CtaCtbl]],FIND(" - ",Banco[[#This Row],[CtaCtbl]])+3,40)</f>
        <v>Pago Bonos a Socios</v>
      </c>
      <c r="N310" s="276" t="s">
        <v>179</v>
      </c>
      <c r="O310" s="89"/>
    </row>
    <row r="311" spans="1:15" hidden="1">
      <c r="A311" s="272">
        <f>YEAR(Banco[[#This Row],[Fecha]])</f>
        <v>2025</v>
      </c>
      <c r="B311" s="272" t="str">
        <f>PROPER(TEXT(Banco[[#This Row],[Fecha]],"MMMM"))</f>
        <v>Agosto</v>
      </c>
      <c r="C311" s="273" t="str">
        <f>TEXT(Banco[[#This Row],[Fecha]],"mmm-yyyy")</f>
        <v>ago-2025</v>
      </c>
      <c r="D311" s="274">
        <v>45894</v>
      </c>
      <c r="E311" s="275" t="s">
        <v>180</v>
      </c>
      <c r="F311" s="276"/>
      <c r="G311" s="402">
        <v>-2450</v>
      </c>
      <c r="H311" s="402">
        <f>Banco[[#This Row],[cargos]]*-1</f>
        <v>2450</v>
      </c>
      <c r="I311" s="402">
        <v>0</v>
      </c>
      <c r="J311" s="403"/>
      <c r="K311" s="403">
        <f>+Banco[[#This Row],[cargos]]+Banco[[#This Row],[Ingresos]]</f>
        <v>-2450</v>
      </c>
      <c r="L311" s="276" t="s">
        <v>140</v>
      </c>
      <c r="M311" s="276" t="str">
        <f>MID(Banco[[#This Row],[CtaCtbl]],FIND(" - ",Banco[[#This Row],[CtaCtbl]])+3,40)</f>
        <v>Estacionamientos</v>
      </c>
      <c r="N311" s="285" t="s">
        <v>181</v>
      </c>
      <c r="O311" s="89"/>
    </row>
    <row r="312" spans="1:15" hidden="1">
      <c r="A312" s="272">
        <f>YEAR(Banco[[#This Row],[Fecha]])</f>
        <v>2025</v>
      </c>
      <c r="B312" s="272" t="str">
        <f>PROPER(TEXT(Banco[[#This Row],[Fecha]],"MMMM"))</f>
        <v>Agosto</v>
      </c>
      <c r="C312" s="273" t="str">
        <f>TEXT(Banco[[#This Row],[Fecha]],"mmm-yyyy")</f>
        <v>ago-2025</v>
      </c>
      <c r="D312" s="274">
        <v>45895</v>
      </c>
      <c r="E312" s="275" t="s">
        <v>182</v>
      </c>
      <c r="F312" s="276"/>
      <c r="G312" s="402">
        <v>-637776</v>
      </c>
      <c r="H312" s="402">
        <f>Banco[[#This Row],[cargos]]*-1</f>
        <v>637776</v>
      </c>
      <c r="I312" s="402">
        <v>0</v>
      </c>
      <c r="J312" s="403"/>
      <c r="K312" s="403">
        <f>+Banco[[#This Row],[cargos]]+Banco[[#This Row],[Ingresos]]</f>
        <v>-637776</v>
      </c>
      <c r="L312" s="276" t="s">
        <v>51</v>
      </c>
      <c r="M312" s="276" t="str">
        <f>MID(Banco[[#This Row],[CtaCtbl]],FIND(" - ",Banco[[#This Row],[CtaCtbl]])+3,40)</f>
        <v>Pago Bonos a Socios</v>
      </c>
      <c r="N312" s="276" t="s">
        <v>179</v>
      </c>
      <c r="O312" s="89"/>
    </row>
    <row r="313" spans="1:15" hidden="1">
      <c r="A313" s="302">
        <f>YEAR(Banco[[#This Row],[Fecha]])</f>
        <v>2025</v>
      </c>
      <c r="B313" s="302" t="str">
        <f>PROPER(TEXT(Banco[[#This Row],[Fecha]],"MMMM"))</f>
        <v>Agosto</v>
      </c>
      <c r="C313" s="303" t="str">
        <f>TEXT(Banco[[#This Row],[Fecha]],"mmm-yyyy")</f>
        <v>ago-2025</v>
      </c>
      <c r="D313" s="261">
        <v>45896</v>
      </c>
      <c r="E313" t="s">
        <v>15</v>
      </c>
      <c r="G313" s="403">
        <v>0</v>
      </c>
      <c r="H313" s="403">
        <f>Banco[[#This Row],[cargos]]*-1</f>
        <v>0</v>
      </c>
      <c r="I313" s="403">
        <v>9156780</v>
      </c>
      <c r="J313" s="403"/>
      <c r="K313" s="403">
        <f>+Banco[[#This Row],[cargos]]+Banco[[#This Row],[Ingresos]]</f>
        <v>9156780</v>
      </c>
      <c r="L313" s="89" t="s">
        <v>18</v>
      </c>
      <c r="M313" s="276" t="str">
        <f>MID(Banco[[#This Row],[CtaCtbl]],FIND(" - ",Banco[[#This Row],[CtaCtbl]])+3,40)</f>
        <v>Cuota Ordinaria</v>
      </c>
      <c r="N313" s="89"/>
      <c r="O313" s="89"/>
    </row>
    <row r="314" spans="1:15" hidden="1">
      <c r="A314" s="302">
        <f>YEAR(Banco[[#This Row],[Fecha]])</f>
        <v>2025</v>
      </c>
      <c r="B314" s="302" t="str">
        <f>PROPER(TEXT(Banco[[#This Row],[Fecha]],"MMMM"))</f>
        <v>Septiembre</v>
      </c>
      <c r="C314" s="303" t="str">
        <f>TEXT(Banco[[#This Row],[Fecha]],"mmm-yyyy")</f>
        <v>sept-2025</v>
      </c>
      <c r="D314" s="261">
        <v>45901</v>
      </c>
      <c r="E314" s="262" t="s">
        <v>24</v>
      </c>
      <c r="G314" s="403">
        <v>-23439</v>
      </c>
      <c r="H314" s="403">
        <f>Banco[[#This Row],[cargos]]*-1</f>
        <v>23439</v>
      </c>
      <c r="I314" s="403">
        <v>0</v>
      </c>
      <c r="J314" s="403"/>
      <c r="K314" s="403">
        <f>+Banco[[#This Row],[cargos]]+Banco[[#This Row],[Ingresos]]</f>
        <v>-23439</v>
      </c>
      <c r="L314" s="89" t="s">
        <v>25</v>
      </c>
      <c r="M314" s="276" t="str">
        <f>MID(Banco[[#This Row],[CtaCtbl]],FIND(" - ",Banco[[#This Row],[CtaCtbl]])+3,40)</f>
        <v>Pago Comisiones</v>
      </c>
      <c r="N314" s="89"/>
      <c r="O314" s="89"/>
    </row>
    <row r="315" spans="1:15" hidden="1">
      <c r="A315" s="302">
        <f>YEAR(Banco[[#This Row],[Fecha]])</f>
        <v>2025</v>
      </c>
      <c r="B315" s="302" t="str">
        <f>PROPER(TEXT(Banco[[#This Row],[Fecha]],"MMMM"))</f>
        <v>Septiembre</v>
      </c>
      <c r="C315" s="303" t="str">
        <f>TEXT(Banco[[#This Row],[Fecha]],"mmm-yyyy")</f>
        <v>sept-2025</v>
      </c>
      <c r="D315" s="261">
        <v>45926</v>
      </c>
      <c r="E315" s="262" t="s">
        <v>15</v>
      </c>
      <c r="G315" s="403">
        <v>0</v>
      </c>
      <c r="H315" s="403">
        <f>Banco[[#This Row],[cargos]]*-1</f>
        <v>0</v>
      </c>
      <c r="I315" s="403">
        <v>9081780</v>
      </c>
      <c r="J315" s="403"/>
      <c r="K315" s="403">
        <f>+Banco[[#This Row],[cargos]]+Banco[[#This Row],[Ingresos]]</f>
        <v>9081780</v>
      </c>
      <c r="L315" s="89" t="s">
        <v>18</v>
      </c>
      <c r="M315" s="276" t="str">
        <f>MID(Banco[[#This Row],[CtaCtbl]],FIND(" - ",Banco[[#This Row],[CtaCtbl]])+3,40)</f>
        <v>Cuota Ordinaria</v>
      </c>
      <c r="N315" s="89"/>
      <c r="O315" s="89"/>
    </row>
    <row r="316" spans="1:15" hidden="1">
      <c r="A316" s="302">
        <f>YEAR(Banco[[#This Row],[Fecha]])</f>
        <v>2025</v>
      </c>
      <c r="B316" s="302" t="str">
        <f>PROPER(TEXT(Banco[[#This Row],[Fecha]],"MMMM"))</f>
        <v>Octubre</v>
      </c>
      <c r="C316" s="303" t="str">
        <f>TEXT(Banco[[#This Row],[Fecha]],"mmm-yyyy")</f>
        <v>oct-2025</v>
      </c>
      <c r="D316" s="261">
        <v>45931</v>
      </c>
      <c r="E316" s="262" t="s">
        <v>24</v>
      </c>
      <c r="G316" s="403">
        <v>-23494</v>
      </c>
      <c r="H316" s="403">
        <f>Banco[[#This Row],[cargos]]*-1</f>
        <v>23494</v>
      </c>
      <c r="I316" s="403">
        <v>0</v>
      </c>
      <c r="J316" s="403"/>
      <c r="K316" s="403">
        <f>+Banco[[#This Row],[cargos]]+Banco[[#This Row],[Ingresos]]</f>
        <v>-23494</v>
      </c>
      <c r="L316" s="89" t="s">
        <v>25</v>
      </c>
      <c r="M316" s="276" t="str">
        <f>MID(Banco[[#This Row],[CtaCtbl]],FIND(" - ",Banco[[#This Row],[CtaCtbl]])+3,40)</f>
        <v>Pago Comisiones</v>
      </c>
      <c r="N316" s="89"/>
      <c r="O316" s="89"/>
    </row>
    <row r="317" spans="1:15" hidden="1">
      <c r="A317" s="302">
        <f>YEAR(Banco[[#This Row],[Fecha]])</f>
        <v>2025</v>
      </c>
      <c r="B317" s="302" t="str">
        <f>PROPER(TEXT(Banco[[#This Row],[Fecha]],"MMMM"))</f>
        <v>Octubre</v>
      </c>
      <c r="C317" s="303" t="str">
        <f>TEXT(Banco[[#This Row],[Fecha]],"mmm-yyyy")</f>
        <v>oct-2025</v>
      </c>
      <c r="D317" s="261">
        <v>45936</v>
      </c>
      <c r="E317" s="262" t="s">
        <v>22</v>
      </c>
      <c r="G317" s="403">
        <v>-350000</v>
      </c>
      <c r="H317" s="403">
        <f>Banco[[#This Row],[cargos]]*-1</f>
        <v>350000</v>
      </c>
      <c r="I317" s="403">
        <v>0</v>
      </c>
      <c r="J317" s="403"/>
      <c r="K317" s="403">
        <f>+Banco[[#This Row],[cargos]]+Banco[[#This Row],[Ingresos]]</f>
        <v>-350000</v>
      </c>
      <c r="L317" s="89" t="s">
        <v>23</v>
      </c>
      <c r="M317" s="276" t="str">
        <f>MID(Banco[[#This Row],[CtaCtbl]],FIND(" - ",Banco[[#This Row],[CtaCtbl]])+3,40)</f>
        <v>Asesoria Legal - Convenio Fijo Mensual</v>
      </c>
      <c r="N317" s="89"/>
      <c r="O317" s="89"/>
    </row>
    <row r="318" spans="1:15" hidden="1">
      <c r="A318" s="302">
        <f>YEAR(Banco[[#This Row],[Fecha]])</f>
        <v>2025</v>
      </c>
      <c r="B318" s="302" t="str">
        <f>PROPER(TEXT(Banco[[#This Row],[Fecha]],"MMMM"))</f>
        <v>Octubre</v>
      </c>
      <c r="C318" s="303" t="str">
        <f>TEXT(Banco[[#This Row],[Fecha]],"mmm-yyyy")</f>
        <v>oct-2025</v>
      </c>
      <c r="D318" s="261">
        <v>45936</v>
      </c>
      <c r="E318" s="262" t="s">
        <v>22</v>
      </c>
      <c r="G318" s="403">
        <v>-350000</v>
      </c>
      <c r="H318" s="403">
        <f>Banco[[#This Row],[cargos]]*-1</f>
        <v>350000</v>
      </c>
      <c r="I318" s="403">
        <v>0</v>
      </c>
      <c r="J318" s="403"/>
      <c r="K318" s="403">
        <f>+Banco[[#This Row],[cargos]]+Banco[[#This Row],[Ingresos]]</f>
        <v>-350000</v>
      </c>
      <c r="L318" s="89" t="s">
        <v>23</v>
      </c>
      <c r="M318" s="276" t="str">
        <f>MID(Banco[[#This Row],[CtaCtbl]],FIND(" - ",Banco[[#This Row],[CtaCtbl]])+3,40)</f>
        <v>Asesoria Legal - Convenio Fijo Mensual</v>
      </c>
      <c r="N318" s="89"/>
      <c r="O318" s="89"/>
    </row>
    <row r="319" spans="1:15" hidden="1">
      <c r="A319" s="302">
        <f>YEAR(Banco[[#This Row],[Fecha]])</f>
        <v>2025</v>
      </c>
      <c r="B319" s="302" t="str">
        <f>PROPER(TEXT(Banco[[#This Row],[Fecha]],"MMMM"))</f>
        <v>Octubre</v>
      </c>
      <c r="C319" s="303" t="str">
        <f>TEXT(Banco[[#This Row],[Fecha]],"mmm-yyyy")</f>
        <v>oct-2025</v>
      </c>
      <c r="D319" s="261">
        <v>45953</v>
      </c>
      <c r="E319" t="s">
        <v>492</v>
      </c>
      <c r="G319" s="403">
        <v>-5793</v>
      </c>
      <c r="H319" s="403">
        <f>Banco[[#This Row],[cargos]]*-1</f>
        <v>5793</v>
      </c>
      <c r="I319" s="403">
        <v>0</v>
      </c>
      <c r="J319" s="403"/>
      <c r="K319" s="403">
        <f>+Banco[[#This Row],[cargos]]+Banco[[#This Row],[Ingresos]]</f>
        <v>-5793</v>
      </c>
      <c r="L319" s="89" t="s">
        <v>41</v>
      </c>
      <c r="M319" s="89" t="str">
        <f>MID(Banco[[#This Row],[CtaCtbl]],FIND(" - ",Banco[[#This Row],[CtaCtbl]])+3,40)</f>
        <v>Taxi, Uber o Similar</v>
      </c>
      <c r="N319" s="89" t="s">
        <v>500</v>
      </c>
      <c r="O319" s="89"/>
    </row>
    <row r="320" spans="1:15" hidden="1">
      <c r="A320" s="302">
        <f>YEAR(Banco[[#This Row],[Fecha]])</f>
        <v>2025</v>
      </c>
      <c r="B320" s="302" t="str">
        <f>PROPER(TEXT(Banco[[#This Row],[Fecha]],"MMMM"))</f>
        <v>Octubre</v>
      </c>
      <c r="C320" s="303" t="str">
        <f>TEXT(Banco[[#This Row],[Fecha]],"mmm-yyyy")</f>
        <v>oct-2025</v>
      </c>
      <c r="D320" s="261">
        <v>45953</v>
      </c>
      <c r="E320" t="s">
        <v>493</v>
      </c>
      <c r="G320" s="403">
        <v>-154283</v>
      </c>
      <c r="H320" s="403">
        <f>Banco[[#This Row],[cargos]]*-1</f>
        <v>154283</v>
      </c>
      <c r="I320" s="403">
        <v>0</v>
      </c>
      <c r="J320" s="403"/>
      <c r="K320" s="403">
        <f>+Banco[[#This Row],[cargos]]+Banco[[#This Row],[Ingresos]]</f>
        <v>-154283</v>
      </c>
      <c r="L320" s="89" t="s">
        <v>499</v>
      </c>
      <c r="M320" s="89" t="str">
        <f>MID(Banco[[#This Row],[CtaCtbl]],FIND(" - ",Banco[[#This Row],[CtaCtbl]])+3,40)</f>
        <v>Comunicaciones</v>
      </c>
      <c r="N320" s="89" t="s">
        <v>501</v>
      </c>
      <c r="O320" s="89"/>
    </row>
    <row r="321" spans="1:15" hidden="1">
      <c r="A321" s="302">
        <f>YEAR(Banco[[#This Row],[Fecha]])</f>
        <v>2025</v>
      </c>
      <c r="B321" s="302" t="str">
        <f>PROPER(TEXT(Banco[[#This Row],[Fecha]],"MMMM"))</f>
        <v>Octubre</v>
      </c>
      <c r="C321" s="303" t="str">
        <f>TEXT(Banco[[#This Row],[Fecha]],"mmm-yyyy")</f>
        <v>oct-2025</v>
      </c>
      <c r="D321" s="261">
        <v>45953</v>
      </c>
      <c r="E321" t="s">
        <v>494</v>
      </c>
      <c r="G321" s="403">
        <v>-300000</v>
      </c>
      <c r="H321" s="403">
        <f>Banco[[#This Row],[cargos]]*-1</f>
        <v>300000</v>
      </c>
      <c r="I321" s="403">
        <v>0</v>
      </c>
      <c r="J321" s="403"/>
      <c r="K321" s="403">
        <f>+Banco[[#This Row],[cargos]]+Banco[[#This Row],[Ingresos]]</f>
        <v>-300000</v>
      </c>
      <c r="L321" s="89" t="s">
        <v>497</v>
      </c>
      <c r="M321" s="89" t="str">
        <f>MID(Banco[[#This Row],[CtaCtbl]],FIND(" - ",Banco[[#This Row],[CtaCtbl]])+3,40)</f>
        <v>Otras Asesorias</v>
      </c>
      <c r="N321" s="89" t="s">
        <v>498</v>
      </c>
      <c r="O321" s="89"/>
    </row>
    <row r="322" spans="1:15" hidden="1">
      <c r="A322" s="302">
        <f>YEAR(Banco[[#This Row],[Fecha]])</f>
        <v>2025</v>
      </c>
      <c r="B322" s="302" t="str">
        <f>PROPER(TEXT(Banco[[#This Row],[Fecha]],"MMMM"))</f>
        <v>Octubre</v>
      </c>
      <c r="C322" s="303" t="str">
        <f>TEXT(Banco[[#This Row],[Fecha]],"mmm-yyyy")</f>
        <v>oct-2025</v>
      </c>
      <c r="D322" s="261">
        <v>45958</v>
      </c>
      <c r="E322" t="s">
        <v>495</v>
      </c>
      <c r="G322" s="403">
        <v>-300000</v>
      </c>
      <c r="H322" s="403">
        <v>9008545</v>
      </c>
      <c r="I322" s="403">
        <v>9008545</v>
      </c>
      <c r="J322" s="403"/>
      <c r="K322" s="403">
        <f>+Banco[[#This Row],[cargos]]+Banco[[#This Row],[Ingresos]]</f>
        <v>8708545</v>
      </c>
      <c r="L322" s="89" t="s">
        <v>497</v>
      </c>
      <c r="M322" s="89" t="str">
        <f>MID(Banco[[#This Row],[CtaCtbl]],FIND(" - ",Banco[[#This Row],[CtaCtbl]])+3,40)</f>
        <v>Otras Asesorias</v>
      </c>
      <c r="N322" s="89" t="s">
        <v>498</v>
      </c>
      <c r="O322" s="89"/>
    </row>
    <row r="323" spans="1:15" hidden="1">
      <c r="A323" s="302">
        <f>YEAR(Banco[[#This Row],[Fecha]])</f>
        <v>2025</v>
      </c>
      <c r="B323" s="302" t="str">
        <f>PROPER(TEXT(Banco[[#This Row],[Fecha]],"MMMM"))</f>
        <v>Octubre</v>
      </c>
      <c r="C323" s="303" t="str">
        <f>TEXT(Banco[[#This Row],[Fecha]],"mmm-yyyy")</f>
        <v>oct-2025</v>
      </c>
      <c r="D323" s="261">
        <v>45958</v>
      </c>
      <c r="E323" t="s">
        <v>79</v>
      </c>
      <c r="G323" s="403">
        <v>-20000000</v>
      </c>
      <c r="H323" s="403">
        <f>Banco[[#This Row],[cargos]]*-1</f>
        <v>20000000</v>
      </c>
      <c r="I323" s="403">
        <v>0</v>
      </c>
      <c r="J323" s="403"/>
      <c r="K323" s="403">
        <f>+Banco[[#This Row],[cargos]]+Banco[[#This Row],[Ingresos]]</f>
        <v>-20000000</v>
      </c>
      <c r="L323" s="89" t="s">
        <v>155</v>
      </c>
      <c r="M323" s="89" t="str">
        <f>MID(Banco[[#This Row],[CtaCtbl]],FIND(" - ",Banco[[#This Row],[CtaCtbl]])+3,40)</f>
        <v>Depositos a Plazo</v>
      </c>
      <c r="N323" s="89" t="s">
        <v>496</v>
      </c>
      <c r="O323" s="89"/>
    </row>
    <row r="324" spans="1:15" hidden="1">
      <c r="A324" s="302">
        <f>YEAR(Banco[[#This Row],[Fecha]])</f>
        <v>2025</v>
      </c>
      <c r="B324" s="302" t="str">
        <f>PROPER(TEXT(Banco[[#This Row],[Fecha]],"MMMM"))</f>
        <v>Noviembre</v>
      </c>
      <c r="C324" s="303" t="str">
        <f>TEXT(Banco[[#This Row],[Fecha]],"mmm-yyyy")</f>
        <v>nov-2025</v>
      </c>
      <c r="D324" s="261">
        <v>45964</v>
      </c>
      <c r="E324" t="s">
        <v>24</v>
      </c>
      <c r="G324" s="403">
        <v>-23569</v>
      </c>
      <c r="H324" s="403">
        <f>Banco[[#This Row],[cargos]]*-1</f>
        <v>23569</v>
      </c>
      <c r="I324" s="403">
        <v>0</v>
      </c>
      <c r="J324" s="403"/>
      <c r="K324" s="403">
        <f>+Banco[[#This Row],[cargos]]+Banco[[#This Row],[Ingresos]]</f>
        <v>-23569</v>
      </c>
      <c r="L324" s="89" t="s">
        <v>25</v>
      </c>
      <c r="M324" s="89" t="str">
        <f>MID(Banco[[#This Row],[CtaCtbl]],FIND(" - ",Banco[[#This Row],[CtaCtbl]])+3,40)</f>
        <v>Pago Comisiones</v>
      </c>
      <c r="N324" s="89"/>
      <c r="O324" s="89"/>
    </row>
    <row r="325" spans="1:15" hidden="1">
      <c r="A325" s="302">
        <f>YEAR(Banco[[#This Row],[Fecha]])</f>
        <v>2025</v>
      </c>
      <c r="B325" s="302" t="str">
        <f>PROPER(TEXT(Banco[[#This Row],[Fecha]],"MMMM"))</f>
        <v>Noviembre</v>
      </c>
      <c r="C325" s="303" t="str">
        <f>TEXT(Banco[[#This Row],[Fecha]],"mmm-yyyy")</f>
        <v>nov-2025</v>
      </c>
      <c r="D325" s="261">
        <v>45971</v>
      </c>
      <c r="E325" s="262" t="s">
        <v>503</v>
      </c>
      <c r="G325" s="403">
        <v>-158679</v>
      </c>
      <c r="H325" s="403">
        <f>Banco[[#This Row],[cargos]]*-1</f>
        <v>158679</v>
      </c>
      <c r="I325" s="403">
        <v>0</v>
      </c>
      <c r="J325" s="403"/>
      <c r="K325" s="403">
        <f>+Banco[[#This Row],[cargos]]+Banco[[#This Row],[Ingresos]]</f>
        <v>-158679</v>
      </c>
      <c r="L325" s="89" t="s">
        <v>504</v>
      </c>
      <c r="M325" s="89" t="str">
        <f>MID(Banco[[#This Row],[CtaCtbl]],FIND(" - ",Banco[[#This Row],[CtaCtbl]])+3,40)</f>
        <v>Sitio corporativo web</v>
      </c>
      <c r="N325" s="89"/>
      <c r="O325" s="89"/>
    </row>
    <row r="326" spans="1:15" hidden="1">
      <c r="A326" s="302">
        <f>YEAR(Banco[[#This Row],[Fecha]])</f>
        <v>2025</v>
      </c>
      <c r="B326" s="302" t="str">
        <f>PROPER(TEXT(Banco[[#This Row],[Fecha]],"MMMM"))</f>
        <v>Noviembre</v>
      </c>
      <c r="C326" s="303" t="str">
        <f>TEXT(Banco[[#This Row],[Fecha]],"mmm-yyyy")</f>
        <v>nov-2025</v>
      </c>
      <c r="D326" s="261">
        <v>45978</v>
      </c>
      <c r="E326" s="262" t="s">
        <v>503</v>
      </c>
      <c r="G326" s="403">
        <v>-48473</v>
      </c>
      <c r="H326" s="403">
        <f>Banco[[#This Row],[cargos]]*-1</f>
        <v>48473</v>
      </c>
      <c r="I326" s="403">
        <v>0</v>
      </c>
      <c r="J326" s="403"/>
      <c r="K326" s="403">
        <f>+Banco[[#This Row],[cargos]]+Banco[[#This Row],[Ingresos]]</f>
        <v>-48473</v>
      </c>
      <c r="L326" s="89" t="s">
        <v>504</v>
      </c>
      <c r="M326" s="89" t="str">
        <f>MID(Banco[[#This Row],[CtaCtbl]],FIND(" - ",Banco[[#This Row],[CtaCtbl]])+3,40)</f>
        <v>Sitio corporativo web</v>
      </c>
      <c r="N326" s="89"/>
      <c r="O326" s="89"/>
    </row>
    <row r="327" spans="1:15" hidden="1">
      <c r="A327" s="302">
        <f>YEAR(Banco[[#This Row],[Fecha]])</f>
        <v>2025</v>
      </c>
      <c r="B327" s="302" t="str">
        <f>PROPER(TEXT(Banco[[#This Row],[Fecha]],"MMMM"))</f>
        <v>Noviembre</v>
      </c>
      <c r="C327" s="303" t="str">
        <f>TEXT(Banco[[#This Row],[Fecha]],"mmm-yyyy")</f>
        <v>nov-2025</v>
      </c>
      <c r="D327" s="261">
        <v>45987</v>
      </c>
      <c r="E327" s="262" t="s">
        <v>29</v>
      </c>
      <c r="G327" s="403">
        <v>-6294</v>
      </c>
      <c r="H327" s="403">
        <f>Banco[[#This Row],[cargos]]*-1</f>
        <v>6294</v>
      </c>
      <c r="I327" s="403">
        <v>0</v>
      </c>
      <c r="J327" s="403"/>
      <c r="K327" s="403">
        <f>+Banco[[#This Row],[cargos]]+Banco[[#This Row],[Ingresos]]</f>
        <v>-6294</v>
      </c>
      <c r="L327" s="89" t="s">
        <v>41</v>
      </c>
      <c r="M327" s="89" t="str">
        <f>MID(Banco[[#This Row],[CtaCtbl]],FIND(" - ",Banco[[#This Row],[CtaCtbl]])+3,40)</f>
        <v>Taxi, Uber o Similar</v>
      </c>
      <c r="N327" s="89"/>
      <c r="O327" s="89"/>
    </row>
    <row r="328" spans="1:15" hidden="1">
      <c r="A328" s="302">
        <f>YEAR(Banco[[#This Row],[Fecha]])</f>
        <v>2025</v>
      </c>
      <c r="B328" s="302" t="str">
        <f>PROPER(TEXT(Banco[[#This Row],[Fecha]],"MMMM"))</f>
        <v>Noviembre</v>
      </c>
      <c r="C328" s="303" t="str">
        <f>TEXT(Banco[[#This Row],[Fecha]],"mmm-yyyy")</f>
        <v>nov-2025</v>
      </c>
      <c r="D328" s="261">
        <v>45988</v>
      </c>
      <c r="E328" s="262" t="s">
        <v>15</v>
      </c>
      <c r="G328" s="403">
        <v>0</v>
      </c>
      <c r="H328" s="403">
        <f>Banco[[#This Row],[cargos]]*-1</f>
        <v>0</v>
      </c>
      <c r="I328" s="403">
        <v>8959544</v>
      </c>
      <c r="J328" s="403"/>
      <c r="K328" s="403">
        <f>+Banco[[#This Row],[cargos]]+Banco[[#This Row],[Ingresos]]</f>
        <v>8959544</v>
      </c>
      <c r="L328" s="89" t="s">
        <v>18</v>
      </c>
      <c r="M328" s="89" t="str">
        <f>MID(Banco[[#This Row],[CtaCtbl]],FIND(" - ",Banco[[#This Row],[CtaCtbl]])+3,40)</f>
        <v>Cuota Ordinaria</v>
      </c>
      <c r="N328" s="89"/>
      <c r="O328" s="89"/>
    </row>
    <row r="329" spans="1:15">
      <c r="A329" s="302">
        <f>YEAR(Banco[[#This Row],[Fecha]])</f>
        <v>2025</v>
      </c>
      <c r="B329" s="302" t="str">
        <f>PROPER(TEXT(Banco[[#This Row],[Fecha]],"MMMM"))</f>
        <v>Diciembre</v>
      </c>
      <c r="C329" s="303" t="str">
        <f>TEXT(Banco[[#This Row],[Fecha]],"mmm-yyyy")</f>
        <v>dic-2025</v>
      </c>
      <c r="D329" s="261">
        <v>45992</v>
      </c>
      <c r="E329" s="262" t="s">
        <v>24</v>
      </c>
      <c r="G329" s="403">
        <v>-23588</v>
      </c>
      <c r="H329" s="403">
        <f>Banco[[#This Row],[cargos]]*-1</f>
        <v>23588</v>
      </c>
      <c r="I329" s="403">
        <v>0</v>
      </c>
      <c r="J329" s="403"/>
      <c r="K329" s="403">
        <f>+Banco[[#This Row],[cargos]]+Banco[[#This Row],[Ingresos]]</f>
        <v>-23588</v>
      </c>
      <c r="L329" s="89" t="s">
        <v>25</v>
      </c>
      <c r="M329" s="89" t="str">
        <f>MID(Banco[[#This Row],[CtaCtbl]],FIND(" - ",Banco[[#This Row],[CtaCtbl]])+3,40)</f>
        <v>Pago Comisiones</v>
      </c>
      <c r="N329" s="89"/>
      <c r="O329" s="89"/>
    </row>
    <row r="330" spans="1:15">
      <c r="A330" s="302">
        <f>YEAR(Banco[[#This Row],[Fecha]])</f>
        <v>2025</v>
      </c>
      <c r="B330" s="302" t="str">
        <f>PROPER(TEXT(Banco[[#This Row],[Fecha]],"MMMM"))</f>
        <v>Diciembre</v>
      </c>
      <c r="C330" s="303" t="str">
        <f>TEXT(Banco[[#This Row],[Fecha]],"mmm-yyyy")</f>
        <v>dic-2025</v>
      </c>
      <c r="D330" s="261">
        <v>46002</v>
      </c>
      <c r="E330" s="262" t="s">
        <v>22</v>
      </c>
      <c r="G330" s="403">
        <v>-350000</v>
      </c>
      <c r="H330" s="403">
        <f>Banco[[#This Row],[cargos]]*-1</f>
        <v>350000</v>
      </c>
      <c r="I330" s="403">
        <v>0</v>
      </c>
      <c r="J330" s="403"/>
      <c r="K330" s="403">
        <f>+Banco[[#This Row],[cargos]]+Banco[[#This Row],[Ingresos]]</f>
        <v>-350000</v>
      </c>
      <c r="L330" s="89" t="s">
        <v>23</v>
      </c>
      <c r="M330" s="89" t="str">
        <f>MID(Banco[[#This Row],[CtaCtbl]],FIND(" - ",Banco[[#This Row],[CtaCtbl]])+3,40)</f>
        <v>Asesoria Legal - Convenio Fijo Mensual</v>
      </c>
      <c r="N330" s="89"/>
      <c r="O330" s="89"/>
    </row>
    <row r="331" spans="1:15">
      <c r="A331" s="302">
        <f>YEAR(Banco[[#This Row],[Fecha]])</f>
        <v>2025</v>
      </c>
      <c r="B331" s="302" t="str">
        <f>PROPER(TEXT(Banco[[#This Row],[Fecha]],"MMMM"))</f>
        <v>Diciembre</v>
      </c>
      <c r="C331" s="303" t="str">
        <f>TEXT(Banco[[#This Row],[Fecha]],"mmm-yyyy")</f>
        <v>dic-2025</v>
      </c>
      <c r="D331" s="261">
        <v>46002</v>
      </c>
      <c r="E331" s="262" t="s">
        <v>22</v>
      </c>
      <c r="G331" s="403">
        <v>-350000</v>
      </c>
      <c r="H331" s="403">
        <f>Banco[[#This Row],[cargos]]*-1</f>
        <v>350000</v>
      </c>
      <c r="I331" s="403">
        <v>0</v>
      </c>
      <c r="J331" s="403"/>
      <c r="K331" s="403">
        <f>+Banco[[#This Row],[cargos]]+Banco[[#This Row],[Ingresos]]</f>
        <v>-350000</v>
      </c>
      <c r="L331" s="89" t="s">
        <v>23</v>
      </c>
      <c r="M331" s="89" t="str">
        <f>MID(Banco[[#This Row],[CtaCtbl]],FIND(" - ",Banco[[#This Row],[CtaCtbl]])+3,40)</f>
        <v>Asesoria Legal - Convenio Fijo Mensual</v>
      </c>
      <c r="N331" s="89"/>
      <c r="O331" s="89"/>
    </row>
    <row r="332" spans="1:15">
      <c r="A332" s="302">
        <f>YEAR(Banco[[#This Row],[Fecha]])</f>
        <v>2025</v>
      </c>
      <c r="B332" s="302" t="str">
        <f>PROPER(TEXT(Banco[[#This Row],[Fecha]],"MMMM"))</f>
        <v>Diciembre</v>
      </c>
      <c r="C332" s="303" t="str">
        <f>TEXT(Banco[[#This Row],[Fecha]],"mmm-yyyy")</f>
        <v>dic-2025</v>
      </c>
      <c r="D332" s="261">
        <v>46002</v>
      </c>
      <c r="E332" s="262" t="s">
        <v>22</v>
      </c>
      <c r="G332" s="403">
        <v>-350000</v>
      </c>
      <c r="H332" s="403">
        <f>Banco[[#This Row],[cargos]]*-1</f>
        <v>350000</v>
      </c>
      <c r="I332" s="403">
        <v>0</v>
      </c>
      <c r="J332" s="403"/>
      <c r="K332" s="403">
        <f>+Banco[[#This Row],[cargos]]+Banco[[#This Row],[Ingresos]]</f>
        <v>-350000</v>
      </c>
      <c r="L332" s="89" t="s">
        <v>23</v>
      </c>
      <c r="M332" s="89" t="str">
        <f>MID(Banco[[#This Row],[CtaCtbl]],FIND(" - ",Banco[[#This Row],[CtaCtbl]])+3,40)</f>
        <v>Asesoria Legal - Convenio Fijo Mensual</v>
      </c>
      <c r="N332" s="89"/>
      <c r="O332" s="89"/>
    </row>
    <row r="333" spans="1:15">
      <c r="A333" s="302">
        <f>YEAR(Banco[[#This Row],[Fecha]])</f>
        <v>2025</v>
      </c>
      <c r="B333" s="302" t="str">
        <f>PROPER(TEXT(Banco[[#This Row],[Fecha]],"MMMM"))</f>
        <v>Diciembre</v>
      </c>
      <c r="C333" s="303" t="str">
        <f>TEXT(Banco[[#This Row],[Fecha]],"mmm-yyyy")</f>
        <v>dic-2025</v>
      </c>
      <c r="D333" s="261">
        <v>46002</v>
      </c>
      <c r="E333" s="262" t="s">
        <v>22</v>
      </c>
      <c r="G333" s="403">
        <v>-350000</v>
      </c>
      <c r="H333" s="403">
        <f>Banco[[#This Row],[cargos]]*-1</f>
        <v>350000</v>
      </c>
      <c r="I333" s="403">
        <v>0</v>
      </c>
      <c r="J333" s="403"/>
      <c r="K333" s="403">
        <f>+Banco[[#This Row],[cargos]]+Banco[[#This Row],[Ingresos]]</f>
        <v>-350000</v>
      </c>
      <c r="L333" s="89" t="s">
        <v>23</v>
      </c>
      <c r="M333" s="89" t="str">
        <f>MID(Banco[[#This Row],[CtaCtbl]],FIND(" - ",Banco[[#This Row],[CtaCtbl]])+3,40)</f>
        <v>Asesoria Legal - Convenio Fijo Mensual</v>
      </c>
      <c r="N333" s="89"/>
      <c r="O333" s="89"/>
    </row>
    <row r="334" spans="1:15">
      <c r="A334" s="302">
        <f>YEAR(Banco[[#This Row],[Fecha]])</f>
        <v>2025</v>
      </c>
      <c r="B334" s="302" t="str">
        <f>PROPER(TEXT(Banco[[#This Row],[Fecha]],"MMMM"))</f>
        <v>Diciembre</v>
      </c>
      <c r="C334" s="303" t="str">
        <f>TEXT(Banco[[#This Row],[Fecha]],"mmm-yyyy")</f>
        <v>dic-2025</v>
      </c>
      <c r="D334" s="261">
        <v>46002</v>
      </c>
      <c r="E334" s="262" t="s">
        <v>505</v>
      </c>
      <c r="G334" s="403">
        <v>-500000</v>
      </c>
      <c r="H334" s="403">
        <f>Banco[[#This Row],[cargos]]*-1</f>
        <v>500000</v>
      </c>
      <c r="I334" s="403">
        <v>0</v>
      </c>
      <c r="J334" s="403"/>
      <c r="K334" s="403">
        <f>+Banco[[#This Row],[cargos]]+Banco[[#This Row],[Ingresos]]</f>
        <v>-500000</v>
      </c>
      <c r="L334" s="252" t="s">
        <v>535</v>
      </c>
      <c r="M334" s="89" t="str">
        <f>MID(Banco[[#This Row],[CtaCtbl]],FIND(" - ",Banco[[#This Row],[CtaCtbl]])+3,40)</f>
        <v>Regalo Corportivo (Aniversario)</v>
      </c>
      <c r="N334" s="89"/>
      <c r="O334" s="89"/>
    </row>
    <row r="335" spans="1:15">
      <c r="A335" s="302">
        <f>YEAR(Banco[[#This Row],[Fecha]])</f>
        <v>2025</v>
      </c>
      <c r="B335" s="302" t="str">
        <f>PROPER(TEXT(Banco[[#This Row],[Fecha]],"MMMM"))</f>
        <v>Diciembre</v>
      </c>
      <c r="C335" s="303" t="str">
        <f>TEXT(Banco[[#This Row],[Fecha]],"mmm-yyyy")</f>
        <v>dic-2025</v>
      </c>
      <c r="D335" s="261">
        <v>46003</v>
      </c>
      <c r="E335" s="262" t="s">
        <v>505</v>
      </c>
      <c r="G335" s="403">
        <v>-5000000</v>
      </c>
      <c r="H335" s="403">
        <f>Banco[[#This Row],[cargos]]*-1</f>
        <v>5000000</v>
      </c>
      <c r="I335" s="403">
        <v>0</v>
      </c>
      <c r="J335" s="403"/>
      <c r="K335" s="403">
        <f>+Banco[[#This Row],[cargos]]+Banco[[#This Row],[Ingresos]]</f>
        <v>-5000000</v>
      </c>
      <c r="L335" s="252" t="s">
        <v>535</v>
      </c>
      <c r="M335" s="89" t="str">
        <f>MID(Banco[[#This Row],[CtaCtbl]],FIND(" - ",Banco[[#This Row],[CtaCtbl]])+3,40)</f>
        <v>Regalo Corportivo (Aniversario)</v>
      </c>
      <c r="N335" s="89"/>
      <c r="O335" s="89"/>
    </row>
    <row r="336" spans="1:15">
      <c r="A336" s="302">
        <f>YEAR(Banco[[#This Row],[Fecha]])</f>
        <v>2025</v>
      </c>
      <c r="B336" s="302" t="str">
        <f>PROPER(TEXT(Banco[[#This Row],[Fecha]],"MMMM"))</f>
        <v>Diciembre</v>
      </c>
      <c r="C336" s="303" t="str">
        <f>TEXT(Banco[[#This Row],[Fecha]],"mmm-yyyy")</f>
        <v>dic-2025</v>
      </c>
      <c r="D336" s="261">
        <v>46003</v>
      </c>
      <c r="E336" s="262" t="s">
        <v>505</v>
      </c>
      <c r="G336" s="403">
        <v>-5000000</v>
      </c>
      <c r="H336" s="403">
        <f>Banco[[#This Row],[cargos]]*-1</f>
        <v>5000000</v>
      </c>
      <c r="I336" s="403">
        <v>0</v>
      </c>
      <c r="J336" s="403"/>
      <c r="K336" s="403">
        <f>+Banco[[#This Row],[cargos]]+Banco[[#This Row],[Ingresos]]</f>
        <v>-5000000</v>
      </c>
      <c r="L336" s="252" t="s">
        <v>535</v>
      </c>
      <c r="M336" s="89" t="str">
        <f>MID(Banco[[#This Row],[CtaCtbl]],FIND(" - ",Banco[[#This Row],[CtaCtbl]])+3,40)</f>
        <v>Regalo Corportivo (Aniversario)</v>
      </c>
      <c r="N336" s="89"/>
      <c r="O336" s="89"/>
    </row>
    <row r="337" spans="1:15">
      <c r="A337" s="302">
        <f>YEAR(Banco[[#This Row],[Fecha]])</f>
        <v>2025</v>
      </c>
      <c r="B337" s="302" t="str">
        <f>PROPER(TEXT(Banco[[#This Row],[Fecha]],"MMMM"))</f>
        <v>Diciembre</v>
      </c>
      <c r="C337" s="303" t="str">
        <f>TEXT(Banco[[#This Row],[Fecha]],"mmm-yyyy")</f>
        <v>dic-2025</v>
      </c>
      <c r="D337" s="261">
        <v>46003</v>
      </c>
      <c r="E337" s="262" t="s">
        <v>505</v>
      </c>
      <c r="G337" s="403">
        <v>-5000000</v>
      </c>
      <c r="H337" s="403">
        <f>Banco[[#This Row],[cargos]]*-1</f>
        <v>5000000</v>
      </c>
      <c r="I337" s="403">
        <v>0</v>
      </c>
      <c r="J337" s="403"/>
      <c r="K337" s="403">
        <f>+Banco[[#This Row],[cargos]]+Banco[[#This Row],[Ingresos]]</f>
        <v>-5000000</v>
      </c>
      <c r="L337" s="252" t="s">
        <v>535</v>
      </c>
      <c r="M337" s="89" t="str">
        <f>MID(Banco[[#This Row],[CtaCtbl]],FIND(" - ",Banco[[#This Row],[CtaCtbl]])+3,40)</f>
        <v>Regalo Corportivo (Aniversario)</v>
      </c>
      <c r="N337" s="89"/>
      <c r="O337" s="89"/>
    </row>
    <row r="338" spans="1:15">
      <c r="A338" s="302">
        <f>YEAR(Banco[[#This Row],[Fecha]])</f>
        <v>2025</v>
      </c>
      <c r="B338" s="302" t="str">
        <f>PROPER(TEXT(Banco[[#This Row],[Fecha]],"MMMM"))</f>
        <v>Diciembre</v>
      </c>
      <c r="C338" s="303" t="str">
        <f>TEXT(Banco[[#This Row],[Fecha]],"mmm-yyyy")</f>
        <v>dic-2025</v>
      </c>
      <c r="D338" s="261">
        <v>46003</v>
      </c>
      <c r="E338" s="262" t="s">
        <v>505</v>
      </c>
      <c r="G338" s="403">
        <v>-1457600</v>
      </c>
      <c r="H338" s="403">
        <f>Banco[[#This Row],[cargos]]*-1</f>
        <v>1457600</v>
      </c>
      <c r="I338" s="403">
        <v>0</v>
      </c>
      <c r="J338" s="403"/>
      <c r="K338" s="403">
        <f>+Banco[[#This Row],[cargos]]+Banco[[#This Row],[Ingresos]]</f>
        <v>-1457600</v>
      </c>
      <c r="L338" s="252" t="s">
        <v>535</v>
      </c>
      <c r="M338" s="89" t="str">
        <f>MID(Banco[[#This Row],[CtaCtbl]],FIND(" - ",Banco[[#This Row],[CtaCtbl]])+3,40)</f>
        <v>Regalo Corportivo (Aniversario)</v>
      </c>
      <c r="N338" s="89"/>
      <c r="O338" s="89"/>
    </row>
    <row r="339" spans="1:15">
      <c r="A339" s="302">
        <f>YEAR(Banco[[#This Row],[Fecha]])</f>
        <v>2025</v>
      </c>
      <c r="B339" s="302" t="str">
        <f>PROPER(TEXT(Banco[[#This Row],[Fecha]],"MMMM"))</f>
        <v>Diciembre</v>
      </c>
      <c r="C339" s="303" t="str">
        <f>TEXT(Banco[[#This Row],[Fecha]],"mmm-yyyy")</f>
        <v>dic-2025</v>
      </c>
      <c r="D339" s="261">
        <v>46006</v>
      </c>
      <c r="E339" s="262" t="s">
        <v>29</v>
      </c>
      <c r="G339" s="403">
        <v>-39500</v>
      </c>
      <c r="H339" s="403">
        <f>Banco[[#This Row],[cargos]]*-1</f>
        <v>39500</v>
      </c>
      <c r="I339" s="403">
        <v>0</v>
      </c>
      <c r="J339" s="403"/>
      <c r="K339" s="403">
        <f>+Banco[[#This Row],[cargos]]+Banco[[#This Row],[Ingresos]]</f>
        <v>-39500</v>
      </c>
      <c r="L339" s="89" t="s">
        <v>94</v>
      </c>
      <c r="M339" s="89" t="str">
        <f>MID(Banco[[#This Row],[CtaCtbl]],FIND(" - ",Banco[[#This Row],[CtaCtbl]])+3,40)</f>
        <v>Coronas de Caridad Condolencias</v>
      </c>
      <c r="N339" s="89" t="s">
        <v>506</v>
      </c>
      <c r="O339" s="89"/>
    </row>
    <row r="340" spans="1:15">
      <c r="A340" s="302">
        <f>YEAR(Banco[[#This Row],[Fecha]])</f>
        <v>2025</v>
      </c>
      <c r="B340" s="302" t="str">
        <f>PROPER(TEXT(Banco[[#This Row],[Fecha]],"MMMM"))</f>
        <v>Diciembre</v>
      </c>
      <c r="C340" s="303" t="str">
        <f>TEXT(Banco[[#This Row],[Fecha]],"mmm-yyyy")</f>
        <v>dic-2025</v>
      </c>
      <c r="D340" s="261">
        <v>46017</v>
      </c>
      <c r="E340" s="262" t="s">
        <v>15</v>
      </c>
      <c r="G340" s="403">
        <v>0</v>
      </c>
      <c r="H340" s="403">
        <f>Banco[[#This Row],[cargos]]*-1</f>
        <v>0</v>
      </c>
      <c r="I340" s="403">
        <v>8938800</v>
      </c>
      <c r="J340" s="403"/>
      <c r="K340" s="403">
        <f>+Banco[[#This Row],[cargos]]+Banco[[#This Row],[Ingresos]]</f>
        <v>8938800</v>
      </c>
      <c r="L340" s="89" t="s">
        <v>18</v>
      </c>
      <c r="M340" s="89" t="str">
        <f>MID(Banco[[#This Row],[CtaCtbl]],FIND(" - ",Banco[[#This Row],[CtaCtbl]])+3,40)</f>
        <v>Cuota Ordinaria</v>
      </c>
      <c r="N340" s="89"/>
      <c r="O340" s="89"/>
    </row>
    <row r="341" spans="1:15">
      <c r="A341" s="302">
        <f>YEAR(Banco[[#This Row],[Fecha]])</f>
        <v>2026</v>
      </c>
      <c r="B341" s="302" t="str">
        <f>PROPER(TEXT(Banco[[#This Row],[Fecha]],"MMMM"))</f>
        <v>Enero</v>
      </c>
      <c r="C341" s="303" t="str">
        <f>TEXT(Banco[[#This Row],[Fecha]],"mmm-yyyy")</f>
        <v>ene-2026</v>
      </c>
      <c r="D341" s="261">
        <v>46024</v>
      </c>
      <c r="E341" t="s">
        <v>24</v>
      </c>
      <c r="G341" s="403">
        <v>-23643</v>
      </c>
      <c r="H341" s="403">
        <f>Banco[[#This Row],[cargos]]*-1</f>
        <v>23643</v>
      </c>
      <c r="I341" s="403">
        <v>0</v>
      </c>
      <c r="J341" s="403"/>
      <c r="K341" s="403">
        <f>+Banco[[#This Row],[cargos]]+Banco[[#This Row],[Ingresos]]</f>
        <v>-23643</v>
      </c>
      <c r="L341" s="89" t="s">
        <v>25</v>
      </c>
      <c r="M341" s="89" t="str">
        <f>MID(Banco[[#This Row],[CtaCtbl]],FIND(" - ",Banco[[#This Row],[CtaCtbl]])+3,40)</f>
        <v>Pago Comisiones</v>
      </c>
      <c r="N341" s="89"/>
      <c r="O341" s="89"/>
    </row>
    <row r="342" spans="1:15">
      <c r="A342" s="302">
        <f>YEAR(Banco[[#This Row],[Fecha]])</f>
        <v>2026</v>
      </c>
      <c r="B342" s="302" t="str">
        <f>PROPER(TEXT(Banco[[#This Row],[Fecha]],"MMMM"))</f>
        <v>Enero</v>
      </c>
      <c r="C342" s="303" t="str">
        <f>TEXT(Banco[[#This Row],[Fecha]],"mmm-yyyy")</f>
        <v>ene-2026</v>
      </c>
      <c r="D342" s="261">
        <v>46050</v>
      </c>
      <c r="E342" s="262" t="s">
        <v>15</v>
      </c>
      <c r="G342" s="403">
        <v>0</v>
      </c>
      <c r="H342" s="403">
        <f>Banco[[#This Row],[cargos]]*-1</f>
        <v>0</v>
      </c>
      <c r="I342" s="403">
        <v>8933850</v>
      </c>
      <c r="J342" s="403"/>
      <c r="K342" s="403">
        <f>+Banco[[#This Row],[cargos]]+Banco[[#This Row],[Ingresos]]</f>
        <v>8933850</v>
      </c>
      <c r="L342" s="89" t="s">
        <v>18</v>
      </c>
      <c r="M342" s="89" t="str">
        <f>MID(Banco[[#This Row],[CtaCtbl]],FIND(" - ",Banco[[#This Row],[CtaCtbl]])+3,40)</f>
        <v>Cuota Ordinaria</v>
      </c>
      <c r="N342" s="89"/>
      <c r="O342" s="89"/>
    </row>
    <row r="343" spans="1:15">
      <c r="A343" s="302">
        <f>YEAR(Banco[[#This Row],[Fecha]])</f>
        <v>2026</v>
      </c>
      <c r="B343" s="302" t="str">
        <f>PROPER(TEXT(Banco[[#This Row],[Fecha]],"MMMM"))</f>
        <v>Febrero</v>
      </c>
      <c r="C343" s="303" t="str">
        <f>TEXT(Banco[[#This Row],[Fecha]],"mmm-yyyy")</f>
        <v>feb-2026</v>
      </c>
      <c r="D343" s="261">
        <v>46055</v>
      </c>
      <c r="E343" t="s">
        <v>24</v>
      </c>
      <c r="G343" s="403">
        <v>-23622</v>
      </c>
      <c r="H343" s="403">
        <f>Banco[[#This Row],[cargos]]*-1</f>
        <v>23622</v>
      </c>
      <c r="I343" s="403">
        <v>0</v>
      </c>
      <c r="J343" s="403"/>
      <c r="K343" s="403">
        <f>+Banco[[#This Row],[cargos]]+Banco[[#This Row],[Ingresos]]</f>
        <v>-23622</v>
      </c>
      <c r="L343" s="89" t="s">
        <v>25</v>
      </c>
      <c r="M343" s="89" t="str">
        <f>MID(Banco[[#This Row],[CtaCtbl]],FIND(" - ",Banco[[#This Row],[CtaCtbl]])+3,40)</f>
        <v>Pago Comisiones</v>
      </c>
      <c r="N343" s="89"/>
      <c r="O343" s="89"/>
    </row>
    <row r="344" spans="1:15">
      <c r="A344" s="302">
        <f>YEAR(Banco[[#This Row],[Fecha]])</f>
        <v>2026</v>
      </c>
      <c r="B344" s="302" t="str">
        <f>PROPER(TEXT(Banco[[#This Row],[Fecha]],"MMMM"))</f>
        <v>Febrero</v>
      </c>
      <c r="C344" s="303" t="str">
        <f>TEXT(Banco[[#This Row],[Fecha]],"mmm-yyyy")</f>
        <v>feb-2026</v>
      </c>
      <c r="D344" s="261">
        <v>46080</v>
      </c>
      <c r="E344" s="262" t="s">
        <v>15</v>
      </c>
      <c r="G344" s="403">
        <v>0</v>
      </c>
      <c r="H344" s="403">
        <f>Banco[[#This Row],[cargos]]*-1</f>
        <v>0</v>
      </c>
      <c r="I344" s="403">
        <v>8455375</v>
      </c>
      <c r="J344" s="403"/>
      <c r="K344" s="403">
        <f>+Banco[[#This Row],[cargos]]+Banco[[#This Row],[Ingresos]]</f>
        <v>8455375</v>
      </c>
      <c r="L344" s="89" t="s">
        <v>18</v>
      </c>
      <c r="M344" s="89" t="str">
        <f>MID(Banco[[#This Row],[CtaCtbl]],FIND(" - ",Banco[[#This Row],[CtaCtbl]])+3,40)</f>
        <v>Cuota Ordinaria</v>
      </c>
      <c r="N344" s="89"/>
      <c r="O344" s="89"/>
    </row>
    <row r="345" spans="1:15">
      <c r="A345" s="302">
        <f>YEAR(Banco[[#This Row],[Fecha]])</f>
        <v>2026</v>
      </c>
      <c r="B345" s="302" t="str">
        <f>PROPER(TEXT(Banco[[#This Row],[Fecha]],"MMMM"))</f>
        <v>Marzo</v>
      </c>
      <c r="C345" s="303" t="str">
        <f>TEXT(Banco[[#This Row],[Fecha]],"mmm-yyyy")</f>
        <v>mar-2026</v>
      </c>
      <c r="D345" s="261">
        <v>46083</v>
      </c>
      <c r="G345" s="403">
        <v>0</v>
      </c>
      <c r="H345" s="403">
        <f>Banco[[#This Row],[cargos]]*-1</f>
        <v>0</v>
      </c>
      <c r="I345" s="403">
        <v>350000</v>
      </c>
      <c r="J345" s="403"/>
      <c r="K345" s="403">
        <f>+Banco[[#This Row],[cargos]]+Banco[[#This Row],[Ingresos]]</f>
        <v>350000</v>
      </c>
      <c r="L345" s="89" t="s">
        <v>161</v>
      </c>
      <c r="M345" s="89" t="str">
        <f>MID(Banco[[#This Row],[CtaCtbl]],FIND(" - ",Banco[[#This Row],[CtaCtbl]])+3,40)</f>
        <v>Restitución Fondos / Rechazo Depositos</v>
      </c>
      <c r="N345" s="89"/>
      <c r="O345" s="89"/>
    </row>
    <row r="346" spans="1:15">
      <c r="A346" s="302">
        <f>YEAR(Banco[[#This Row],[Fecha]])</f>
        <v>2026</v>
      </c>
      <c r="B346" s="302" t="str">
        <f>PROPER(TEXT(Banco[[#This Row],[Fecha]],"MMMM"))</f>
        <v>Marzo</v>
      </c>
      <c r="C346" s="303" t="str">
        <f>TEXT(Banco[[#This Row],[Fecha]],"mmm-yyyy")</f>
        <v>mar-2026</v>
      </c>
      <c r="D346" s="261">
        <v>46083</v>
      </c>
      <c r="E346" t="s">
        <v>24</v>
      </c>
      <c r="G346" s="403">
        <v>-23682</v>
      </c>
      <c r="H346" s="403">
        <f>Banco[[#This Row],[cargos]]*-1</f>
        <v>23682</v>
      </c>
      <c r="I346" s="403">
        <v>0</v>
      </c>
      <c r="J346" s="403"/>
      <c r="K346" s="403">
        <f>+Banco[[#This Row],[cargos]]+Banco[[#This Row],[Ingresos]]</f>
        <v>-23682</v>
      </c>
      <c r="L346" s="89" t="s">
        <v>25</v>
      </c>
      <c r="M346" s="89" t="str">
        <f>MID(Banco[[#This Row],[CtaCtbl]],FIND(" - ",Banco[[#This Row],[CtaCtbl]])+3,40)</f>
        <v>Pago Comisiones</v>
      </c>
      <c r="N346" s="89"/>
      <c r="O346" s="89"/>
    </row>
    <row r="347" spans="1:15">
      <c r="A347" s="302">
        <f>YEAR(Banco[[#This Row],[Fecha]])</f>
        <v>2026</v>
      </c>
      <c r="B347" s="302" t="str">
        <f>PROPER(TEXT(Banco[[#This Row],[Fecha]],"MMMM"))</f>
        <v>Marzo</v>
      </c>
      <c r="C347" s="303" t="str">
        <f>TEXT(Banco[[#This Row],[Fecha]],"mmm-yyyy")</f>
        <v>mar-2026</v>
      </c>
      <c r="D347" s="261">
        <v>46084</v>
      </c>
      <c r="G347" s="403">
        <v>0</v>
      </c>
      <c r="H347" s="403">
        <f>Banco[[#This Row],[cargos]]*-1</f>
        <v>0</v>
      </c>
      <c r="I347" s="403">
        <v>356102</v>
      </c>
      <c r="J347" s="403"/>
      <c r="K347" s="403">
        <f>+Banco[[#This Row],[cargos]]+Banco[[#This Row],[Ingresos]]</f>
        <v>356102</v>
      </c>
      <c r="L347" s="89" t="s">
        <v>161</v>
      </c>
      <c r="M347" s="89" t="str">
        <f>MID(Banco[[#This Row],[CtaCtbl]],FIND(" - ",Banco[[#This Row],[CtaCtbl]])+3,40)</f>
        <v>Restitución Fondos / Rechazo Depositos</v>
      </c>
      <c r="N347" s="89"/>
      <c r="O347" s="89"/>
    </row>
    <row r="348" spans="1:15">
      <c r="A348" s="302">
        <f>YEAR(Banco[[#This Row],[Fecha]])</f>
        <v>2026</v>
      </c>
      <c r="B348" s="302" t="str">
        <f>PROPER(TEXT(Banco[[#This Row],[Fecha]],"MMMM"))</f>
        <v>Marzo</v>
      </c>
      <c r="C348" s="303" t="str">
        <f>TEXT(Banco[[#This Row],[Fecha]],"mmm-yyyy")</f>
        <v>mar-2026</v>
      </c>
      <c r="D348" s="261">
        <v>46093</v>
      </c>
      <c r="G348" s="403">
        <v>-129549</v>
      </c>
      <c r="H348" s="403">
        <f>Banco[[#This Row],[cargos]]*-1</f>
        <v>129549</v>
      </c>
      <c r="I348" s="403">
        <v>0</v>
      </c>
      <c r="J348" s="403"/>
      <c r="K348" s="403">
        <f>+Banco[[#This Row],[cargos]]+Banco[[#This Row],[Ingresos]]</f>
        <v>-129549</v>
      </c>
      <c r="L348" s="89"/>
      <c r="M348" s="89" t="e">
        <f>MID(Banco[[#This Row],[CtaCtbl]],FIND(" - ",Banco[[#This Row],[CtaCtbl]])+3,40)</f>
        <v>#VALUE!</v>
      </c>
      <c r="N348" s="89"/>
      <c r="O348" s="89"/>
    </row>
    <row r="349" spans="1:15">
      <c r="A349" s="302">
        <f>YEAR(Banco[[#This Row],[Fecha]])</f>
        <v>2026</v>
      </c>
      <c r="B349" s="302" t="str">
        <f>PROPER(TEXT(Banco[[#This Row],[Fecha]],"MMMM"))</f>
        <v>Marzo</v>
      </c>
      <c r="C349" s="303" t="str">
        <f>TEXT(Banco[[#This Row],[Fecha]],"mmm-yyyy")</f>
        <v>mar-2026</v>
      </c>
      <c r="D349" s="422">
        <v>46093</v>
      </c>
      <c r="E349" t="s">
        <v>537</v>
      </c>
      <c r="G349" s="403"/>
      <c r="H349" s="403">
        <f>Banco[[#This Row],[cargos]]*-1</f>
        <v>0</v>
      </c>
      <c r="I349" s="403">
        <v>151805</v>
      </c>
      <c r="J349" s="403"/>
      <c r="K349" s="403">
        <f>+Banco[[#This Row],[cargos]]+Banco[[#This Row],[Ingresos]]</f>
        <v>151805</v>
      </c>
      <c r="L349" s="89" t="s">
        <v>161</v>
      </c>
      <c r="M349" s="423" t="s">
        <v>538</v>
      </c>
      <c r="N349" s="89" t="s">
        <v>539</v>
      </c>
      <c r="O349" s="89"/>
    </row>
    <row r="350" spans="1:15">
      <c r="A350" s="302">
        <f>YEAR(Banco[[#This Row],[Fecha]])</f>
        <v>2026</v>
      </c>
      <c r="B350" s="302" t="str">
        <f>PROPER(TEXT(Banco[[#This Row],[Fecha]],"MMMM"))</f>
        <v>Marzo</v>
      </c>
      <c r="C350" s="303" t="str">
        <f>TEXT(Banco[[#This Row],[Fecha]],"mmm-yyyy")</f>
        <v>mar-2026</v>
      </c>
      <c r="D350" s="422">
        <v>46093</v>
      </c>
      <c r="G350" s="403">
        <v>-35200</v>
      </c>
      <c r="H350" s="403">
        <f>Banco[[#This Row],[cargos]]*-1</f>
        <v>35200</v>
      </c>
      <c r="I350" s="403"/>
      <c r="J350" s="403"/>
      <c r="K350" s="403">
        <f>+Banco[[#This Row],[cargos]]+Banco[[#This Row],[Ingresos]]</f>
        <v>-35200</v>
      </c>
      <c r="L350" s="89" t="s">
        <v>127</v>
      </c>
      <c r="M350" s="423" t="str">
        <f>MID(Banco[[#This Row],[CtaCtbl]],FIND(" - ",Banco[[#This Row],[CtaCtbl]])+3,40)</f>
        <v>Cena</v>
      </c>
      <c r="N350" s="89" t="s">
        <v>539</v>
      </c>
      <c r="O350" s="89"/>
    </row>
    <row r="351" spans="1:15">
      <c r="A351" s="302">
        <f>YEAR(Banco[[#This Row],[Fecha]])</f>
        <v>2026</v>
      </c>
      <c r="B351" s="302" t="str">
        <f>PROPER(TEXT(Banco[[#This Row],[Fecha]],"MMMM"))</f>
        <v>Marzo</v>
      </c>
      <c r="C351" s="303" t="str">
        <f>TEXT(Banco[[#This Row],[Fecha]],"mmm-yyyy")</f>
        <v>mar-2026</v>
      </c>
      <c r="D351" s="422">
        <v>46093</v>
      </c>
      <c r="G351" s="403">
        <v>-103510</v>
      </c>
      <c r="H351" s="403">
        <f>Banco[[#This Row],[cargos]]*-1</f>
        <v>103510</v>
      </c>
      <c r="I351" s="403"/>
      <c r="J351" s="403"/>
      <c r="K351" s="403">
        <f>+Banco[[#This Row],[cargos]]+Banco[[#This Row],[Ingresos]]</f>
        <v>-103510</v>
      </c>
      <c r="L351" s="89" t="s">
        <v>122</v>
      </c>
      <c r="M351" s="423" t="str">
        <f>MID(Banco[[#This Row],[CtaCtbl]],FIND(" - ",Banco[[#This Row],[CtaCtbl]])+3,40)</f>
        <v>Uso de Vehiculo personal</v>
      </c>
      <c r="N351" s="89" t="s">
        <v>539</v>
      </c>
      <c r="O351" s="89"/>
    </row>
    <row r="352" spans="1:15">
      <c r="A352" s="302">
        <f>YEAR(Banco[[#This Row],[Fecha]])</f>
        <v>2026</v>
      </c>
      <c r="B352" s="302" t="str">
        <f>PROPER(TEXT(Banco[[#This Row],[Fecha]],"MMMM"))</f>
        <v>Marzo</v>
      </c>
      <c r="C352" s="303" t="str">
        <f>TEXT(Banco[[#This Row],[Fecha]],"mmm-yyyy")</f>
        <v>mar-2026</v>
      </c>
      <c r="D352" s="422">
        <v>46093</v>
      </c>
      <c r="G352" s="403">
        <v>-37205</v>
      </c>
      <c r="H352" s="403">
        <f>Banco[[#This Row],[cargos]]*-1</f>
        <v>37205</v>
      </c>
      <c r="I352" s="403"/>
      <c r="J352" s="403"/>
      <c r="K352" s="403">
        <f>+Banco[[#This Row],[cargos]]+Banco[[#This Row],[Ingresos]]</f>
        <v>-37205</v>
      </c>
      <c r="L352" s="89" t="s">
        <v>128</v>
      </c>
      <c r="M352" s="423" t="str">
        <f>MID(Banco[[#This Row],[CtaCtbl]],FIND(" - ",Banco[[#This Row],[CtaCtbl]])+3,40)</f>
        <v>Combustible</v>
      </c>
      <c r="N352" s="89" t="s">
        <v>539</v>
      </c>
      <c r="O352" s="89"/>
    </row>
    <row r="353" spans="1:15">
      <c r="A353" s="302">
        <f>YEAR(Banco[[#This Row],[Fecha]])</f>
        <v>2026</v>
      </c>
      <c r="B353" s="302" t="str">
        <f>PROPER(TEXT(Banco[[#This Row],[Fecha]],"MMMM"))</f>
        <v>Marzo</v>
      </c>
      <c r="C353" s="303" t="str">
        <f>TEXT(Banco[[#This Row],[Fecha]],"mmm-yyyy")</f>
        <v>mar-2026</v>
      </c>
      <c r="D353" s="422">
        <v>46093</v>
      </c>
      <c r="G353" s="403">
        <v>-27200</v>
      </c>
      <c r="H353" s="403">
        <f>Banco[[#This Row],[cargos]]*-1</f>
        <v>27200</v>
      </c>
      <c r="I353" s="403"/>
      <c r="J353" s="403"/>
      <c r="K353" s="403">
        <f>+Banco[[#This Row],[cargos]]+Banco[[#This Row],[Ingresos]]</f>
        <v>-27200</v>
      </c>
      <c r="L353" s="89" t="s">
        <v>140</v>
      </c>
      <c r="M353" s="423" t="str">
        <f>MID(Banco[[#This Row],[CtaCtbl]],FIND(" - ",Banco[[#This Row],[CtaCtbl]])+3,40)</f>
        <v>Estacionamientos</v>
      </c>
      <c r="N353" s="89" t="s">
        <v>539</v>
      </c>
      <c r="O353" s="89"/>
    </row>
  </sheetData>
  <hyperlinks>
    <hyperlink ref="N289" r:id="rId1" display="Mes de Mayo 2025" xr:uid="{44E81471-84A4-4A1E-A87F-52C80FBF5455}"/>
    <hyperlink ref="N233" r:id="rId2" display="EJ Mes Febrero 2025" xr:uid="{8B9F8734-DE8E-4C22-873A-6F504EEE86EC}"/>
    <hyperlink ref="N234" r:id="rId3" display="EJ Mes Marzo 2025" xr:uid="{9B3C7A41-B78A-4E73-A7CE-35CBA4A96DC0}"/>
    <hyperlink ref="N225" r:id="rId4" display="EJ Negociacion Colectiva 1er Pago" xr:uid="{FA4ABBE9-5E99-4044-9D0D-A1F7E8E0CAAB}"/>
    <hyperlink ref="N26" r:id="rId5" xr:uid="{4E874A5B-612D-4FEF-ABEF-E421B88F7465}"/>
    <hyperlink ref="N35" r:id="rId6" xr:uid="{658001B5-2D7A-48D8-AE80-D2725DA030A1}"/>
    <hyperlink ref="N42" r:id="rId7" xr:uid="{9585B35C-87A3-4FEB-B7DE-CBECFEF2E13E}"/>
    <hyperlink ref="N41" r:id="rId8" xr:uid="{AEAC33D1-AE06-4C8A-9146-FC5A9F28AE97}"/>
    <hyperlink ref="N53" r:id="rId9" xr:uid="{712EFB66-D071-452C-A82C-E04929831863}"/>
    <hyperlink ref="N57" r:id="rId10" xr:uid="{5236EC39-0DE3-434C-B3AC-07296B437C32}"/>
    <hyperlink ref="N306" r:id="rId11" xr:uid="{1292E16D-BA19-43BB-8D75-3CEF6528F3B9}"/>
    <hyperlink ref="N261" r:id="rId12" xr:uid="{23FE3688-E31F-4C17-8089-D450A8DCFEBB}"/>
    <hyperlink ref="N262" r:id="rId13" xr:uid="{F7E69191-0A31-4216-ABE2-3160550454B5}"/>
    <hyperlink ref="N263" r:id="rId14" xr:uid="{9FC6C5CF-F59B-4F61-ABF0-2292C9CC0FE8}"/>
    <hyperlink ref="N209" r:id="rId15" xr:uid="{AE99C79F-BE76-4F73-AEAA-DAD1F691B70E}"/>
    <hyperlink ref="N208" r:id="rId16" xr:uid="{5A4BEC7E-AC0B-4B4D-90AD-9D6176A77C02}"/>
    <hyperlink ref="N195" r:id="rId17" xr:uid="{21C867F2-4767-4696-AADE-9BFC606B0BED}"/>
    <hyperlink ref="N196" r:id="rId18" xr:uid="{680A5A4D-1A63-4DB6-9700-D9AE1EC1076B}"/>
    <hyperlink ref="N221" r:id="rId19" xr:uid="{53BC0F20-6542-49E1-A195-7287AA8A10A7}"/>
    <hyperlink ref="N222" r:id="rId20" xr:uid="{D76438D5-2B32-41DA-A833-49E0AA251887}"/>
    <hyperlink ref="N213" r:id="rId21" xr:uid="{B6C95ECC-0334-4EAD-A54F-AAD1A46B8A85}"/>
    <hyperlink ref="N154" r:id="rId22" xr:uid="{C5794818-206E-4EDF-A91A-54CCD4D2982D}"/>
    <hyperlink ref="N155" r:id="rId23" xr:uid="{349365A0-00A9-4907-BDBC-57B53AFC8D0E}"/>
    <hyperlink ref="N145" r:id="rId24" xr:uid="{56DF9EF5-61F1-4DC2-B794-84B696896CEB}"/>
    <hyperlink ref="N146" r:id="rId25" xr:uid="{0D4DC5F5-6D0D-461C-9DF3-0A2027C97AEF}"/>
    <hyperlink ref="N136" r:id="rId26" xr:uid="{02E488D1-B51E-45ED-B37E-A2C0DEE0BDB1}"/>
    <hyperlink ref="N137" r:id="rId27" xr:uid="{B9BA0EF1-BDFD-48E3-B36E-9A06A48679CC}"/>
    <hyperlink ref="N125" r:id="rId28" xr:uid="{A73609AD-3D8F-4B84-8999-568C89AB0E43}"/>
    <hyperlink ref="N126" r:id="rId29" xr:uid="{DC35573D-1681-4C62-A7B7-D08D1A4E19DB}"/>
    <hyperlink ref="N82" r:id="rId30" xr:uid="{74B98501-70C6-422F-8C07-100800EE4A64}"/>
    <hyperlink ref="N93" r:id="rId31" xr:uid="{67BE141E-C36C-4862-90FC-6C5044CBD72D}"/>
    <hyperlink ref="N94" r:id="rId32" xr:uid="{910E8CAA-A383-47AA-88CC-037B676E82CA}"/>
    <hyperlink ref="N95" r:id="rId33" xr:uid="{FB9F8B09-7202-4FED-B435-2C9872C0C7F7}"/>
    <hyperlink ref="N311" r:id="rId34" xr:uid="{EB76924D-4A2C-4F13-9920-A78C237117C2}"/>
    <hyperlink ref="N236" r:id="rId35" xr:uid="{7A47D2AB-810F-4FFD-90A3-C67183D1C1FE}"/>
    <hyperlink ref="N237" r:id="rId36" xr:uid="{07DEEA32-F106-4AF5-A781-7A6E4CD3C710}"/>
    <hyperlink ref="N249" r:id="rId37" xr:uid="{C3817E5D-5CAA-46ED-B996-5A85FAAF4742}"/>
    <hyperlink ref="N248" r:id="rId38" xr:uid="{72CFFE13-57F4-4AA1-99E9-0089070B7980}"/>
    <hyperlink ref="N242:N247" r:id="rId39" display="Rendicion de Gastos 1da Reunion Negociacion 2025 a 2028 (Dgonzalez)" xr:uid="{6E2C8455-6D1C-4F7F-9252-B5AE050527E8}"/>
    <hyperlink ref="N238:N241" r:id="rId40" display="Rendicion de Gastos 1da Reunion Negociacion 2025 a 2028 (Dgonzalez)" xr:uid="{E1575E63-6A3A-4BBC-AD2F-2FB2B2DB6BF8}"/>
    <hyperlink ref="N250:N259" r:id="rId41" display="Rendicion de Gastos 2da Reunion Negociacion 2025 a 2028" xr:uid="{78EF3996-974F-48A6-A727-D6937A202FBE}"/>
    <hyperlink ref="N264:N277" r:id="rId42" display="Rendicion de Gastos 21/04/2025 - Lcorales" xr:uid="{DE1BB3CC-602F-484D-A111-E8C42F278B79}"/>
    <hyperlink ref="N279" r:id="rId43" xr:uid="{B2CE6DB1-5FC4-469F-AAA7-17CA38DBC3B4}"/>
    <hyperlink ref="N307" r:id="rId44" xr:uid="{6B4D4851-DFCC-4B5A-A63A-6F30F9D2EBAF}"/>
    <hyperlink ref="N297" r:id="rId45" xr:uid="{3660DA41-F3EC-4B12-A80E-1F702EABD92E}"/>
    <hyperlink ref="N283:N285" r:id="rId46" display="Rendicion de Gastos 20/05/2025 - KAZAT -  Charla IT" xr:uid="{D8C78274-E00D-433C-9969-17B2AA6A7684}"/>
    <hyperlink ref="N200:N202" r:id="rId47" display="Regalo Corporatia TEA SPA" xr:uid="{CB091287-E6A7-4180-9CCF-AD06160F5D9D}"/>
    <hyperlink ref="N87" r:id="rId48" xr:uid="{140C237A-2360-49D6-A9DF-180D1F8B877C}"/>
    <hyperlink ref="N86" r:id="rId49" xr:uid="{1027DC41-177F-4ABC-80AA-0AB59743F023}"/>
    <hyperlink ref="N89" r:id="rId50" xr:uid="{01F531F4-FD53-484F-89DA-C144BC0D4FE1}"/>
    <hyperlink ref="N210" r:id="rId51" xr:uid="{4EEBADE5-5609-4E80-B010-4F45735D0F06}"/>
    <hyperlink ref="N178:N180" r:id="rId52" display="EJ Pago Mensualidad Abril-2028 - Factura N° 0870" xr:uid="{179540CB-FC30-4942-957B-0D3D35D2C448}"/>
    <hyperlink ref="N171" r:id="rId53" xr:uid="{4611648B-CFF9-4B5F-9E3C-8DAD2E26079D}"/>
    <hyperlink ref="N162" r:id="rId54" xr:uid="{489624C3-AD56-443B-AD42-958DC147F16B}"/>
    <hyperlink ref="N163" r:id="rId55" xr:uid="{A11DDA1F-2EE6-4710-9382-D161AADE9739}"/>
    <hyperlink ref="N52" r:id="rId56" xr:uid="{69EAB162-7F18-4A33-ABAE-0F94EA415B13}"/>
    <hyperlink ref="N58" r:id="rId57" xr:uid="{92CEB502-FBE9-43EC-A128-DC9C2BD1816D}"/>
    <hyperlink ref="N80" r:id="rId58" xr:uid="{5027BF1D-15A4-4354-AFE7-02A54F05D748}"/>
    <hyperlink ref="N83" r:id="rId59" xr:uid="{9BBBF74D-5D34-4671-B25B-254FEE32426C}"/>
    <hyperlink ref="N215" r:id="rId60" xr:uid="{F715E6D0-EBAB-45C7-8586-5DD5950FFB54}"/>
    <hyperlink ref="N217" r:id="rId61" xr:uid="{4F6F3857-EE1D-4F02-AF69-8C0BDC339AE3}"/>
    <hyperlink ref="N175" r:id="rId62" xr:uid="{97176850-A1CE-4B0C-9A94-63ED1D3618B1}"/>
    <hyperlink ref="N181" r:id="rId63" xr:uid="{9E6FD502-AAF7-4977-8494-0E41D45A55D4}"/>
    <hyperlink ref="N182" r:id="rId64" xr:uid="{C456348C-92C9-43E1-83E0-5F05F5D9C239}"/>
    <hyperlink ref="N177" r:id="rId65" xr:uid="{D8774E81-BFF1-4A83-9274-7184010F7ECC}"/>
  </hyperlinks>
  <pageMargins left="0.7" right="0.7" top="0.75" bottom="0.75" header="0.3" footer="0.3"/>
  <pageSetup orientation="portrait" horizontalDpi="300" verticalDpi="300" r:id="rId66"/>
  <drawing r:id="rId67"/>
  <tableParts count="1">
    <tablePart r:id="rId68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Error Cta Ctbl" error="No es una Cta Ctbl Correcta, intentelo nuevamente." promptTitle="Cuentas Contables disponibles" prompt="Favor de Seleccionar la Cta Ctbl" xr:uid="{6F8B857D-DF4D-4BA6-8DB9-4BC800161296}">
          <x14:formula1>
            <xm:f>'Plan de Cuentas'!$C$4:$C$99</xm:f>
          </x14:formula1>
          <xm:sqref>M13:M152 L13:L353</xm:sqref>
        </x14:dataValidation>
      </x14:dataValidations>
    </ext>
    <ext xmlns:x15="http://schemas.microsoft.com/office/spreadsheetml/2010/11/main" uri="{3A4CF648-6AED-40f4-86FF-DC5316D8AED3}">
      <x14:slicerList xmlns:x14="http://schemas.microsoft.com/office/spreadsheetml/2009/9/main">
        <x14:slicer r:id="rId69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F52F9-F775-4312-B1DF-9C0462F6A244}">
  <sheetPr codeName="Hoja2">
    <outlinePr summaryBelow="0"/>
  </sheetPr>
  <dimension ref="A1:BW111"/>
  <sheetViews>
    <sheetView zoomScale="55" zoomScaleNormal="55" workbookViewId="0">
      <pane xSplit="4" ySplit="3" topLeftCell="BI71" activePane="bottomRight" state="frozen"/>
      <selection pane="topRight" activeCell="K15" sqref="K15"/>
      <selection pane="bottomLeft" activeCell="K15" sqref="K15"/>
      <selection pane="bottomRight" activeCell="B95" sqref="B95"/>
    </sheetView>
  </sheetViews>
  <sheetFormatPr baseColWidth="10" defaultColWidth="10.8984375" defaultRowHeight="18" outlineLevelRow="7" outlineLevelCol="1"/>
  <cols>
    <col min="1" max="1" width="27.19921875" style="1" customWidth="1"/>
    <col min="2" max="2" width="61.59765625" bestFit="1" customWidth="1"/>
    <col min="3" max="3" width="54" hidden="1" customWidth="1"/>
    <col min="4" max="4" width="20.69921875" hidden="1" customWidth="1"/>
    <col min="5" max="8" width="28.19921875" style="2" hidden="1" customWidth="1" outlineLevel="1"/>
    <col min="9" max="9" width="28.19921875" style="2" customWidth="1" collapsed="1"/>
    <col min="10" max="21" width="28.19921875" style="2" hidden="1" customWidth="1" outlineLevel="1"/>
    <col min="22" max="22" width="30.09765625" style="2" customWidth="1" collapsed="1"/>
    <col min="23" max="34" width="28.19921875" style="2" hidden="1" customWidth="1" outlineLevel="1"/>
    <col min="35" max="35" width="28.19921875" style="2" customWidth="1" collapsed="1"/>
    <col min="36" max="47" width="28.19921875" style="2" hidden="1" customWidth="1" outlineLevel="1"/>
    <col min="48" max="48" width="28.19921875" style="2" customWidth="1" collapsed="1"/>
    <col min="49" max="60" width="28.19921875" style="2" customWidth="1" outlineLevel="1"/>
    <col min="61" max="74" width="30.09765625" style="2" customWidth="1"/>
    <col min="75" max="75" width="31.19921875" style="239" customWidth="1"/>
    <col min="76" max="16384" width="10.8984375" style="2"/>
  </cols>
  <sheetData>
    <row r="1" spans="1:75" ht="18.600000000000001" thickBot="1"/>
    <row r="2" spans="1:75" ht="31.8" thickBot="1">
      <c r="A2" s="10"/>
      <c r="B2" s="11"/>
      <c r="C2" s="11"/>
      <c r="D2" s="11"/>
      <c r="E2" s="410">
        <v>2021</v>
      </c>
      <c r="F2" s="411"/>
      <c r="G2" s="411"/>
      <c r="H2" s="411"/>
      <c r="I2" s="412"/>
      <c r="J2" s="413">
        <v>2022</v>
      </c>
      <c r="K2" s="414"/>
      <c r="L2" s="414"/>
      <c r="M2" s="414"/>
      <c r="N2" s="414"/>
      <c r="O2" s="414"/>
      <c r="P2" s="414"/>
      <c r="Q2" s="414"/>
      <c r="R2" s="414"/>
      <c r="S2" s="414"/>
      <c r="T2" s="414"/>
      <c r="U2" s="414"/>
      <c r="V2" s="415"/>
      <c r="W2" s="416">
        <v>2023</v>
      </c>
      <c r="X2" s="417"/>
      <c r="Y2" s="417"/>
      <c r="Z2" s="417"/>
      <c r="AA2" s="417"/>
      <c r="AB2" s="417"/>
      <c r="AC2" s="417"/>
      <c r="AD2" s="417"/>
      <c r="AE2" s="417"/>
      <c r="AF2" s="417"/>
      <c r="AG2" s="417"/>
      <c r="AH2" s="417"/>
      <c r="AI2" s="418"/>
      <c r="AJ2" s="410">
        <v>2024</v>
      </c>
      <c r="AK2" s="411"/>
      <c r="AL2" s="411"/>
      <c r="AM2" s="411"/>
      <c r="AN2" s="411"/>
      <c r="AO2" s="411"/>
      <c r="AP2" s="411"/>
      <c r="AQ2" s="411"/>
      <c r="AR2" s="411"/>
      <c r="AS2" s="411"/>
      <c r="AT2" s="411"/>
      <c r="AU2" s="411"/>
      <c r="AV2" s="147">
        <v>2024</v>
      </c>
      <c r="AW2" s="419">
        <v>2025</v>
      </c>
      <c r="AX2" s="419"/>
      <c r="AY2" s="419"/>
      <c r="AZ2" s="419"/>
      <c r="BA2" s="419"/>
      <c r="BB2" s="419"/>
      <c r="BC2" s="419"/>
      <c r="BD2" s="419"/>
      <c r="BE2" s="419"/>
      <c r="BF2" s="419"/>
      <c r="BG2" s="419"/>
      <c r="BH2" s="419"/>
      <c r="BI2" s="148">
        <v>2025</v>
      </c>
      <c r="BJ2" s="148"/>
      <c r="BK2" s="148"/>
      <c r="BL2" s="148"/>
      <c r="BM2" s="148"/>
      <c r="BN2" s="148"/>
      <c r="BO2" s="148"/>
      <c r="BP2" s="148"/>
      <c r="BQ2" s="148"/>
      <c r="BR2" s="148"/>
      <c r="BS2" s="148"/>
      <c r="BT2" s="148"/>
      <c r="BU2" s="148"/>
      <c r="BV2" s="148"/>
      <c r="BW2" s="240" t="s">
        <v>183</v>
      </c>
    </row>
    <row r="3" spans="1:75" s="76" customFormat="1" ht="33" customHeight="1" thickTop="1" thickBot="1">
      <c r="A3" s="32" t="s">
        <v>184</v>
      </c>
      <c r="B3" s="33" t="s">
        <v>185</v>
      </c>
      <c r="C3" s="33" t="s">
        <v>186</v>
      </c>
      <c r="D3" s="34" t="s">
        <v>187</v>
      </c>
      <c r="E3" s="12" t="s">
        <v>188</v>
      </c>
      <c r="F3" s="12" t="s">
        <v>189</v>
      </c>
      <c r="G3" s="12" t="s">
        <v>190</v>
      </c>
      <c r="H3" s="198" t="s">
        <v>191</v>
      </c>
      <c r="I3" s="299" t="s">
        <v>192</v>
      </c>
      <c r="J3" s="199" t="s">
        <v>193</v>
      </c>
      <c r="K3" s="47" t="s">
        <v>194</v>
      </c>
      <c r="L3" s="47" t="s">
        <v>195</v>
      </c>
      <c r="M3" s="47" t="s">
        <v>196</v>
      </c>
      <c r="N3" s="47" t="s">
        <v>197</v>
      </c>
      <c r="O3" s="47" t="s">
        <v>198</v>
      </c>
      <c r="P3" s="47" t="s">
        <v>199</v>
      </c>
      <c r="Q3" s="47" t="s">
        <v>200</v>
      </c>
      <c r="R3" s="47" t="s">
        <v>201</v>
      </c>
      <c r="S3" s="47" t="s">
        <v>202</v>
      </c>
      <c r="T3" s="47" t="s">
        <v>203</v>
      </c>
      <c r="U3" s="48" t="s">
        <v>204</v>
      </c>
      <c r="V3" s="256" t="s">
        <v>205</v>
      </c>
      <c r="W3" s="202" t="s">
        <v>206</v>
      </c>
      <c r="X3" s="104" t="s">
        <v>207</v>
      </c>
      <c r="Y3" s="104" t="s">
        <v>208</v>
      </c>
      <c r="Z3" s="104" t="s">
        <v>209</v>
      </c>
      <c r="AA3" s="104" t="s">
        <v>210</v>
      </c>
      <c r="AB3" s="104" t="s">
        <v>211</v>
      </c>
      <c r="AC3" s="104" t="s">
        <v>212</v>
      </c>
      <c r="AD3" s="104" t="s">
        <v>213</v>
      </c>
      <c r="AE3" s="104" t="s">
        <v>214</v>
      </c>
      <c r="AF3" s="104" t="s">
        <v>215</v>
      </c>
      <c r="AG3" s="104" t="s">
        <v>216</v>
      </c>
      <c r="AH3" s="203" t="s">
        <v>217</v>
      </c>
      <c r="AI3" s="257" t="s">
        <v>218</v>
      </c>
      <c r="AJ3" s="204" t="s">
        <v>219</v>
      </c>
      <c r="AK3" s="105" t="s">
        <v>220</v>
      </c>
      <c r="AL3" s="105" t="s">
        <v>221</v>
      </c>
      <c r="AM3" s="105" t="s">
        <v>222</v>
      </c>
      <c r="AN3" s="105" t="s">
        <v>223</v>
      </c>
      <c r="AO3" s="105" t="s">
        <v>224</v>
      </c>
      <c r="AP3" s="105" t="s">
        <v>225</v>
      </c>
      <c r="AQ3" s="105" t="s">
        <v>226</v>
      </c>
      <c r="AR3" s="105" t="s">
        <v>227</v>
      </c>
      <c r="AS3" s="105" t="s">
        <v>228</v>
      </c>
      <c r="AT3" s="105" t="s">
        <v>229</v>
      </c>
      <c r="AU3" s="192" t="s">
        <v>230</v>
      </c>
      <c r="AV3" s="255" t="s">
        <v>231</v>
      </c>
      <c r="AW3" s="195" t="s">
        <v>232</v>
      </c>
      <c r="AX3" s="101" t="s">
        <v>233</v>
      </c>
      <c r="AY3" s="101" t="s">
        <v>234</v>
      </c>
      <c r="AZ3" s="101" t="s">
        <v>235</v>
      </c>
      <c r="BA3" s="101" t="s">
        <v>236</v>
      </c>
      <c r="BB3" s="101" t="s">
        <v>237</v>
      </c>
      <c r="BC3" s="101" t="s">
        <v>238</v>
      </c>
      <c r="BD3" s="101" t="s">
        <v>239</v>
      </c>
      <c r="BE3" s="101" t="s">
        <v>240</v>
      </c>
      <c r="BF3" s="101" t="s">
        <v>241</v>
      </c>
      <c r="BG3" s="101" t="s">
        <v>536</v>
      </c>
      <c r="BH3" s="101" t="s">
        <v>242</v>
      </c>
      <c r="BI3" s="205" t="s">
        <v>243</v>
      </c>
      <c r="BJ3" s="205" t="s">
        <v>521</v>
      </c>
      <c r="BK3" s="205" t="s">
        <v>522</v>
      </c>
      <c r="BL3" s="205" t="s">
        <v>523</v>
      </c>
      <c r="BM3" s="205" t="s">
        <v>524</v>
      </c>
      <c r="BN3" s="205" t="s">
        <v>525</v>
      </c>
      <c r="BO3" s="205" t="s">
        <v>526</v>
      </c>
      <c r="BP3" s="205" t="s">
        <v>527</v>
      </c>
      <c r="BQ3" s="205" t="s">
        <v>528</v>
      </c>
      <c r="BR3" s="205" t="s">
        <v>529</v>
      </c>
      <c r="BS3" s="205" t="s">
        <v>530</v>
      </c>
      <c r="BT3" s="205" t="s">
        <v>531</v>
      </c>
      <c r="BU3" s="205" t="s">
        <v>532</v>
      </c>
      <c r="BV3" s="205" t="s">
        <v>520</v>
      </c>
      <c r="BW3" s="241" t="s">
        <v>244</v>
      </c>
    </row>
    <row r="4" spans="1:75" ht="22.2" thickTop="1">
      <c r="A4" s="29">
        <v>1</v>
      </c>
      <c r="B4" s="13" t="s">
        <v>245</v>
      </c>
      <c r="C4" s="13" t="str">
        <f>+Tabla17[[#This Row],[Cuenta]]&amp;" - "&amp;Tabla17[[#This Row],[Descripcion Cuenta]]</f>
        <v>1 - Ingresos</v>
      </c>
      <c r="D4" s="35"/>
      <c r="E4" s="42">
        <f t="shared" ref="E4:BW4" si="0">SUBTOTAL(9,E5:E24)</f>
        <v>0</v>
      </c>
      <c r="F4" s="42">
        <f>SUBTOTAL(9,F5:F24)</f>
        <v>6794912</v>
      </c>
      <c r="G4" s="42">
        <f t="shared" si="0"/>
        <v>2584008</v>
      </c>
      <c r="H4" s="42">
        <f t="shared" si="0"/>
        <v>2882256</v>
      </c>
      <c r="I4" s="42">
        <f>SUM(Tabla17[[#This Row],[sept-21]:[dic-21]])</f>
        <v>12261176</v>
      </c>
      <c r="J4" s="42">
        <f t="shared" si="0"/>
        <v>2840292</v>
      </c>
      <c r="K4" s="42">
        <f t="shared" si="0"/>
        <v>3200162</v>
      </c>
      <c r="L4" s="42">
        <f t="shared" si="0"/>
        <v>3934272</v>
      </c>
      <c r="M4" s="42">
        <f t="shared" si="0"/>
        <v>3442832</v>
      </c>
      <c r="N4" s="42">
        <f t="shared" si="0"/>
        <v>110496760</v>
      </c>
      <c r="O4" s="42">
        <f t="shared" si="0"/>
        <v>6589603</v>
      </c>
      <c r="P4" s="42">
        <f t="shared" si="0"/>
        <v>3592435</v>
      </c>
      <c r="Q4" s="42">
        <f t="shared" si="0"/>
        <v>3603534</v>
      </c>
      <c r="R4" s="42">
        <f t="shared" si="0"/>
        <v>3648477</v>
      </c>
      <c r="S4" s="42">
        <f t="shared" si="0"/>
        <v>3598400</v>
      </c>
      <c r="T4" s="42">
        <f t="shared" si="0"/>
        <v>3620448</v>
      </c>
      <c r="U4" s="42">
        <f t="shared" si="0"/>
        <v>3772247</v>
      </c>
      <c r="V4" s="42">
        <f t="shared" si="0"/>
        <v>152339462</v>
      </c>
      <c r="W4" s="42">
        <f t="shared" si="0"/>
        <v>3617020</v>
      </c>
      <c r="X4" s="42">
        <f t="shared" si="0"/>
        <v>3622020</v>
      </c>
      <c r="Y4" s="42">
        <f t="shared" si="0"/>
        <v>3610964</v>
      </c>
      <c r="Z4" s="42">
        <f t="shared" si="0"/>
        <v>5753822</v>
      </c>
      <c r="AA4" s="42">
        <f t="shared" si="0"/>
        <v>3603200</v>
      </c>
      <c r="AB4" s="42">
        <f>SUBTOTAL(9,AB5:AB24)</f>
        <v>3609000</v>
      </c>
      <c r="AC4" s="42">
        <f t="shared" si="0"/>
        <v>3623016</v>
      </c>
      <c r="AD4" s="42">
        <f t="shared" si="0"/>
        <v>3612960</v>
      </c>
      <c r="AE4" s="42">
        <f t="shared" si="0"/>
        <v>3879479</v>
      </c>
      <c r="AF4" s="42">
        <f t="shared" si="0"/>
        <v>3602412</v>
      </c>
      <c r="AG4" s="42">
        <f t="shared" si="0"/>
        <v>3619836</v>
      </c>
      <c r="AH4" s="42">
        <f t="shared" si="0"/>
        <v>3623702</v>
      </c>
      <c r="AI4" s="42">
        <f t="shared" si="0"/>
        <v>45777431</v>
      </c>
      <c r="AJ4" s="42">
        <f t="shared" si="0"/>
        <v>3654948</v>
      </c>
      <c r="AK4" s="42">
        <f t="shared" si="0"/>
        <v>3630170</v>
      </c>
      <c r="AL4" s="42">
        <f t="shared" si="0"/>
        <v>5892819</v>
      </c>
      <c r="AM4" s="42">
        <f t="shared" si="0"/>
        <v>3781744</v>
      </c>
      <c r="AN4" s="42">
        <f t="shared" si="0"/>
        <v>3668487</v>
      </c>
      <c r="AO4" s="42">
        <f t="shared" si="0"/>
        <v>3662766</v>
      </c>
      <c r="AP4" s="42">
        <f t="shared" si="0"/>
        <v>3644559</v>
      </c>
      <c r="AQ4" s="42">
        <f t="shared" si="0"/>
        <v>3661543</v>
      </c>
      <c r="AR4" s="42">
        <f t="shared" si="0"/>
        <v>3676597</v>
      </c>
      <c r="AS4" s="42">
        <f>SUBTOTAL(9,AS5:AS24)</f>
        <v>4043314</v>
      </c>
      <c r="AT4" s="42">
        <f t="shared" si="0"/>
        <v>4072570</v>
      </c>
      <c r="AU4" s="42">
        <f t="shared" si="0"/>
        <v>6579200</v>
      </c>
      <c r="AV4" s="42">
        <f t="shared" si="0"/>
        <v>49968717</v>
      </c>
      <c r="AW4" s="42">
        <f>SUBTOTAL(9,AW5:AW24)</f>
        <v>5047496</v>
      </c>
      <c r="AX4" s="42">
        <f t="shared" ref="AX4:BH4" si="1">SUBTOTAL(9,AX5:AX24)</f>
        <v>12193444</v>
      </c>
      <c r="AY4" s="42">
        <f t="shared" si="1"/>
        <v>10112440</v>
      </c>
      <c r="AZ4" s="42">
        <f t="shared" si="1"/>
        <v>11751564</v>
      </c>
      <c r="BA4" s="42">
        <f t="shared" si="1"/>
        <v>487366410</v>
      </c>
      <c r="BB4" s="42">
        <f t="shared" si="1"/>
        <v>109420562</v>
      </c>
      <c r="BC4" s="42">
        <f t="shared" si="1"/>
        <v>9187710</v>
      </c>
      <c r="BD4" s="42">
        <f t="shared" si="1"/>
        <v>9156780</v>
      </c>
      <c r="BE4" s="42">
        <f t="shared" si="1"/>
        <v>9081780</v>
      </c>
      <c r="BF4" s="42">
        <f t="shared" si="1"/>
        <v>0</v>
      </c>
      <c r="BG4" s="42">
        <f t="shared" si="1"/>
        <v>8959544</v>
      </c>
      <c r="BH4" s="42">
        <f t="shared" si="1"/>
        <v>8938800</v>
      </c>
      <c r="BI4" s="42">
        <f t="shared" si="0"/>
        <v>681216530</v>
      </c>
      <c r="BJ4" s="42">
        <f t="shared" ref="BJ4" si="2">SUBTOTAL(9,BJ5:BJ24)</f>
        <v>8933850</v>
      </c>
      <c r="BK4" s="42">
        <f t="shared" ref="BK4" si="3">SUBTOTAL(9,BK5:BK24)</f>
        <v>8455375</v>
      </c>
      <c r="BL4" s="42">
        <f t="shared" ref="BL4" si="4">SUBTOTAL(9,BL5:BL24)</f>
        <v>857907</v>
      </c>
      <c r="BM4" s="42">
        <f t="shared" ref="BM4" si="5">SUBTOTAL(9,BM5:BM24)</f>
        <v>0</v>
      </c>
      <c r="BN4" s="42">
        <f t="shared" ref="BN4" si="6">SUBTOTAL(9,BN5:BN24)</f>
        <v>0</v>
      </c>
      <c r="BO4" s="42">
        <f t="shared" ref="BO4" si="7">SUBTOTAL(9,BO5:BO24)</f>
        <v>0</v>
      </c>
      <c r="BP4" s="42">
        <f t="shared" ref="BP4" si="8">SUBTOTAL(9,BP5:BP24)</f>
        <v>0</v>
      </c>
      <c r="BQ4" s="42">
        <f t="shared" ref="BQ4" si="9">SUBTOTAL(9,BQ5:BQ24)</f>
        <v>0</v>
      </c>
      <c r="BR4" s="42">
        <f t="shared" ref="BR4" si="10">SUBTOTAL(9,BR5:BR24)</f>
        <v>0</v>
      </c>
      <c r="BS4" s="42">
        <f t="shared" ref="BS4" si="11">SUBTOTAL(9,BS5:BS24)</f>
        <v>0</v>
      </c>
      <c r="BT4" s="42">
        <f t="shared" ref="BT4" si="12">SUBTOTAL(9,BT5:BT24)</f>
        <v>0</v>
      </c>
      <c r="BU4" s="42">
        <f t="shared" ref="BU4:BV4" si="13">SUBTOTAL(9,BU5:BU24)</f>
        <v>0</v>
      </c>
      <c r="BV4" s="42">
        <f t="shared" si="13"/>
        <v>18247132</v>
      </c>
      <c r="BW4" s="42">
        <f t="shared" si="0"/>
        <v>0</v>
      </c>
    </row>
    <row r="5" spans="1:75" s="293" customFormat="1" ht="21.6" outlineLevel="1">
      <c r="A5" s="331" t="s">
        <v>246</v>
      </c>
      <c r="B5" s="332" t="s">
        <v>247</v>
      </c>
      <c r="C5" s="333" t="str">
        <f>+Tabla17[[#This Row],[Cuenta]]&amp;" - "&amp;Tabla17[[#This Row],[Descripcion Cuenta]]</f>
        <v>1.01 - Cuotas Sindicales</v>
      </c>
      <c r="D5" s="334"/>
      <c r="E5" s="335">
        <f>SUBTOTAL(9,E6:E8)</f>
        <v>0</v>
      </c>
      <c r="F5" s="335">
        <f>SUBTOTAL(9,F6:F8)</f>
        <v>6794912</v>
      </c>
      <c r="G5" s="335">
        <f t="shared" ref="G5:H5" si="14">SUBTOTAL(9,G6:G8)</f>
        <v>2584008</v>
      </c>
      <c r="H5" s="335">
        <f t="shared" si="14"/>
        <v>2882256</v>
      </c>
      <c r="I5" s="335">
        <f>SUM(Tabla17[[#This Row],[sept-21]:[dic-21]])</f>
        <v>12261176</v>
      </c>
      <c r="J5" s="335">
        <f t="shared" ref="J5:BW5" si="15">SUBTOTAL(9,J6:J8)</f>
        <v>2840292</v>
      </c>
      <c r="K5" s="335">
        <f t="shared" si="15"/>
        <v>3200162</v>
      </c>
      <c r="L5" s="335">
        <f t="shared" si="15"/>
        <v>3934272</v>
      </c>
      <c r="M5" s="335">
        <f t="shared" si="15"/>
        <v>3442832</v>
      </c>
      <c r="N5" s="335">
        <f t="shared" si="15"/>
        <v>3496760</v>
      </c>
      <c r="O5" s="335">
        <f t="shared" si="15"/>
        <v>3589603</v>
      </c>
      <c r="P5" s="335">
        <f t="shared" si="15"/>
        <v>3592435</v>
      </c>
      <c r="Q5" s="335">
        <f t="shared" si="15"/>
        <v>3603534</v>
      </c>
      <c r="R5" s="335">
        <f t="shared" si="15"/>
        <v>3648477</v>
      </c>
      <c r="S5" s="335">
        <f t="shared" si="15"/>
        <v>3598400</v>
      </c>
      <c r="T5" s="335">
        <f t="shared" si="15"/>
        <v>3620448</v>
      </c>
      <c r="U5" s="335">
        <f t="shared" si="15"/>
        <v>3633885</v>
      </c>
      <c r="V5" s="335">
        <f t="shared" si="15"/>
        <v>42201100</v>
      </c>
      <c r="W5" s="335">
        <f t="shared" si="15"/>
        <v>3617020</v>
      </c>
      <c r="X5" s="335">
        <f t="shared" si="15"/>
        <v>3622020</v>
      </c>
      <c r="Y5" s="335">
        <f t="shared" si="15"/>
        <v>3610964</v>
      </c>
      <c r="Z5" s="335">
        <f t="shared" si="15"/>
        <v>5753822</v>
      </c>
      <c r="AA5" s="335">
        <f t="shared" si="15"/>
        <v>3603200</v>
      </c>
      <c r="AB5" s="335">
        <f>SUBTOTAL(9,AB6:AB8)</f>
        <v>3609000</v>
      </c>
      <c r="AC5" s="335">
        <f t="shared" si="15"/>
        <v>3623016</v>
      </c>
      <c r="AD5" s="335">
        <f t="shared" si="15"/>
        <v>3612960</v>
      </c>
      <c r="AE5" s="335">
        <f t="shared" si="15"/>
        <v>3879479</v>
      </c>
      <c r="AF5" s="335">
        <f t="shared" si="15"/>
        <v>3602412</v>
      </c>
      <c r="AG5" s="335">
        <f t="shared" si="15"/>
        <v>3619836</v>
      </c>
      <c r="AH5" s="335">
        <f t="shared" si="15"/>
        <v>3623702</v>
      </c>
      <c r="AI5" s="335">
        <f t="shared" si="15"/>
        <v>45777431</v>
      </c>
      <c r="AJ5" s="335">
        <f t="shared" si="15"/>
        <v>3654948</v>
      </c>
      <c r="AK5" s="335">
        <f t="shared" si="15"/>
        <v>3630170</v>
      </c>
      <c r="AL5" s="335">
        <f t="shared" si="15"/>
        <v>5892819</v>
      </c>
      <c r="AM5" s="335">
        <f t="shared" si="15"/>
        <v>3781744</v>
      </c>
      <c r="AN5" s="335">
        <f t="shared" si="15"/>
        <v>3668487</v>
      </c>
      <c r="AO5" s="335">
        <f t="shared" si="15"/>
        <v>3662766</v>
      </c>
      <c r="AP5" s="335">
        <f t="shared" si="15"/>
        <v>3644559</v>
      </c>
      <c r="AQ5" s="335">
        <f t="shared" si="15"/>
        <v>3661543</v>
      </c>
      <c r="AR5" s="335">
        <f t="shared" si="15"/>
        <v>3676597</v>
      </c>
      <c r="AS5" s="335">
        <f t="shared" si="15"/>
        <v>4043314</v>
      </c>
      <c r="AT5" s="335">
        <f t="shared" si="15"/>
        <v>4072570</v>
      </c>
      <c r="AU5" s="335">
        <f t="shared" si="15"/>
        <v>6579200</v>
      </c>
      <c r="AV5" s="335">
        <f t="shared" si="15"/>
        <v>49968717</v>
      </c>
      <c r="AW5" s="335">
        <f>SUBTOTAL(9,AW6:AW8)</f>
        <v>5047496</v>
      </c>
      <c r="AX5" s="335">
        <f t="shared" ref="AX5:BH5" si="16">SUBTOTAL(9,AX6:AX8)</f>
        <v>12193444</v>
      </c>
      <c r="AY5" s="335">
        <f t="shared" si="16"/>
        <v>10112440</v>
      </c>
      <c r="AZ5" s="335">
        <f t="shared" si="16"/>
        <v>9417316</v>
      </c>
      <c r="BA5" s="335">
        <f t="shared" si="16"/>
        <v>9366410</v>
      </c>
      <c r="BB5" s="335">
        <f t="shared" si="16"/>
        <v>9286882</v>
      </c>
      <c r="BC5" s="335">
        <f t="shared" si="16"/>
        <v>9187710</v>
      </c>
      <c r="BD5" s="335">
        <f t="shared" si="16"/>
        <v>9156780</v>
      </c>
      <c r="BE5" s="335">
        <f t="shared" si="16"/>
        <v>9081780</v>
      </c>
      <c r="BF5" s="335">
        <f t="shared" si="16"/>
        <v>0</v>
      </c>
      <c r="BG5" s="335">
        <f t="shared" si="16"/>
        <v>8959544</v>
      </c>
      <c r="BH5" s="335">
        <f t="shared" si="16"/>
        <v>8938800</v>
      </c>
      <c r="BI5" s="335">
        <f>SUBTOTAL(9,BI6:BI8)</f>
        <v>100748602</v>
      </c>
      <c r="BJ5" s="335">
        <f t="shared" ref="BJ5" si="17">SUBTOTAL(9,BJ6:BJ8)</f>
        <v>8933850</v>
      </c>
      <c r="BK5" s="335">
        <f t="shared" ref="BK5" si="18">SUBTOTAL(9,BK6:BK8)</f>
        <v>8455375</v>
      </c>
      <c r="BL5" s="335">
        <f t="shared" ref="BL5" si="19">SUBTOTAL(9,BL6:BL8)</f>
        <v>0</v>
      </c>
      <c r="BM5" s="335">
        <f t="shared" ref="BM5" si="20">SUBTOTAL(9,BM6:BM8)</f>
        <v>0</v>
      </c>
      <c r="BN5" s="335">
        <f t="shared" ref="BN5" si="21">SUBTOTAL(9,BN6:BN8)</f>
        <v>0</v>
      </c>
      <c r="BO5" s="335">
        <f t="shared" ref="BO5" si="22">SUBTOTAL(9,BO6:BO8)</f>
        <v>0</v>
      </c>
      <c r="BP5" s="335">
        <f t="shared" ref="BP5" si="23">SUBTOTAL(9,BP6:BP8)</f>
        <v>0</v>
      </c>
      <c r="BQ5" s="335">
        <f t="shared" ref="BQ5" si="24">SUBTOTAL(9,BQ6:BQ8)</f>
        <v>0</v>
      </c>
      <c r="BR5" s="335">
        <f t="shared" ref="BR5" si="25">SUBTOTAL(9,BR6:BR8)</f>
        <v>0</v>
      </c>
      <c r="BS5" s="335">
        <f t="shared" ref="BS5" si="26">SUBTOTAL(9,BS6:BS8)</f>
        <v>0</v>
      </c>
      <c r="BT5" s="335">
        <f t="shared" ref="BT5" si="27">SUBTOTAL(9,BT6:BT8)</f>
        <v>0</v>
      </c>
      <c r="BU5" s="335">
        <f t="shared" ref="BU5" si="28">SUBTOTAL(9,BU6:BU8)</f>
        <v>0</v>
      </c>
      <c r="BV5" s="335">
        <f>SUBTOTAL(9,BV6:BV8)</f>
        <v>17389225</v>
      </c>
      <c r="BW5" s="335">
        <f t="shared" si="15"/>
        <v>0</v>
      </c>
    </row>
    <row r="6" spans="1:75" s="367" customFormat="1" ht="21.6" outlineLevel="2">
      <c r="A6" s="228" t="s">
        <v>248</v>
      </c>
      <c r="B6" s="229" t="s">
        <v>249</v>
      </c>
      <c r="C6" s="230" t="str">
        <f>+Tabla17[[#This Row],[Cuenta]]&amp;" - "&amp;Tabla17[[#This Row],[Descripcion Cuenta]]</f>
        <v>1.01.01 - Cuota Ordinaria</v>
      </c>
      <c r="D6" s="231"/>
      <c r="E6" s="232">
        <f>SUMIFS(Banco[Monto],Banco[CtaCtbl],$C6,Banco[Periodo Contable],TEXT(E$3,"mmm-yyyy"))</f>
        <v>0</v>
      </c>
      <c r="F6" s="232">
        <f>SUMIFS(Banco[Monto],Banco[CtaCtbl],$C6,Banco[Periodo Contable],TEXT(F$3,"mmm-yyyy"))</f>
        <v>4445566</v>
      </c>
      <c r="G6" s="232">
        <f>SUMIFS(Banco[Monto],Banco[CtaCtbl],$C6,Banco[Periodo Contable],TEXT(G$3,"mmm-yyyy"))</f>
        <v>2476341</v>
      </c>
      <c r="H6" s="232">
        <f>SUMIFS(Banco[Monto],Banco[CtaCtbl],$C6,Banco[Periodo Contable],TEXT(H$3,"mmm-yyyy"))</f>
        <v>2665312</v>
      </c>
      <c r="I6" s="232">
        <f>SUM(Tabla17[[#This Row],[sept-21]:[dic-21]])</f>
        <v>9587219</v>
      </c>
      <c r="J6" s="232">
        <f>SUMIFS(Banco[Monto],Banco[CtaCtbl],$C6,Banco[Periodo Contable],TEXT(J$3,"mmm-yyyy"))</f>
        <v>2731050</v>
      </c>
      <c r="K6" s="232">
        <f>SUMIFS(Banco[Monto],Banco[CtaCtbl],$C6,Banco[Periodo Contable],TEXT(K$3,"mmm-yyyy"))</f>
        <v>2917450</v>
      </c>
      <c r="L6" s="232">
        <f>SUMIFS(Banco[Monto],Banco[CtaCtbl],$C6,Banco[Periodo Contable],TEXT(L$3,"mmm-yyyy"))</f>
        <v>3410760</v>
      </c>
      <c r="M6" s="232">
        <f>SUMIFS(Banco[Monto],Banco[CtaCtbl],$C6,Banco[Periodo Contable],TEXT(M$3,"mmm-yyyy"))</f>
        <v>3442832</v>
      </c>
      <c r="N6" s="232">
        <f>SUMIFS(Banco[Monto],Banco[CtaCtbl],$C6,Banco[Periodo Contable],TEXT(N$3,"mmm-yyyy"))</f>
        <v>3496760</v>
      </c>
      <c r="O6" s="232">
        <f>SUMIFS(Banco[Monto],Banco[CtaCtbl],$C6,Banco[Periodo Contable],TEXT(O$3,"mmm-yyyy"))</f>
        <v>3507116</v>
      </c>
      <c r="P6" s="232">
        <f>SUMIFS(Banco[Monto],Banco[CtaCtbl],$C6,Banco[Periodo Contable],TEXT(P$3,"mmm-yyyy"))</f>
        <v>3592435</v>
      </c>
      <c r="Q6" s="232">
        <f>SUMIFS(Banco[Monto],Banco[CtaCtbl],$C6,Banco[Periodo Contable],TEXT(Q$3,"mmm-yyyy"))</f>
        <v>3603534</v>
      </c>
      <c r="R6" s="232">
        <f>SUMIFS(Banco[Monto],Banco[CtaCtbl],$C6,Banco[Periodo Contable],TEXT(R$3,"mmm-yyyy"))</f>
        <v>3648477</v>
      </c>
      <c r="S6" s="232">
        <f>SUMIFS(Banco[Monto],Banco[CtaCtbl],$C6,Banco[Periodo Contable],TEXT(S$3,"mmm-yyyy"))</f>
        <v>3598400</v>
      </c>
      <c r="T6" s="232">
        <f>SUMIFS(Banco[Monto],Banco[CtaCtbl],$C6,Banco[Periodo Contable],TEXT(T$3,"mmm-yyyy"))</f>
        <v>3620448</v>
      </c>
      <c r="U6" s="232">
        <f>SUMIFS(Banco[Monto],Banco[CtaCtbl],$C6,Banco[Periodo Contable],TEXT(U$3,"mmm-yyyy"))</f>
        <v>3633885</v>
      </c>
      <c r="V6" s="232">
        <f>SUM(Tabla17[[#This Row],[ene-22]:[dic-22]])</f>
        <v>41203147</v>
      </c>
      <c r="W6" s="232">
        <f>SUMIFS(Banco[Monto],Banco[CtaCtbl],$C6,Banco[Periodo Contable],TEXT(W$3,"mmm-yyyy"))</f>
        <v>3617020</v>
      </c>
      <c r="X6" s="232">
        <f>SUMIFS(Banco[Monto],Banco[CtaCtbl],$C6,Banco[Periodo Contable],TEXT(X$3,"mmm-yyyy"))</f>
        <v>3622020</v>
      </c>
      <c r="Y6" s="232">
        <f>SUMIFS(Banco[Monto],Banco[CtaCtbl],$C6,Banco[Periodo Contable],TEXT(Y$3,"mmm-yyyy"))</f>
        <v>3610964</v>
      </c>
      <c r="Z6" s="232">
        <f>SUMIFS(Banco[Monto],Banco[CtaCtbl],$C6,Banco[Periodo Contable],TEXT(Z$3,"mmm-yyyy"))</f>
        <v>3619638</v>
      </c>
      <c r="AA6" s="232">
        <f>SUMIFS(Banco[Monto],Banco[CtaCtbl],$C6,Banco[Periodo Contable],TEXT(AA$3,"mmm-yyyy"))</f>
        <v>3603200</v>
      </c>
      <c r="AB6" s="232">
        <f>SUMIFS(Banco[Monto],Banco[CtaCtbl],$C6,Banco[Periodo Contable],TEXT(AB$3,"mmm-yyyy"))</f>
        <v>3609000</v>
      </c>
      <c r="AC6" s="232">
        <f>SUMIFS(Banco[Monto],Banco[CtaCtbl],$C6,Banco[Periodo Contable],TEXT(AC$3,"mmm-yyyy"))</f>
        <v>3623016</v>
      </c>
      <c r="AD6" s="232">
        <f>SUMIFS(Banco[Monto],Banco[CtaCtbl],$C6,Banco[Periodo Contable],TEXT(AD$3,"mmm-yyyy"))</f>
        <v>3594935</v>
      </c>
      <c r="AE6" s="232">
        <f>SUMIFS(Banco[Monto],Banco[CtaCtbl],$C6,Banco[Periodo Contable],TEXT(AE$3,"mmm-yyyy"))</f>
        <v>3601701</v>
      </c>
      <c r="AF6" s="232">
        <f>SUMIFS(Banco[Monto],Banco[CtaCtbl],$C6,Banco[Periodo Contable],TEXT(AF$3,"mmm-yyyy"))</f>
        <v>3602412</v>
      </c>
      <c r="AG6" s="232">
        <f>SUMIFS(Banco[Monto],Banco[CtaCtbl],$C6,Banco[Periodo Contable],TEXT(AG$3,"mmm-yyyy"))</f>
        <v>3601554</v>
      </c>
      <c r="AH6" s="232">
        <f>SUMIFS(Banco[Monto],Banco[CtaCtbl],$C6,Banco[Periodo Contable],TEXT(AH$3,"mmm-yyyy"))</f>
        <v>3605420</v>
      </c>
      <c r="AI6" s="232">
        <f>SUM(Tabla17[[#This Row],[ene-23]:[dic-23]])</f>
        <v>43310880</v>
      </c>
      <c r="AJ6" s="232">
        <f>SUMIFS(Banco[Monto],Banco[CtaCtbl],$C6,Banco[Periodo Contable],TEXT(AJ$3,"mmm-yyyy"))</f>
        <v>3618299</v>
      </c>
      <c r="AK6" s="232">
        <f>SUMIFS(Banco[Monto],Banco[CtaCtbl],$C6,Banco[Periodo Contable],TEXT(AK$3,"mmm-yyyy"))</f>
        <v>3611888</v>
      </c>
      <c r="AL6" s="232">
        <f>SUMIFS(Banco[Monto],Banco[CtaCtbl],$C6,Banco[Periodo Contable],TEXT(AL$3,"mmm-yyyy"))</f>
        <v>3635212</v>
      </c>
      <c r="AM6" s="232">
        <f>SUMIFS(Banco[Monto],Banco[CtaCtbl],$C6,Banco[Periodo Contable],TEXT(AM$3,"mmm-yyyy"))</f>
        <v>3688938</v>
      </c>
      <c r="AN6" s="232">
        <f>SUMIFS(Banco[Monto],Banco[CtaCtbl],$C6,Banco[Periodo Contable],TEXT(AN$3,"mmm-yyyy"))</f>
        <v>3650205</v>
      </c>
      <c r="AO6" s="232">
        <f>SUMIFS(Banco[Monto],Banco[CtaCtbl],$C6,Banco[Periodo Contable],TEXT(AO$3,"mmm-yyyy"))</f>
        <v>3644484</v>
      </c>
      <c r="AP6" s="232">
        <f>SUMIFS(Banco[Monto],Banco[CtaCtbl],$C6,Banco[Periodo Contable],TEXT(AP$3,"mmm-yyyy"))</f>
        <v>3626277</v>
      </c>
      <c r="AQ6" s="232">
        <f>SUMIFS(Banco[Monto],Banco[CtaCtbl],$C6,Banco[Periodo Contable],TEXT(AQ$3,"mmm-yyyy"))</f>
        <v>3643261</v>
      </c>
      <c r="AR6" s="232">
        <f>SUMIFS(Banco[Monto],Banco[CtaCtbl],$C6,Banco[Periodo Contable],TEXT(AR$3,"mmm-yyyy"))</f>
        <v>3658315</v>
      </c>
      <c r="AS6" s="232">
        <f>SUMIFS(Banco[Monto],Banco[CtaCtbl],$C6,Banco[Periodo Contable],TEXT(AS$3,"mmm-yyyy"))</f>
        <v>4025032</v>
      </c>
      <c r="AT6" s="232">
        <f>SUMIFS(Banco[Monto],Banco[CtaCtbl],$C6,Banco[Periodo Contable],TEXT(AT$3,"mmm-yyyy"))</f>
        <v>4054288</v>
      </c>
      <c r="AU6" s="232">
        <f>SUMIFS(Banco[Monto],Banco[CtaCtbl],$C6,Banco[Periodo Contable],TEXT(AU$3,"mmm-yyyy"))</f>
        <v>5128536</v>
      </c>
      <c r="AV6" s="232">
        <f>SUM(Tabla17[[#This Row],[ene-24]:[dic-24]])</f>
        <v>45984735</v>
      </c>
      <c r="AW6" s="232">
        <f>SUMIFS(Banco[Monto],Banco[CtaCtbl],$C6,Banco[Periodo Contable],TEXT(AW$3,"mmm-yyyy"))</f>
        <v>5047496</v>
      </c>
      <c r="AX6" s="232">
        <f>SUMIFS(Banco[Monto],Banco[CtaCtbl],$C6,Banco[Periodo Contable],TEXT(AX$3,"mmm-yyyy"))</f>
        <v>8599180</v>
      </c>
      <c r="AY6" s="232">
        <f>SUMIFS(Banco[Monto],Banco[CtaCtbl],$C6,Banco[Periodo Contable],TEXT(AY$3,"mmm-yyyy"))</f>
        <v>9373454</v>
      </c>
      <c r="AZ6" s="232">
        <f>SUMIFS(Banco[Monto],Banco[CtaCtbl],$C6,Banco[Periodo Contable],TEXT(AZ$3,"mmm-yyyy"))</f>
        <v>9417316</v>
      </c>
      <c r="BA6" s="232">
        <f>SUMIFS(Banco[Monto],Banco[CtaCtbl],$C6,Banco[Periodo Contable],TEXT(BA$3,"mmm-yyyy"))</f>
        <v>9366410</v>
      </c>
      <c r="BB6" s="232">
        <f>SUMIFS(Banco[Monto],Banco[CtaCtbl],$C6,Banco[Periodo Contable],TEXT(BB$3,"mmm-yyyy"))</f>
        <v>9286882</v>
      </c>
      <c r="BC6" s="232">
        <f>SUMIFS(Banco[Monto],Banco[CtaCtbl],$C6,Banco[Periodo Contable],TEXT(BC$3,"mmm-yyyy"))</f>
        <v>9187710</v>
      </c>
      <c r="BD6" s="232">
        <f>SUMIFS(Banco[Monto],Banco[CtaCtbl],$C6,Banco[Periodo Contable],TEXT(BD$3,"mmm-yyyy"))</f>
        <v>9156780</v>
      </c>
      <c r="BE6" s="232">
        <f>SUMIFS(Banco[Monto],Banco[CtaCtbl],$C6,Banco[Periodo Contable],TEXT(BE$3,"mmm-yyyy"))</f>
        <v>9081780</v>
      </c>
      <c r="BF6" s="232">
        <f>SUMIFS(Banco[Monto],Banco[CtaCtbl],$C6,Banco[Periodo Contable],TEXT(BF$3,"mmm-yyyy"))</f>
        <v>0</v>
      </c>
      <c r="BG6" s="232">
        <f>SUMIFS(Banco[Monto],Banco[CtaCtbl],$C6,Banco[Periodo Contable],TEXT(BG$3,"mmm-yyyy"))</f>
        <v>8959544</v>
      </c>
      <c r="BH6" s="232">
        <f>SUMIFS(Banco[Monto],Banco[CtaCtbl],$C6,Banco[Periodo Contable],TEXT(BH$3,"mmm-yyyy"))</f>
        <v>8938800</v>
      </c>
      <c r="BI6" s="232">
        <f>SUM(Tabla17[[#This Row],[ene-25]:[dic-25]])</f>
        <v>96415352</v>
      </c>
      <c r="BJ6" s="232">
        <f>SUMIFS(Banco[Monto],Banco[CtaCtbl],$C6,Banco[Periodo Contable],TEXT(BJ$3,"mmm-yyyy"))</f>
        <v>8933850</v>
      </c>
      <c r="BK6" s="232">
        <f>SUMIFS(Banco[Monto],Banco[CtaCtbl],$C6,Banco[Periodo Contable],TEXT(BK$3,"mmm-yyyy"))</f>
        <v>8455375</v>
      </c>
      <c r="BL6" s="232">
        <f>SUMIFS(Banco[Monto],Banco[CtaCtbl],$C6,Banco[Periodo Contable],TEXT(BL$3,"mmm-yyyy"))</f>
        <v>0</v>
      </c>
      <c r="BM6" s="232">
        <f>SUMIFS(Banco[Monto],Banco[CtaCtbl],$C6,Banco[Periodo Contable],TEXT(BM$3,"mmm-yyyy"))</f>
        <v>0</v>
      </c>
      <c r="BN6" s="232">
        <f>SUMIFS(Banco[Monto],Banco[CtaCtbl],$C6,Banco[Periodo Contable],TEXT(BN$3,"mmm-yyyy"))</f>
        <v>0</v>
      </c>
      <c r="BO6" s="232">
        <f>SUMIFS(Banco[Monto],Banco[CtaCtbl],$C6,Banco[Periodo Contable],TEXT(BO$3,"mmm-yyyy"))</f>
        <v>0</v>
      </c>
      <c r="BP6" s="232">
        <f>SUMIFS(Banco[Monto],Banco[CtaCtbl],$C6,Banco[Periodo Contable],TEXT(BP$3,"mmm-yyyy"))</f>
        <v>0</v>
      </c>
      <c r="BQ6" s="232">
        <f>SUMIFS(Banco[Monto],Banco[CtaCtbl],$C6,Banco[Periodo Contable],TEXT(BQ$3,"mmm-yyyy"))</f>
        <v>0</v>
      </c>
      <c r="BR6" s="232">
        <f>SUMIFS(Banco[Monto],Banco[CtaCtbl],$C6,Banco[Periodo Contable],TEXT(BR$3,"mmm-yyyy"))</f>
        <v>0</v>
      </c>
      <c r="BS6" s="232">
        <f>SUMIFS(Banco[Monto],Banco[CtaCtbl],$C6,Banco[Periodo Contable],TEXT(BS$3,"mmm-yyyy"))</f>
        <v>0</v>
      </c>
      <c r="BT6" s="232">
        <f>SUMIFS(Banco[Monto],Banco[CtaCtbl],$C6,Banco[Periodo Contable],TEXT(BT$3,"mmm-yyyy"))</f>
        <v>0</v>
      </c>
      <c r="BU6" s="232">
        <f>SUMIFS(Banco[Monto],Banco[CtaCtbl],$C6,Banco[Periodo Contable],TEXT(BU$3,"mmm-yyyy"))</f>
        <v>0</v>
      </c>
      <c r="BV6" s="232">
        <f>SUM(Tabla17[[#This Row],[ene-26]:[dic-26]])</f>
        <v>17389225</v>
      </c>
      <c r="BW6" s="232">
        <f>SUMIFS(Banco[Monto],Banco[CtaCtbl],$C6,Banco[Periodo Contable],TEXT(BW$3,"mmm-yyyy"))</f>
        <v>0</v>
      </c>
    </row>
    <row r="7" spans="1:75" s="367" customFormat="1" ht="21.6" outlineLevel="2">
      <c r="A7" s="228" t="s">
        <v>250</v>
      </c>
      <c r="B7" s="229" t="s">
        <v>251</v>
      </c>
      <c r="C7" s="230" t="str">
        <f>+Tabla17[[#This Row],[Cuenta]]&amp;" - "&amp;Tabla17[[#This Row],[Descripcion Cuenta]]</f>
        <v>1.01.02 - Cuota Extraordinaria</v>
      </c>
      <c r="D7" s="231"/>
      <c r="E7" s="232">
        <f>SUMIFS(Banco[Monto],Banco[CtaCtbl],$C7,Banco[Periodo Contable],TEXT(E$3,"mmm-yyyy"))</f>
        <v>0</v>
      </c>
      <c r="F7" s="232">
        <f>SUMIFS(Banco[Monto],Banco[CtaCtbl],$C7,Banco[Periodo Contable],TEXT(F$3,"mmm-yyyy"))</f>
        <v>2349346</v>
      </c>
      <c r="G7" s="232">
        <f>SUMIFS(Banco[Monto],Banco[CtaCtbl],$C7,Banco[Periodo Contable],TEXT(G$3,"mmm-yyyy"))</f>
        <v>107667</v>
      </c>
      <c r="H7" s="232">
        <f>SUMIFS(Banco[Monto],Banco[CtaCtbl],$C7,Banco[Periodo Contable],TEXT(H$3,"mmm-yyyy"))</f>
        <v>216944</v>
      </c>
      <c r="I7" s="232">
        <f>SUM(Tabla17[[#This Row],[sept-21]:[dic-21]])</f>
        <v>2673957</v>
      </c>
      <c r="J7" s="232">
        <f>SUMIFS(Banco[Monto],Banco[CtaCtbl],$C7,Banco[Periodo Contable],TEXT(J$3,"mmm-yyyy"))</f>
        <v>109242</v>
      </c>
      <c r="K7" s="232">
        <f>SUMIFS(Banco[Monto],Banco[CtaCtbl],$C7,Banco[Periodo Contable],TEXT(K$3,"mmm-yyyy"))</f>
        <v>282712</v>
      </c>
      <c r="L7" s="232">
        <f>SUMIFS(Banco[Monto],Banco[CtaCtbl],$C7,Banco[Periodo Contable],TEXT(L$3,"mmm-yyyy"))</f>
        <v>523512</v>
      </c>
      <c r="M7" s="232">
        <f>SUMIFS(Banco[Monto],Banco[CtaCtbl],$C7,Banco[Periodo Contable],TEXT(M$3,"mmm-yyyy"))</f>
        <v>0</v>
      </c>
      <c r="N7" s="232">
        <f>SUMIFS(Banco[Monto],Banco[CtaCtbl],$C7,Banco[Periodo Contable],TEXT(N$3,"mmm-yyyy"))</f>
        <v>0</v>
      </c>
      <c r="O7" s="232">
        <f>SUMIFS(Banco[Monto],Banco[CtaCtbl],$C7,Banco[Periodo Contable],TEXT(O$3,"mmm-yyyy"))</f>
        <v>82487</v>
      </c>
      <c r="P7" s="232">
        <f>SUMIFS(Banco[Monto],Banco[CtaCtbl],$C7,Banco[Periodo Contable],TEXT(P$3,"mmm-yyyy"))</f>
        <v>0</v>
      </c>
      <c r="Q7" s="232">
        <f>SUMIFS(Banco[Monto],Banco[CtaCtbl],$C7,Banco[Periodo Contable],TEXT(Q$3,"mmm-yyyy"))</f>
        <v>0</v>
      </c>
      <c r="R7" s="232">
        <f>SUMIFS(Banco[Monto],Banco[CtaCtbl],$C7,Banco[Periodo Contable],TEXT(R$3,"mmm-yyyy"))</f>
        <v>0</v>
      </c>
      <c r="S7" s="232">
        <f>SUMIFS(Banco[Monto],Banco[CtaCtbl],$C7,Banco[Periodo Contable],TEXT(S$3,"mmm-yyyy"))</f>
        <v>0</v>
      </c>
      <c r="T7" s="232">
        <f>SUMIFS(Banco[Monto],Banco[CtaCtbl],$C7,Banco[Periodo Contable],TEXT(T$3,"mmm-yyyy"))</f>
        <v>0</v>
      </c>
      <c r="U7" s="232">
        <f>SUMIFS(Banco[Monto],Banco[CtaCtbl],$C7,Banco[Periodo Contable],TEXT(U$3,"mmm-yyyy"))</f>
        <v>0</v>
      </c>
      <c r="V7" s="232">
        <f>SUM(Tabla17[[#This Row],[ene-22]:[dic-22]])</f>
        <v>997953</v>
      </c>
      <c r="W7" s="232">
        <f>SUMIFS(Banco[Monto],Banco[CtaCtbl],$C7,Banco[Periodo Contable],TEXT(W$3,"mmm-yyyy"))</f>
        <v>0</v>
      </c>
      <c r="X7" s="232">
        <f>SUMIFS(Banco[Monto],Banco[CtaCtbl],$C7,Banco[Periodo Contable],TEXT(X$3,"mmm-yyyy"))</f>
        <v>0</v>
      </c>
      <c r="Y7" s="232">
        <f>SUMIFS(Banco[Monto],Banco[CtaCtbl],$C7,Banco[Periodo Contable],TEXT(Y$3,"mmm-yyyy"))</f>
        <v>0</v>
      </c>
      <c r="Z7" s="232">
        <f>SUMIFS(Banco[Monto],Banco[CtaCtbl],$C7,Banco[Periodo Contable],TEXT(Z$3,"mmm-yyyy"))</f>
        <v>2134184</v>
      </c>
      <c r="AA7" s="232">
        <f>SUMIFS(Banco[Monto],Banco[CtaCtbl],$C7,Banco[Periodo Contable],TEXT(AA$3,"mmm-yyyy"))</f>
        <v>0</v>
      </c>
      <c r="AB7" s="232">
        <f>SUMIFS(Banco[Monto],Banco[CtaCtbl],$C7,Banco[Periodo Contable],TEXT(AB$3,"mmm-yyyy"))</f>
        <v>0</v>
      </c>
      <c r="AC7" s="232">
        <f>SUMIFS(Banco[Monto],Banco[CtaCtbl],$C7,Banco[Periodo Contable],TEXT(AC$3,"mmm-yyyy"))</f>
        <v>0</v>
      </c>
      <c r="AD7" s="232">
        <f>SUMIFS(Banco[Monto],Banco[CtaCtbl],$C7,Banco[Periodo Contable],TEXT(AD$3,"mmm-yyyy"))</f>
        <v>18025</v>
      </c>
      <c r="AE7" s="232">
        <f>SUMIFS(Banco[Monto],Banco[CtaCtbl],$C7,Banco[Periodo Contable],TEXT(AE$3,"mmm-yyyy"))</f>
        <v>277778</v>
      </c>
      <c r="AF7" s="232">
        <f>SUMIFS(Banco[Monto],Banco[CtaCtbl],$C7,Banco[Periodo Contable],TEXT(AF$3,"mmm-yyyy"))</f>
        <v>0</v>
      </c>
      <c r="AG7" s="232">
        <f>SUMIFS(Banco[Monto],Banco[CtaCtbl],$C7,Banco[Periodo Contable],TEXT(AG$3,"mmm-yyyy"))</f>
        <v>18282</v>
      </c>
      <c r="AH7" s="232">
        <f>SUMIFS(Banco[Monto],Banco[CtaCtbl],$C7,Banco[Periodo Contable],TEXT(AH$3,"mmm-yyyy"))</f>
        <v>18282</v>
      </c>
      <c r="AI7" s="232">
        <f>SUM(Tabla17[[#This Row],[ene-23]:[dic-23]])</f>
        <v>2466551</v>
      </c>
      <c r="AJ7" s="232">
        <f>SUMIFS(Banco[Monto],Banco[CtaCtbl],$C7,Banco[Periodo Contable],TEXT(AJ$3,"mmm-yyyy"))</f>
        <v>36649</v>
      </c>
      <c r="AK7" s="232">
        <f>SUMIFS(Banco[Monto],Banco[CtaCtbl],$C7,Banco[Periodo Contable],TEXT(AK$3,"mmm-yyyy"))</f>
        <v>18282</v>
      </c>
      <c r="AL7" s="232">
        <f>SUMIFS(Banco[Monto],Banco[CtaCtbl],$C7,Banco[Periodo Contable],TEXT(AL$3,"mmm-yyyy"))</f>
        <v>2257607</v>
      </c>
      <c r="AM7" s="232">
        <f>SUMIFS(Banco[Monto],Banco[CtaCtbl],$C7,Banco[Periodo Contable],TEXT(AM$3,"mmm-yyyy"))</f>
        <v>92806</v>
      </c>
      <c r="AN7" s="232">
        <f>SUMIFS(Banco[Monto],Banco[CtaCtbl],$C7,Banco[Periodo Contable],TEXT(AN$3,"mmm-yyyy"))</f>
        <v>18282</v>
      </c>
      <c r="AO7" s="232">
        <f>SUMIFS(Banco[Monto],Banco[CtaCtbl],$C7,Banco[Periodo Contable],TEXT(AO$3,"mmm-yyyy"))</f>
        <v>18282</v>
      </c>
      <c r="AP7" s="232">
        <f>SUMIFS(Banco[Monto],Banco[CtaCtbl],$C7,Banco[Periodo Contable],TEXT(AP$3,"mmm-yyyy"))</f>
        <v>18282</v>
      </c>
      <c r="AQ7" s="232">
        <f>SUMIFS(Banco[Monto],Banco[CtaCtbl],$C7,Banco[Periodo Contable],TEXT(AQ$3,"mmm-yyyy"))</f>
        <v>18282</v>
      </c>
      <c r="AR7" s="232">
        <f>SUMIFS(Banco[Monto],Banco[CtaCtbl],$C7,Banco[Periodo Contable],TEXT(AR$3,"mmm-yyyy"))</f>
        <v>18282</v>
      </c>
      <c r="AS7" s="232">
        <f>SUMIFS(Banco[Monto],Banco[CtaCtbl],$C7,Banco[Periodo Contable],TEXT(AS$3,"mmm-yyyy"))</f>
        <v>18282</v>
      </c>
      <c r="AT7" s="232">
        <f>SUMIFS(Banco[Monto],Banco[CtaCtbl],$C7,Banco[Periodo Contable],TEXT(AT$3,"mmm-yyyy"))</f>
        <v>18282</v>
      </c>
      <c r="AU7" s="232">
        <f>SUMIFS(Banco[Monto],Banco[CtaCtbl],$C7,Banco[Periodo Contable],TEXT(AU$3,"mmm-yyyy"))</f>
        <v>1450664</v>
      </c>
      <c r="AV7" s="232">
        <f>SUM(Tabla17[[#This Row],[ene-24]:[dic-24]])</f>
        <v>3983982</v>
      </c>
      <c r="AW7" s="232">
        <f>SUMIFS(Banco[Monto],Banco[CtaCtbl],$C7,Banco[Periodo Contable],TEXT(AW$3,"mmm-yyyy"))</f>
        <v>0</v>
      </c>
      <c r="AX7" s="232">
        <f>SUMIFS(Banco[Monto],Banco[CtaCtbl],$C7,Banco[Periodo Contable],TEXT(AX$3,"mmm-yyyy"))</f>
        <v>3594264</v>
      </c>
      <c r="AY7" s="232">
        <f>SUMIFS(Banco[Monto],Banco[CtaCtbl],$C7,Banco[Periodo Contable],TEXT(AY$3,"mmm-yyyy"))</f>
        <v>738986</v>
      </c>
      <c r="AZ7" s="232">
        <f>SUMIFS(Banco[Monto],Banco[CtaCtbl],$C7,Banco[Periodo Contable],TEXT(AZ$3,"mmm-yyyy"))</f>
        <v>0</v>
      </c>
      <c r="BA7" s="232">
        <f>SUMIFS(Banco[Monto],Banco[CtaCtbl],$C7,Banco[Periodo Contable],TEXT(BA$3,"mmm-yyyy"))</f>
        <v>0</v>
      </c>
      <c r="BB7" s="232">
        <f>SUMIFS(Banco[Monto],Banco[CtaCtbl],$C7,Banco[Periodo Contable],TEXT(BB$3,"mmm-yyyy"))</f>
        <v>0</v>
      </c>
      <c r="BC7" s="232">
        <f>SUMIFS(Banco[Monto],Banco[CtaCtbl],$C7,Banco[Periodo Contable],TEXT(BC$3,"mmm-yyyy"))</f>
        <v>0</v>
      </c>
      <c r="BD7" s="232">
        <f>SUMIFS(Banco[Monto],Banco[CtaCtbl],$C7,Banco[Periodo Contable],TEXT(BD$3,"mmm-yyyy"))</f>
        <v>0</v>
      </c>
      <c r="BE7" s="232">
        <f>SUMIFS(Banco[Monto],Banco[CtaCtbl],$C7,Banco[Periodo Contable],TEXT(BE$3,"mmm-yyyy"))</f>
        <v>0</v>
      </c>
      <c r="BF7" s="232">
        <f>SUMIFS(Banco[Monto],Banco[CtaCtbl],$C7,Banco[Periodo Contable],TEXT(BF$3,"mmm-yyyy"))</f>
        <v>0</v>
      </c>
      <c r="BG7" s="232">
        <f>SUMIFS(Banco[Monto],Banco[CtaCtbl],$C7,Banco[Periodo Contable],TEXT(BG$3,"mmm-yyyy"))</f>
        <v>0</v>
      </c>
      <c r="BH7" s="232">
        <f>SUMIFS(Banco[Monto],Banco[CtaCtbl],$C7,Banco[Periodo Contable],TEXT(BH$3,"mmm-yyyy"))</f>
        <v>0</v>
      </c>
      <c r="BI7" s="232">
        <f>SUM(Tabla17[[#This Row],[ene-25]:[dic-25]])</f>
        <v>4333250</v>
      </c>
      <c r="BJ7" s="232">
        <f>SUMIFS(Banco[Monto],Banco[CtaCtbl],$C7,Banco[Periodo Contable],TEXT(BJ$3,"mmm-yyyy"))</f>
        <v>0</v>
      </c>
      <c r="BK7" s="232">
        <f>SUMIFS(Banco[Monto],Banco[CtaCtbl],$C7,Banco[Periodo Contable],TEXT(BK$3,"mmm-yyyy"))</f>
        <v>0</v>
      </c>
      <c r="BL7" s="232">
        <f>SUMIFS(Banco[Monto],Banco[CtaCtbl],$C7,Banco[Periodo Contable],TEXT(BL$3,"mmm-yyyy"))</f>
        <v>0</v>
      </c>
      <c r="BM7" s="232">
        <f>SUMIFS(Banco[Monto],Banco[CtaCtbl],$C7,Banco[Periodo Contable],TEXT(BM$3,"mmm-yyyy"))</f>
        <v>0</v>
      </c>
      <c r="BN7" s="232">
        <f>SUMIFS(Banco[Monto],Banco[CtaCtbl],$C7,Banco[Periodo Contable],TEXT(BN$3,"mmm-yyyy"))</f>
        <v>0</v>
      </c>
      <c r="BO7" s="232">
        <f>SUMIFS(Banco[Monto],Banco[CtaCtbl],$C7,Banco[Periodo Contable],TEXT(BO$3,"mmm-yyyy"))</f>
        <v>0</v>
      </c>
      <c r="BP7" s="232">
        <f>SUMIFS(Banco[Monto],Banco[CtaCtbl],$C7,Banco[Periodo Contable],TEXT(BP$3,"mmm-yyyy"))</f>
        <v>0</v>
      </c>
      <c r="BQ7" s="232">
        <f>SUMIFS(Banco[Monto],Banco[CtaCtbl],$C7,Banco[Periodo Contable],TEXT(BQ$3,"mmm-yyyy"))</f>
        <v>0</v>
      </c>
      <c r="BR7" s="232">
        <f>SUMIFS(Banco[Monto],Banco[CtaCtbl],$C7,Banco[Periodo Contable],TEXT(BR$3,"mmm-yyyy"))</f>
        <v>0</v>
      </c>
      <c r="BS7" s="232">
        <f>SUMIFS(Banco[Monto],Banco[CtaCtbl],$C7,Banco[Periodo Contable],TEXT(BS$3,"mmm-yyyy"))</f>
        <v>0</v>
      </c>
      <c r="BT7" s="232">
        <f>SUMIFS(Banco[Monto],Banco[CtaCtbl],$C7,Banco[Periodo Contable],TEXT(BT$3,"mmm-yyyy"))</f>
        <v>0</v>
      </c>
      <c r="BU7" s="232">
        <f>SUMIFS(Banco[Monto],Banco[CtaCtbl],$C7,Banco[Periodo Contable],TEXT(BU$3,"mmm-yyyy"))</f>
        <v>0</v>
      </c>
      <c r="BV7" s="232">
        <f>SUM(Tabla17[[#This Row],[ene-26]:[dic-26]])</f>
        <v>0</v>
      </c>
      <c r="BW7" s="232">
        <f>SUMIFS(Banco[Monto],Banco[CtaCtbl],$C7,Banco[Periodo Contable],TEXT(BW$3,"mmm-yyyy"))</f>
        <v>0</v>
      </c>
    </row>
    <row r="8" spans="1:75" s="367" customFormat="1" ht="21.6" outlineLevel="2">
      <c r="A8" s="228" t="s">
        <v>252</v>
      </c>
      <c r="B8" s="229"/>
      <c r="C8" s="230" t="str">
        <f>+Tabla17[[#This Row],[Cuenta]]&amp;" - "&amp;Tabla17[[#This Row],[Descripcion Cuenta]]</f>
        <v xml:space="preserve">1.01.03 - </v>
      </c>
      <c r="D8" s="231"/>
      <c r="E8" s="232">
        <f>SUMIFS(Banco[Monto],Banco[CtaCtbl],$C8,Banco[Periodo Contable],TEXT(E$3,"mmm-yyyy"))</f>
        <v>0</v>
      </c>
      <c r="F8" s="232">
        <f>SUMIFS(Banco[Monto],Banco[CtaCtbl],$C8,Banco[Periodo Contable],TEXT(F$3,"mmm-yyyy"))</f>
        <v>0</v>
      </c>
      <c r="G8" s="232">
        <f>SUMIFS(Banco[Monto],Banco[CtaCtbl],$C8,Banco[Periodo Contable],TEXT(G$3,"mmm-yyyy"))</f>
        <v>0</v>
      </c>
      <c r="H8" s="232">
        <f>SUMIFS(Banco[Monto],Banco[CtaCtbl],$C8,Banco[Periodo Contable],TEXT(H$3,"mmm-yyyy"))</f>
        <v>0</v>
      </c>
      <c r="I8" s="232">
        <f>SUM(Tabla17[[#This Row],[sept-21]:[dic-21]])</f>
        <v>0</v>
      </c>
      <c r="J8" s="232">
        <f>SUMIFS(Banco[Monto],Banco[CtaCtbl],$C8,Banco[Periodo Contable],TEXT(J$3,"mmm-yyyy"))</f>
        <v>0</v>
      </c>
      <c r="K8" s="232">
        <f>SUMIFS(Banco[Monto],Banco[CtaCtbl],$C8,Banco[Periodo Contable],TEXT(K$3,"mmm-yyyy"))</f>
        <v>0</v>
      </c>
      <c r="L8" s="232">
        <f>SUMIFS(Banco[Monto],Banco[CtaCtbl],$C8,Banco[Periodo Contable],TEXT(L$3,"mmm-yyyy"))</f>
        <v>0</v>
      </c>
      <c r="M8" s="232">
        <f>SUMIFS(Banco[Monto],Banco[CtaCtbl],$C8,Banco[Periodo Contable],TEXT(M$3,"mmm-yyyy"))</f>
        <v>0</v>
      </c>
      <c r="N8" s="232">
        <f>SUMIFS(Banco[Monto],Banco[CtaCtbl],$C8,Banco[Periodo Contable],TEXT(N$3,"mmm-yyyy"))</f>
        <v>0</v>
      </c>
      <c r="O8" s="232">
        <f>SUMIFS(Banco[Monto],Banco[CtaCtbl],$C8,Banco[Periodo Contable],TEXT(O$3,"mmm-yyyy"))</f>
        <v>0</v>
      </c>
      <c r="P8" s="232">
        <f>SUMIFS(Banco[Monto],Banco[CtaCtbl],$C8,Banco[Periodo Contable],TEXT(P$3,"mmm-yyyy"))</f>
        <v>0</v>
      </c>
      <c r="Q8" s="232">
        <f>SUMIFS(Banco[Monto],Banco[CtaCtbl],$C8,Banco[Periodo Contable],TEXT(Q$3,"mmm-yyyy"))</f>
        <v>0</v>
      </c>
      <c r="R8" s="232">
        <f>SUMIFS(Banco[Monto],Banco[CtaCtbl],$C8,Banco[Periodo Contable],TEXT(R$3,"mmm-yyyy"))</f>
        <v>0</v>
      </c>
      <c r="S8" s="232">
        <f>SUMIFS(Banco[Monto],Banco[CtaCtbl],$C8,Banco[Periodo Contable],TEXT(S$3,"mmm-yyyy"))</f>
        <v>0</v>
      </c>
      <c r="T8" s="232">
        <f>SUMIFS(Banco[Monto],Banco[CtaCtbl],$C8,Banco[Periodo Contable],TEXT(T$3,"mmm-yyyy"))</f>
        <v>0</v>
      </c>
      <c r="U8" s="232">
        <f>SUMIFS(Banco[Monto],Banco[CtaCtbl],$C8,Banco[Periodo Contable],TEXT(U$3,"mmm-yyyy"))</f>
        <v>0</v>
      </c>
      <c r="V8" s="232">
        <f>SUM(Tabla17[[#This Row],[ene-22]:[dic-22]])</f>
        <v>0</v>
      </c>
      <c r="W8" s="232">
        <f>SUMIFS(Banco[Monto],Banco[CtaCtbl],$C8,Banco[Periodo Contable],TEXT(W$3,"mmm-yyyy"))</f>
        <v>0</v>
      </c>
      <c r="X8" s="232">
        <f>SUMIFS(Banco[Monto],Banco[CtaCtbl],$C8,Banco[Periodo Contable],TEXT(X$3,"mmm-yyyy"))</f>
        <v>0</v>
      </c>
      <c r="Y8" s="232">
        <f>SUMIFS(Banco[Monto],Banco[CtaCtbl],$C8,Banco[Periodo Contable],TEXT(Y$3,"mmm-yyyy"))</f>
        <v>0</v>
      </c>
      <c r="Z8" s="232">
        <f>SUMIFS(Banco[Monto],Banco[CtaCtbl],$C8,Banco[Periodo Contable],TEXT(Z$3,"mmm-yyyy"))</f>
        <v>0</v>
      </c>
      <c r="AA8" s="232">
        <f>SUMIFS(Banco[Monto],Banco[CtaCtbl],$C8,Banco[Periodo Contable],TEXT(AA$3,"mmm-yyyy"))</f>
        <v>0</v>
      </c>
      <c r="AB8" s="232">
        <f>SUMIFS(Banco[Monto],Banco[CtaCtbl],$C8,Banco[Periodo Contable],TEXT(AB$3,"mmm-yyyy"))</f>
        <v>0</v>
      </c>
      <c r="AC8" s="232">
        <f>SUMIFS(Banco[Monto],Banco[CtaCtbl],$C8,Banco[Periodo Contable],TEXT(AC$3,"mmm-yyyy"))</f>
        <v>0</v>
      </c>
      <c r="AD8" s="232">
        <f>SUMIFS(Banco[Monto],Banco[CtaCtbl],$C8,Banco[Periodo Contable],TEXT(AD$3,"mmm-yyyy"))</f>
        <v>0</v>
      </c>
      <c r="AE8" s="232">
        <f>SUMIFS(Banco[Monto],Banco[CtaCtbl],$C8,Banco[Periodo Contable],TEXT(AE$3,"mmm-yyyy"))</f>
        <v>0</v>
      </c>
      <c r="AF8" s="232">
        <f>SUMIFS(Banco[Monto],Banco[CtaCtbl],$C8,Banco[Periodo Contable],TEXT(AF$3,"mmm-yyyy"))</f>
        <v>0</v>
      </c>
      <c r="AG8" s="232">
        <f>SUMIFS(Banco[Monto],Banco[CtaCtbl],$C8,Banco[Periodo Contable],TEXT(AG$3,"mmm-yyyy"))</f>
        <v>0</v>
      </c>
      <c r="AH8" s="232">
        <f>SUMIFS(Banco[Monto],Banco[CtaCtbl],$C8,Banco[Periodo Contable],TEXT(AH$3,"mmm-yyyy"))</f>
        <v>0</v>
      </c>
      <c r="AI8" s="232">
        <f>SUM(Tabla17[[#This Row],[ene-23]:[dic-23]])</f>
        <v>0</v>
      </c>
      <c r="AJ8" s="232">
        <f>SUMIFS(Banco[Monto],Banco[CtaCtbl],$C8,Banco[Periodo Contable],TEXT(AJ$3,"mmm-yyyy"))</f>
        <v>0</v>
      </c>
      <c r="AK8" s="232">
        <f>SUMIFS(Banco[Monto],Banco[CtaCtbl],$C8,Banco[Periodo Contable],TEXT(AK$3,"mmm-yyyy"))</f>
        <v>0</v>
      </c>
      <c r="AL8" s="232">
        <f>SUMIFS(Banco[Monto],Banco[CtaCtbl],$C8,Banco[Periodo Contable],TEXT(AL$3,"mmm-yyyy"))</f>
        <v>0</v>
      </c>
      <c r="AM8" s="232">
        <f>SUMIFS(Banco[Monto],Banco[CtaCtbl],$C8,Banco[Periodo Contable],TEXT(AM$3,"mmm-yyyy"))</f>
        <v>0</v>
      </c>
      <c r="AN8" s="232">
        <f>SUMIFS(Banco[Monto],Banco[CtaCtbl],$C8,Banco[Periodo Contable],TEXT(AN$3,"mmm-yyyy"))</f>
        <v>0</v>
      </c>
      <c r="AO8" s="232">
        <f>SUMIFS(Banco[Monto],Banco[CtaCtbl],$C8,Banco[Periodo Contable],TEXT(AO$3,"mmm-yyyy"))</f>
        <v>0</v>
      </c>
      <c r="AP8" s="232">
        <f>SUMIFS(Banco[Monto],Banco[CtaCtbl],$C8,Banco[Periodo Contable],TEXT(AP$3,"mmm-yyyy"))</f>
        <v>0</v>
      </c>
      <c r="AQ8" s="232">
        <f>SUMIFS(Banco[Monto],Banco[CtaCtbl],$C8,Banco[Periodo Contable],TEXT(AQ$3,"mmm-yyyy"))</f>
        <v>0</v>
      </c>
      <c r="AR8" s="232">
        <f>SUMIFS(Banco[Monto],Banco[CtaCtbl],$C8,Banco[Periodo Contable],TEXT(AR$3,"mmm-yyyy"))</f>
        <v>0</v>
      </c>
      <c r="AS8" s="232">
        <f>SUMIFS(Banco[Monto],Banco[CtaCtbl],$C8,Banco[Periodo Contable],TEXT(AS$3,"mmm-yyyy"))</f>
        <v>0</v>
      </c>
      <c r="AT8" s="232">
        <f>SUMIFS(Banco[Monto],Banco[CtaCtbl],$C8,Banco[Periodo Contable],TEXT(AT$3,"mmm-yyyy"))</f>
        <v>0</v>
      </c>
      <c r="AU8" s="232">
        <f>SUMIFS(Banco[Monto],Banco[CtaCtbl],$C8,Banco[Periodo Contable],TEXT(AU$3,"mmm-yyyy"))</f>
        <v>0</v>
      </c>
      <c r="AV8" s="232">
        <f>SUM(Tabla17[[#This Row],[ene-24]:[dic-24]])</f>
        <v>0</v>
      </c>
      <c r="AW8" s="232">
        <f>SUMIFS(Banco[Monto],Banco[CtaCtbl],$C8,Banco[Periodo Contable],TEXT(AW$3,"mmm-yyyy"))</f>
        <v>0</v>
      </c>
      <c r="AX8" s="232">
        <f>SUMIFS(Banco[Monto],Banco[CtaCtbl],$C8,Banco[Periodo Contable],TEXT(AX$3,"mmm-yyyy"))</f>
        <v>0</v>
      </c>
      <c r="AY8" s="232">
        <f>SUMIFS(Banco[Monto],Banco[CtaCtbl],$C8,Banco[Periodo Contable],TEXT(AY$3,"mmm-yyyy"))</f>
        <v>0</v>
      </c>
      <c r="AZ8" s="232">
        <f>SUMIFS(Banco[Monto],Banco[CtaCtbl],$C8,Banco[Periodo Contable],TEXT(AZ$3,"mmm-yyyy"))</f>
        <v>0</v>
      </c>
      <c r="BA8" s="232">
        <f>SUMIFS(Banco[Monto],Banco[CtaCtbl],$C8,Banco[Periodo Contable],TEXT(BA$3,"mmm-yyyy"))</f>
        <v>0</v>
      </c>
      <c r="BB8" s="232">
        <f>SUMIFS(Banco[Monto],Banco[CtaCtbl],$C8,Banco[Periodo Contable],TEXT(BB$3,"mmm-yyyy"))</f>
        <v>0</v>
      </c>
      <c r="BC8" s="232">
        <f>SUMIFS(Banco[Monto],Banco[CtaCtbl],$C8,Banco[Periodo Contable],TEXT(BC$3,"mmm-yyyy"))</f>
        <v>0</v>
      </c>
      <c r="BD8" s="232">
        <f>SUMIFS(Banco[Monto],Banco[CtaCtbl],$C8,Banco[Periodo Contable],TEXT(BD$3,"mmm-yyyy"))</f>
        <v>0</v>
      </c>
      <c r="BE8" s="232">
        <f>SUMIFS(Banco[Monto],Banco[CtaCtbl],$C8,Banco[Periodo Contable],TEXT(BE$3,"mmm-yyyy"))</f>
        <v>0</v>
      </c>
      <c r="BF8" s="232">
        <f>SUMIFS(Banco[Monto],Banco[CtaCtbl],$C8,Banco[Periodo Contable],TEXT(BF$3,"mmm-yyyy"))</f>
        <v>0</v>
      </c>
      <c r="BG8" s="232">
        <f>SUMIFS(Banco[Monto],Banco[CtaCtbl],$C8,Banco[Periodo Contable],TEXT(BG$3,"mmm-yyyy"))</f>
        <v>0</v>
      </c>
      <c r="BH8" s="232">
        <f>SUMIFS(Banco[Monto],Banco[CtaCtbl],$C8,Banco[Periodo Contable],TEXT(BH$3,"mmm-yyyy"))</f>
        <v>0</v>
      </c>
      <c r="BI8" s="232">
        <f>SUM(Tabla17[[#This Row],[ene-25]:[dic-25]])</f>
        <v>0</v>
      </c>
      <c r="BJ8" s="232">
        <f>SUMIFS(Banco[Monto],Banco[CtaCtbl],$C8,Banco[Periodo Contable],TEXT(BJ$3,"mmm-yyyy"))</f>
        <v>0</v>
      </c>
      <c r="BK8" s="232">
        <f>SUMIFS(Banco[Monto],Banco[CtaCtbl],$C8,Banco[Periodo Contable],TEXT(BK$3,"mmm-yyyy"))</f>
        <v>0</v>
      </c>
      <c r="BL8" s="232">
        <f>SUMIFS(Banco[Monto],Banco[CtaCtbl],$C8,Banco[Periodo Contable],TEXT(BL$3,"mmm-yyyy"))</f>
        <v>0</v>
      </c>
      <c r="BM8" s="232">
        <f>SUMIFS(Banco[Monto],Banco[CtaCtbl],$C8,Banco[Periodo Contable],TEXT(BM$3,"mmm-yyyy"))</f>
        <v>0</v>
      </c>
      <c r="BN8" s="232">
        <f>SUMIFS(Banco[Monto],Banco[CtaCtbl],$C8,Banco[Periodo Contable],TEXT(BN$3,"mmm-yyyy"))</f>
        <v>0</v>
      </c>
      <c r="BO8" s="232">
        <f>SUMIFS(Banco[Monto],Banco[CtaCtbl],$C8,Banco[Periodo Contable],TEXT(BO$3,"mmm-yyyy"))</f>
        <v>0</v>
      </c>
      <c r="BP8" s="232">
        <f>SUMIFS(Banco[Monto],Banco[CtaCtbl],$C8,Banco[Periodo Contable],TEXT(BP$3,"mmm-yyyy"))</f>
        <v>0</v>
      </c>
      <c r="BQ8" s="232">
        <f>SUMIFS(Banco[Monto],Banco[CtaCtbl],$C8,Banco[Periodo Contable],TEXT(BQ$3,"mmm-yyyy"))</f>
        <v>0</v>
      </c>
      <c r="BR8" s="232">
        <f>SUMIFS(Banco[Monto],Banco[CtaCtbl],$C8,Banco[Periodo Contable],TEXT(BR$3,"mmm-yyyy"))</f>
        <v>0</v>
      </c>
      <c r="BS8" s="232">
        <f>SUMIFS(Banco[Monto],Banco[CtaCtbl],$C8,Banco[Periodo Contable],TEXT(BS$3,"mmm-yyyy"))</f>
        <v>0</v>
      </c>
      <c r="BT8" s="232">
        <f>SUMIFS(Banco[Monto],Banco[CtaCtbl],$C8,Banco[Periodo Contable],TEXT(BT$3,"mmm-yyyy"))</f>
        <v>0</v>
      </c>
      <c r="BU8" s="232">
        <f>SUMIFS(Banco[Monto],Banco[CtaCtbl],$C8,Banco[Periodo Contable],TEXT(BU$3,"mmm-yyyy"))</f>
        <v>0</v>
      </c>
      <c r="BV8" s="232">
        <f>SUM(Tabla17[[#This Row],[ene-26]:[dic-26]])</f>
        <v>0</v>
      </c>
      <c r="BW8" s="232">
        <f>SUMIFS(Banco[Monto],Banco[CtaCtbl],$C8,Banco[Periodo Contable],TEXT(BW$3,"mmm-yyyy"))</f>
        <v>0</v>
      </c>
    </row>
    <row r="9" spans="1:75" s="294" customFormat="1" ht="21.6" outlineLevel="1">
      <c r="A9" s="331" t="s">
        <v>253</v>
      </c>
      <c r="B9" s="332" t="s">
        <v>254</v>
      </c>
      <c r="C9" s="333" t="str">
        <f>+Tabla17[[#This Row],[Cuenta]]&amp;" - "&amp;Tabla17[[#This Row],[Descripcion Cuenta]]</f>
        <v xml:space="preserve">1.02 - Multas </v>
      </c>
      <c r="D9" s="334"/>
      <c r="E9" s="335">
        <f>SUBTOTAL(9,E10:E11)</f>
        <v>0</v>
      </c>
      <c r="F9" s="335">
        <f>SUBTOTAL(9,F10:F11)</f>
        <v>0</v>
      </c>
      <c r="G9" s="335">
        <f t="shared" ref="G9:BW9" si="29">SUBTOTAL(9,G10:G11)</f>
        <v>0</v>
      </c>
      <c r="H9" s="335">
        <f t="shared" si="29"/>
        <v>0</v>
      </c>
      <c r="I9" s="335">
        <f>SUM(Tabla17[[#This Row],[sept-21]:[dic-21]])</f>
        <v>0</v>
      </c>
      <c r="J9" s="335">
        <f t="shared" si="29"/>
        <v>0</v>
      </c>
      <c r="K9" s="335">
        <f t="shared" si="29"/>
        <v>0</v>
      </c>
      <c r="L9" s="335">
        <f t="shared" si="29"/>
        <v>0</v>
      </c>
      <c r="M9" s="335">
        <f t="shared" si="29"/>
        <v>0</v>
      </c>
      <c r="N9" s="335">
        <f t="shared" si="29"/>
        <v>0</v>
      </c>
      <c r="O9" s="335">
        <f t="shared" si="29"/>
        <v>0</v>
      </c>
      <c r="P9" s="335">
        <f t="shared" si="29"/>
        <v>0</v>
      </c>
      <c r="Q9" s="335">
        <f t="shared" si="29"/>
        <v>0</v>
      </c>
      <c r="R9" s="335">
        <f t="shared" si="29"/>
        <v>0</v>
      </c>
      <c r="S9" s="335">
        <f t="shared" si="29"/>
        <v>0</v>
      </c>
      <c r="T9" s="335">
        <f t="shared" si="29"/>
        <v>0</v>
      </c>
      <c r="U9" s="335">
        <f t="shared" si="29"/>
        <v>0</v>
      </c>
      <c r="V9" s="335">
        <f t="shared" si="29"/>
        <v>0</v>
      </c>
      <c r="W9" s="335">
        <f t="shared" si="29"/>
        <v>0</v>
      </c>
      <c r="X9" s="335">
        <f t="shared" si="29"/>
        <v>0</v>
      </c>
      <c r="Y9" s="335">
        <f t="shared" si="29"/>
        <v>0</v>
      </c>
      <c r="Z9" s="335">
        <f t="shared" si="29"/>
        <v>0</v>
      </c>
      <c r="AA9" s="335">
        <f t="shared" si="29"/>
        <v>0</v>
      </c>
      <c r="AB9" s="335">
        <f t="shared" si="29"/>
        <v>0</v>
      </c>
      <c r="AC9" s="335">
        <f t="shared" si="29"/>
        <v>0</v>
      </c>
      <c r="AD9" s="335">
        <f t="shared" si="29"/>
        <v>0</v>
      </c>
      <c r="AE9" s="335">
        <f t="shared" si="29"/>
        <v>0</v>
      </c>
      <c r="AF9" s="335">
        <f t="shared" si="29"/>
        <v>0</v>
      </c>
      <c r="AG9" s="335">
        <f t="shared" si="29"/>
        <v>0</v>
      </c>
      <c r="AH9" s="335">
        <f t="shared" si="29"/>
        <v>0</v>
      </c>
      <c r="AI9" s="335">
        <f t="shared" si="29"/>
        <v>0</v>
      </c>
      <c r="AJ9" s="335">
        <f t="shared" si="29"/>
        <v>0</v>
      </c>
      <c r="AK9" s="335">
        <f t="shared" si="29"/>
        <v>0</v>
      </c>
      <c r="AL9" s="335">
        <f t="shared" si="29"/>
        <v>0</v>
      </c>
      <c r="AM9" s="335">
        <f t="shared" si="29"/>
        <v>0</v>
      </c>
      <c r="AN9" s="335">
        <f t="shared" si="29"/>
        <v>0</v>
      </c>
      <c r="AO9" s="335">
        <f t="shared" si="29"/>
        <v>0</v>
      </c>
      <c r="AP9" s="335">
        <f t="shared" si="29"/>
        <v>0</v>
      </c>
      <c r="AQ9" s="335">
        <f t="shared" si="29"/>
        <v>0</v>
      </c>
      <c r="AR9" s="335">
        <f t="shared" si="29"/>
        <v>0</v>
      </c>
      <c r="AS9" s="335">
        <f t="shared" si="29"/>
        <v>0</v>
      </c>
      <c r="AT9" s="335">
        <f t="shared" si="29"/>
        <v>0</v>
      </c>
      <c r="AU9" s="335">
        <f t="shared" si="29"/>
        <v>0</v>
      </c>
      <c r="AV9" s="335">
        <f t="shared" si="29"/>
        <v>0</v>
      </c>
      <c r="AW9" s="335">
        <f>SUBTOTAL(9,AW10:AW11)</f>
        <v>0</v>
      </c>
      <c r="AX9" s="335">
        <f t="shared" ref="AX9:BH9" si="30">SUBTOTAL(9,AX10:AX11)</f>
        <v>0</v>
      </c>
      <c r="AY9" s="335">
        <f t="shared" si="30"/>
        <v>0</v>
      </c>
      <c r="AZ9" s="335">
        <f t="shared" si="30"/>
        <v>0</v>
      </c>
      <c r="BA9" s="335">
        <f t="shared" si="30"/>
        <v>0</v>
      </c>
      <c r="BB9" s="335">
        <f t="shared" si="30"/>
        <v>0</v>
      </c>
      <c r="BC9" s="335">
        <f t="shared" si="30"/>
        <v>0</v>
      </c>
      <c r="BD9" s="335">
        <f t="shared" si="30"/>
        <v>0</v>
      </c>
      <c r="BE9" s="335">
        <f t="shared" si="30"/>
        <v>0</v>
      </c>
      <c r="BF9" s="335">
        <f t="shared" si="30"/>
        <v>0</v>
      </c>
      <c r="BG9" s="335">
        <f t="shared" si="30"/>
        <v>0</v>
      </c>
      <c r="BH9" s="335">
        <f t="shared" si="30"/>
        <v>0</v>
      </c>
      <c r="BI9" s="335">
        <f>SUBTOTAL(9,BI10:BI11)</f>
        <v>0</v>
      </c>
      <c r="BJ9" s="335">
        <f t="shared" ref="BJ9" si="31">SUBTOTAL(9,BJ10:BJ11)</f>
        <v>0</v>
      </c>
      <c r="BK9" s="335">
        <f t="shared" ref="BK9" si="32">SUBTOTAL(9,BK10:BK11)</f>
        <v>0</v>
      </c>
      <c r="BL9" s="335">
        <f t="shared" ref="BL9" si="33">SUBTOTAL(9,BL10:BL11)</f>
        <v>0</v>
      </c>
      <c r="BM9" s="335">
        <f t="shared" ref="BM9" si="34">SUBTOTAL(9,BM10:BM11)</f>
        <v>0</v>
      </c>
      <c r="BN9" s="335">
        <f t="shared" ref="BN9" si="35">SUBTOTAL(9,BN10:BN11)</f>
        <v>0</v>
      </c>
      <c r="BO9" s="335">
        <f t="shared" ref="BO9" si="36">SUBTOTAL(9,BO10:BO11)</f>
        <v>0</v>
      </c>
      <c r="BP9" s="335">
        <f t="shared" ref="BP9" si="37">SUBTOTAL(9,BP10:BP11)</f>
        <v>0</v>
      </c>
      <c r="BQ9" s="335">
        <f t="shared" ref="BQ9" si="38">SUBTOTAL(9,BQ10:BQ11)</f>
        <v>0</v>
      </c>
      <c r="BR9" s="335">
        <f t="shared" ref="BR9" si="39">SUBTOTAL(9,BR10:BR11)</f>
        <v>0</v>
      </c>
      <c r="BS9" s="335">
        <f t="shared" ref="BS9" si="40">SUBTOTAL(9,BS10:BS11)</f>
        <v>0</v>
      </c>
      <c r="BT9" s="335">
        <f t="shared" ref="BT9" si="41">SUBTOTAL(9,BT10:BT11)</f>
        <v>0</v>
      </c>
      <c r="BU9" s="335">
        <f t="shared" ref="BU9" si="42">SUBTOTAL(9,BU10:BU11)</f>
        <v>0</v>
      </c>
      <c r="BV9" s="335">
        <f>SUBTOTAL(9,BV10:BV11)</f>
        <v>0</v>
      </c>
      <c r="BW9" s="335">
        <f t="shared" si="29"/>
        <v>0</v>
      </c>
    </row>
    <row r="10" spans="1:75" s="368" customFormat="1" ht="21.6" outlineLevel="2">
      <c r="A10" s="214" t="s">
        <v>255</v>
      </c>
      <c r="B10" s="58" t="s">
        <v>256</v>
      </c>
      <c r="C10" s="233" t="str">
        <f>+Tabla17[[#This Row],[Cuenta]]&amp;" - "&amp;Tabla17[[#This Row],[Descripcion Cuenta]]</f>
        <v>1.02.01 - Multa Inasistencia</v>
      </c>
      <c r="D10" s="215"/>
      <c r="E10" s="216">
        <f>SUMIFS(Banco[Monto],Banco[CtaCtbl],$C10,Banco[Periodo Contable],TEXT(E$3,"mmm-yyyy"))</f>
        <v>0</v>
      </c>
      <c r="F10" s="216">
        <f>SUMIFS(Banco[Monto],Banco[CtaCtbl],$C10,Banco[Periodo Contable],TEXT(F$3,"mmm-yyyy"))</f>
        <v>0</v>
      </c>
      <c r="G10" s="216">
        <f>SUMIFS(Banco[Monto],Banco[CtaCtbl],$C10,Banco[Periodo Contable],TEXT(G$3,"mmm-yyyy"))</f>
        <v>0</v>
      </c>
      <c r="H10" s="216">
        <f>SUMIFS(Banco[Monto],Banco[CtaCtbl],$C10,Banco[Periodo Contable],TEXT(H$3,"mmm-yyyy"))</f>
        <v>0</v>
      </c>
      <c r="I10" s="216">
        <f>SUM(Tabla17[[#This Row],[sept-21]:[dic-21]])</f>
        <v>0</v>
      </c>
      <c r="J10" s="216">
        <f>SUMIFS(Banco[Monto],Banco[CtaCtbl],$C10,Banco[Periodo Contable],TEXT(J$3,"mmm-yyyy"))</f>
        <v>0</v>
      </c>
      <c r="K10" s="216">
        <f>SUMIFS(Banco[Monto],Banco[CtaCtbl],$C10,Banco[Periodo Contable],TEXT(K$3,"mmm-yyyy"))</f>
        <v>0</v>
      </c>
      <c r="L10" s="216">
        <f>SUMIFS(Banco[Monto],Banco[CtaCtbl],$C10,Banco[Periodo Contable],TEXT(L$3,"mmm-yyyy"))</f>
        <v>0</v>
      </c>
      <c r="M10" s="216">
        <f>SUMIFS(Banco[Monto],Banco[CtaCtbl],$C10,Banco[Periodo Contable],TEXT(M$3,"mmm-yyyy"))</f>
        <v>0</v>
      </c>
      <c r="N10" s="216">
        <f>SUMIFS(Banco[Monto],Banco[CtaCtbl],$C10,Banco[Periodo Contable],TEXT(N$3,"mmm-yyyy"))</f>
        <v>0</v>
      </c>
      <c r="O10" s="216">
        <f>SUMIFS(Banco[Monto],Banco[CtaCtbl],$C10,Banco[Periodo Contable],TEXT(O$3,"mmm-yyyy"))</f>
        <v>0</v>
      </c>
      <c r="P10" s="216">
        <f>SUMIFS(Banco[Monto],Banco[CtaCtbl],$C10,Banco[Periodo Contable],TEXT(P$3,"mmm-yyyy"))</f>
        <v>0</v>
      </c>
      <c r="Q10" s="216">
        <f>SUMIFS(Banco[Monto],Banco[CtaCtbl],$C10,Banco[Periodo Contable],TEXT(Q$3,"mmm-yyyy"))</f>
        <v>0</v>
      </c>
      <c r="R10" s="216">
        <f>SUMIFS(Banco[Monto],Banco[CtaCtbl],$C10,Banco[Periodo Contable],TEXT(R$3,"mmm-yyyy"))</f>
        <v>0</v>
      </c>
      <c r="S10" s="216">
        <f>SUMIFS(Banco[Monto],Banco[CtaCtbl],$C10,Banco[Periodo Contable],TEXT(S$3,"mmm-yyyy"))</f>
        <v>0</v>
      </c>
      <c r="T10" s="216">
        <f>SUMIFS(Banco[Monto],Banco[CtaCtbl],$C10,Banco[Periodo Contable],TEXT(T$3,"mmm-yyyy"))</f>
        <v>0</v>
      </c>
      <c r="U10" s="216">
        <f>SUMIFS(Banco[Monto],Banco[CtaCtbl],$C10,Banco[Periodo Contable],TEXT(U$3,"mmm-yyyy"))</f>
        <v>0</v>
      </c>
      <c r="V10" s="232">
        <f>SUM(Tabla17[[#This Row],[ene-22]:[dic-22]])</f>
        <v>0</v>
      </c>
      <c r="W10" s="216">
        <f>SUMIFS(Banco[Monto],Banco[CtaCtbl],$C10,Banco[Periodo Contable],TEXT(W$3,"mmm-yyyy"))</f>
        <v>0</v>
      </c>
      <c r="X10" s="216">
        <f>SUMIFS(Banco[Monto],Banco[CtaCtbl],$C10,Banco[Periodo Contable],TEXT(X$3,"mmm-yyyy"))</f>
        <v>0</v>
      </c>
      <c r="Y10" s="216">
        <f>SUMIFS(Banco[Monto],Banco[CtaCtbl],$C10,Banco[Periodo Contable],TEXT(Y$3,"mmm-yyyy"))</f>
        <v>0</v>
      </c>
      <c r="Z10" s="216">
        <f>SUMIFS(Banco[Monto],Banco[CtaCtbl],$C10,Banco[Periodo Contable],TEXT(Z$3,"mmm-yyyy"))</f>
        <v>0</v>
      </c>
      <c r="AA10" s="216">
        <f>SUMIFS(Banco[Monto],Banco[CtaCtbl],$C10,Banco[Periodo Contable],TEXT(AA$3,"mmm-yyyy"))</f>
        <v>0</v>
      </c>
      <c r="AB10" s="216">
        <f>SUMIFS(Banco[Monto],Banco[CtaCtbl],$C10,Banco[Periodo Contable],TEXT(AB$3,"mmm-yyyy"))</f>
        <v>0</v>
      </c>
      <c r="AC10" s="216">
        <f>SUMIFS(Banco[Monto],Banco[CtaCtbl],$C10,Banco[Periodo Contable],TEXT(AC$3,"mmm-yyyy"))</f>
        <v>0</v>
      </c>
      <c r="AD10" s="216">
        <f>SUMIFS(Banco[Monto],Banco[CtaCtbl],$C10,Banco[Periodo Contable],TEXT(AD$3,"mmm-yyyy"))</f>
        <v>0</v>
      </c>
      <c r="AE10" s="216">
        <f>SUMIFS(Banco[Monto],Banco[CtaCtbl],$C10,Banco[Periodo Contable],TEXT(AE$3,"mmm-yyyy"))</f>
        <v>0</v>
      </c>
      <c r="AF10" s="216">
        <f>SUMIFS(Banco[Monto],Banco[CtaCtbl],$C10,Banco[Periodo Contable],TEXT(AF$3,"mmm-yyyy"))</f>
        <v>0</v>
      </c>
      <c r="AG10" s="216">
        <f>SUMIFS(Banco[Monto],Banco[CtaCtbl],$C10,Banco[Periodo Contable],TEXT(AG$3,"mmm-yyyy"))</f>
        <v>0</v>
      </c>
      <c r="AH10" s="216">
        <f>SUMIFS(Banco[Monto],Banco[CtaCtbl],$C10,Banco[Periodo Contable],TEXT(AH$3,"mmm-yyyy"))</f>
        <v>0</v>
      </c>
      <c r="AI10" s="232">
        <f>SUM(Tabla17[[#This Row],[ene-23]:[dic-23]])</f>
        <v>0</v>
      </c>
      <c r="AJ10" s="216">
        <f>SUMIFS(Banco[Monto],Banco[CtaCtbl],$C10,Banco[Periodo Contable],TEXT(AJ$3,"mmm-yyyy"))</f>
        <v>0</v>
      </c>
      <c r="AK10" s="216">
        <f>SUMIFS(Banco[Monto],Banco[CtaCtbl],$C10,Banco[Periodo Contable],TEXT(AK$3,"mmm-yyyy"))</f>
        <v>0</v>
      </c>
      <c r="AL10" s="216">
        <f>SUMIFS(Banco[Monto],Banco[CtaCtbl],$C10,Banco[Periodo Contable],TEXT(AL$3,"mmm-yyyy"))</f>
        <v>0</v>
      </c>
      <c r="AM10" s="216">
        <f>SUMIFS(Banco[Monto],Banco[CtaCtbl],$C10,Banco[Periodo Contable],TEXT(AM$3,"mmm-yyyy"))</f>
        <v>0</v>
      </c>
      <c r="AN10" s="216">
        <f>SUMIFS(Banco[Monto],Banco[CtaCtbl],$C10,Banco[Periodo Contable],TEXT(AN$3,"mmm-yyyy"))</f>
        <v>0</v>
      </c>
      <c r="AO10" s="216">
        <f>SUMIFS(Banco[Monto],Banco[CtaCtbl],$C10,Banco[Periodo Contable],TEXT(AO$3,"mmm-yyyy"))</f>
        <v>0</v>
      </c>
      <c r="AP10" s="216">
        <f>SUMIFS(Banco[Monto],Banco[CtaCtbl],$C10,Banco[Periodo Contable],TEXT(AP$3,"mmm-yyyy"))</f>
        <v>0</v>
      </c>
      <c r="AQ10" s="216">
        <f>SUMIFS(Banco[Monto],Banco[CtaCtbl],$C10,Banco[Periodo Contable],TEXT(AQ$3,"mmm-yyyy"))</f>
        <v>0</v>
      </c>
      <c r="AR10" s="216">
        <f>SUMIFS(Banco[Monto],Banco[CtaCtbl],$C10,Banco[Periodo Contable],TEXT(AR$3,"mmm-yyyy"))</f>
        <v>0</v>
      </c>
      <c r="AS10" s="216">
        <f>SUMIFS(Banco[Monto],Banco[CtaCtbl],$C10,Banco[Periodo Contable],TEXT(AS$3,"mmm-yyyy"))</f>
        <v>0</v>
      </c>
      <c r="AT10" s="216">
        <f>SUMIFS(Banco[Monto],Banco[CtaCtbl],$C10,Banco[Periodo Contable],TEXT(AT$3,"mmm-yyyy"))</f>
        <v>0</v>
      </c>
      <c r="AU10" s="216">
        <f>SUMIFS(Banco[Monto],Banco[CtaCtbl],$C10,Banco[Periodo Contable],TEXT(AU$3,"mmm-yyyy"))</f>
        <v>0</v>
      </c>
      <c r="AV10" s="232">
        <f>SUM(Tabla17[[#This Row],[ene-24]:[dic-24]])</f>
        <v>0</v>
      </c>
      <c r="AW10" s="216">
        <f>SUMIFS(Banco[Monto],Banco[CtaCtbl],$C10,Banco[Periodo Contable],TEXT(AW$3,"mmm-yyyy"))</f>
        <v>0</v>
      </c>
      <c r="AX10" s="216">
        <f>SUMIFS(Banco[Monto],Banco[CtaCtbl],$C10,Banco[Periodo Contable],TEXT(AX$3,"mmm-yyyy"))</f>
        <v>0</v>
      </c>
      <c r="AY10" s="216">
        <f>SUMIFS(Banco[Monto],Banco[CtaCtbl],$C10,Banco[Periodo Contable],TEXT(AY$3,"mmm-yyyy"))</f>
        <v>0</v>
      </c>
      <c r="AZ10" s="216">
        <f>SUMIFS(Banco[Monto],Banco[CtaCtbl],$C10,Banco[Periodo Contable],TEXT(AZ$3,"mmm-yyyy"))</f>
        <v>0</v>
      </c>
      <c r="BA10" s="216">
        <f>SUMIFS(Banco[Monto],Banco[CtaCtbl],$C10,Banco[Periodo Contable],TEXT(BA$3,"mmm-yyyy"))</f>
        <v>0</v>
      </c>
      <c r="BB10" s="216">
        <f>SUMIFS(Banco[Monto],Banco[CtaCtbl],$C10,Banco[Periodo Contable],TEXT(BB$3,"mmm-yyyy"))</f>
        <v>0</v>
      </c>
      <c r="BC10" s="216">
        <f>SUMIFS(Banco[Monto],Banco[CtaCtbl],$C10,Banco[Periodo Contable],TEXT(BC$3,"mmm-yyyy"))</f>
        <v>0</v>
      </c>
      <c r="BD10" s="216">
        <f>SUMIFS(Banco[Monto],Banco[CtaCtbl],$C10,Banco[Periodo Contable],TEXT(BD$3,"mmm-yyyy"))</f>
        <v>0</v>
      </c>
      <c r="BE10" s="216">
        <f>SUMIFS(Banco[Monto],Banco[CtaCtbl],$C10,Banco[Periodo Contable],TEXT(BE$3,"mmm-yyyy"))</f>
        <v>0</v>
      </c>
      <c r="BF10" s="216">
        <f>SUMIFS(Banco[Monto],Banco[CtaCtbl],$C10,Banco[Periodo Contable],TEXT(BF$3,"mmm-yyyy"))</f>
        <v>0</v>
      </c>
      <c r="BG10" s="216">
        <f>SUMIFS(Banco[Monto],Banco[CtaCtbl],$C10,Banco[Periodo Contable],TEXT(BG$3,"mmm-yyyy"))</f>
        <v>0</v>
      </c>
      <c r="BH10" s="216">
        <f>SUMIFS(Banco[Monto],Banco[CtaCtbl],$C10,Banco[Periodo Contable],TEXT(BH$3,"mmm-yyyy"))</f>
        <v>0</v>
      </c>
      <c r="BI10" s="232">
        <f>SUM(Tabla17[[#This Row],[ene-25]:[dic-25]])</f>
        <v>0</v>
      </c>
      <c r="BJ10" s="216">
        <f>SUMIFS(Banco[Monto],Banco[CtaCtbl],$C10,Banco[Periodo Contable],TEXT(BJ$3,"mmm-yyyy"))</f>
        <v>0</v>
      </c>
      <c r="BK10" s="216">
        <f>SUMIFS(Banco[Monto],Banco[CtaCtbl],$C10,Banco[Periodo Contable],TEXT(BK$3,"mmm-yyyy"))</f>
        <v>0</v>
      </c>
      <c r="BL10" s="216">
        <f>SUMIFS(Banco[Monto],Banco[CtaCtbl],$C10,Banco[Periodo Contable],TEXT(BL$3,"mmm-yyyy"))</f>
        <v>0</v>
      </c>
      <c r="BM10" s="216">
        <f>SUMIFS(Banco[Monto],Banco[CtaCtbl],$C10,Banco[Periodo Contable],TEXT(BM$3,"mmm-yyyy"))</f>
        <v>0</v>
      </c>
      <c r="BN10" s="216">
        <f>SUMIFS(Banco[Monto],Banco[CtaCtbl],$C10,Banco[Periodo Contable],TEXT(BN$3,"mmm-yyyy"))</f>
        <v>0</v>
      </c>
      <c r="BO10" s="216">
        <f>SUMIFS(Banco[Monto],Banco[CtaCtbl],$C10,Banco[Periodo Contable],TEXT(BO$3,"mmm-yyyy"))</f>
        <v>0</v>
      </c>
      <c r="BP10" s="216">
        <f>SUMIFS(Banco[Monto],Banco[CtaCtbl],$C10,Banco[Periodo Contable],TEXT(BP$3,"mmm-yyyy"))</f>
        <v>0</v>
      </c>
      <c r="BQ10" s="216">
        <f>SUMIFS(Banco[Monto],Banco[CtaCtbl],$C10,Banco[Periodo Contable],TEXT(BQ$3,"mmm-yyyy"))</f>
        <v>0</v>
      </c>
      <c r="BR10" s="216">
        <f>SUMIFS(Banco[Monto],Banco[CtaCtbl],$C10,Banco[Periodo Contable],TEXT(BR$3,"mmm-yyyy"))</f>
        <v>0</v>
      </c>
      <c r="BS10" s="216">
        <f>SUMIFS(Banco[Monto],Banco[CtaCtbl],$C10,Banco[Periodo Contable],TEXT(BS$3,"mmm-yyyy"))</f>
        <v>0</v>
      </c>
      <c r="BT10" s="216">
        <f>SUMIFS(Banco[Monto],Banco[CtaCtbl],$C10,Banco[Periodo Contable],TEXT(BT$3,"mmm-yyyy"))</f>
        <v>0</v>
      </c>
      <c r="BU10" s="216">
        <f>SUMIFS(Banco[Monto],Banco[CtaCtbl],$C10,Banco[Periodo Contable],TEXT(BU$3,"mmm-yyyy"))</f>
        <v>0</v>
      </c>
      <c r="BV10" s="232">
        <f>SUM(Tabla17[[#This Row],[ene-26]:[dic-26]])</f>
        <v>0</v>
      </c>
      <c r="BW10" s="216">
        <f>SUMIFS(Banco[Monto],Banco[CtaCtbl],$C10,Banco[Periodo Contable],TEXT(BW$3,"mmm-yyyy"))</f>
        <v>0</v>
      </c>
    </row>
    <row r="11" spans="1:75" s="368" customFormat="1" ht="21.6" outlineLevel="2">
      <c r="A11" s="214" t="s">
        <v>257</v>
      </c>
      <c r="B11" s="58" t="s">
        <v>258</v>
      </c>
      <c r="C11" s="233" t="str">
        <f>+Tabla17[[#This Row],[Cuenta]]&amp;" - "&amp;Tabla17[[#This Row],[Descripcion Cuenta]]</f>
        <v>1.02.02 - Otras Multas</v>
      </c>
      <c r="D11" s="215"/>
      <c r="E11" s="216">
        <f>SUMIFS(Banco[Monto],Banco[CtaCtbl],$C11,Banco[Periodo Contable],TEXT(E$3,"mmm-yyyy"))</f>
        <v>0</v>
      </c>
      <c r="F11" s="216">
        <f>SUMIFS(Banco[Monto],Banco[CtaCtbl],$C11,Banco[Periodo Contable],TEXT(F$3,"mmm-yyyy"))</f>
        <v>0</v>
      </c>
      <c r="G11" s="216">
        <f>SUMIFS(Banco[Monto],Banco[CtaCtbl],$C11,Banco[Periodo Contable],TEXT(G$3,"mmm-yyyy"))</f>
        <v>0</v>
      </c>
      <c r="H11" s="216">
        <f>SUMIFS(Banco[Monto],Banco[CtaCtbl],$C11,Banco[Periodo Contable],TEXT(H$3,"mmm-yyyy"))</f>
        <v>0</v>
      </c>
      <c r="I11" s="216">
        <f>SUM(Tabla17[[#This Row],[sept-21]:[dic-21]])</f>
        <v>0</v>
      </c>
      <c r="J11" s="216">
        <f>SUMIFS(Banco[Monto],Banco[CtaCtbl],$C11,Banco[Periodo Contable],TEXT(J$3,"mmm-yyyy"))</f>
        <v>0</v>
      </c>
      <c r="K11" s="216">
        <f>SUMIFS(Banco[Monto],Banco[CtaCtbl],$C11,Banco[Periodo Contable],TEXT(K$3,"mmm-yyyy"))</f>
        <v>0</v>
      </c>
      <c r="L11" s="216">
        <f>SUMIFS(Banco[Monto],Banco[CtaCtbl],$C11,Banco[Periodo Contable],TEXT(L$3,"mmm-yyyy"))</f>
        <v>0</v>
      </c>
      <c r="M11" s="216">
        <f>SUMIFS(Banco[Monto],Banco[CtaCtbl],$C11,Banco[Periodo Contable],TEXT(M$3,"mmm-yyyy"))</f>
        <v>0</v>
      </c>
      <c r="N11" s="216">
        <f>SUMIFS(Banco[Monto],Banco[CtaCtbl],$C11,Banco[Periodo Contable],TEXT(N$3,"mmm-yyyy"))</f>
        <v>0</v>
      </c>
      <c r="O11" s="216">
        <f>SUMIFS(Banco[Monto],Banco[CtaCtbl],$C11,Banco[Periodo Contable],TEXT(O$3,"mmm-yyyy"))</f>
        <v>0</v>
      </c>
      <c r="P11" s="216">
        <f>SUMIFS(Banco[Monto],Banco[CtaCtbl],$C11,Banco[Periodo Contable],TEXT(P$3,"mmm-yyyy"))</f>
        <v>0</v>
      </c>
      <c r="Q11" s="216">
        <f>SUMIFS(Banco[Monto],Banco[CtaCtbl],$C11,Banco[Periodo Contable],TEXT(Q$3,"mmm-yyyy"))</f>
        <v>0</v>
      </c>
      <c r="R11" s="216">
        <f>SUMIFS(Banco[Monto],Banco[CtaCtbl],$C11,Banco[Periodo Contable],TEXT(R$3,"mmm-yyyy"))</f>
        <v>0</v>
      </c>
      <c r="S11" s="216">
        <f>SUMIFS(Banco[Monto],Banco[CtaCtbl],$C11,Banco[Periodo Contable],TEXT(S$3,"mmm-yyyy"))</f>
        <v>0</v>
      </c>
      <c r="T11" s="216">
        <f>SUMIFS(Banco[Monto],Banco[CtaCtbl],$C11,Banco[Periodo Contable],TEXT(T$3,"mmm-yyyy"))</f>
        <v>0</v>
      </c>
      <c r="U11" s="216">
        <f>SUMIFS(Banco[Monto],Banco[CtaCtbl],$C11,Banco[Periodo Contable],TEXT(U$3,"mmm-yyyy"))</f>
        <v>0</v>
      </c>
      <c r="V11" s="232">
        <f>SUM(Tabla17[[#This Row],[ene-22]:[dic-22]])</f>
        <v>0</v>
      </c>
      <c r="W11" s="216">
        <f>SUMIFS(Banco[Monto],Banco[CtaCtbl],$C11,Banco[Periodo Contable],TEXT(W$3,"mmm-yyyy"))</f>
        <v>0</v>
      </c>
      <c r="X11" s="216">
        <f>SUMIFS(Banco[Monto],Banco[CtaCtbl],$C11,Banco[Periodo Contable],TEXT(X$3,"mmm-yyyy"))</f>
        <v>0</v>
      </c>
      <c r="Y11" s="216">
        <f>SUMIFS(Banco[Monto],Banco[CtaCtbl],$C11,Banco[Periodo Contable],TEXT(Y$3,"mmm-yyyy"))</f>
        <v>0</v>
      </c>
      <c r="Z11" s="216">
        <f>SUMIFS(Banco[Monto],Banco[CtaCtbl],$C11,Banco[Periodo Contable],TEXT(Z$3,"mmm-yyyy"))</f>
        <v>0</v>
      </c>
      <c r="AA11" s="216">
        <f>SUMIFS(Banco[Monto],Banco[CtaCtbl],$C11,Banco[Periodo Contable],TEXT(AA$3,"mmm-yyyy"))</f>
        <v>0</v>
      </c>
      <c r="AB11" s="216">
        <f>SUMIFS(Banco[Monto],Banco[CtaCtbl],$C11,Banco[Periodo Contable],TEXT(AB$3,"mmm-yyyy"))</f>
        <v>0</v>
      </c>
      <c r="AC11" s="216">
        <f>SUMIFS(Banco[Monto],Banco[CtaCtbl],$C11,Banco[Periodo Contable],TEXT(AC$3,"mmm-yyyy"))</f>
        <v>0</v>
      </c>
      <c r="AD11" s="216">
        <f>SUMIFS(Banco[Monto],Banco[CtaCtbl],$C11,Banco[Periodo Contable],TEXT(AD$3,"mmm-yyyy"))</f>
        <v>0</v>
      </c>
      <c r="AE11" s="216">
        <f>SUMIFS(Banco[Monto],Banco[CtaCtbl],$C11,Banco[Periodo Contable],TEXT(AE$3,"mmm-yyyy"))</f>
        <v>0</v>
      </c>
      <c r="AF11" s="216">
        <f>SUMIFS(Banco[Monto],Banco[CtaCtbl],$C11,Banco[Periodo Contable],TEXT(AF$3,"mmm-yyyy"))</f>
        <v>0</v>
      </c>
      <c r="AG11" s="216">
        <f>SUMIFS(Banco[Monto],Banco[CtaCtbl],$C11,Banco[Periodo Contable],TEXT(AG$3,"mmm-yyyy"))</f>
        <v>0</v>
      </c>
      <c r="AH11" s="216">
        <f>SUMIFS(Banco[Monto],Banco[CtaCtbl],$C11,Banco[Periodo Contable],TEXT(AH$3,"mmm-yyyy"))</f>
        <v>0</v>
      </c>
      <c r="AI11" s="232">
        <f>SUM(Tabla17[[#This Row],[ene-23]:[dic-23]])</f>
        <v>0</v>
      </c>
      <c r="AJ11" s="216">
        <f>SUMIFS(Banco[Monto],Banco[CtaCtbl],$C11,Banco[Periodo Contable],TEXT(AJ$3,"mmm-yyyy"))</f>
        <v>0</v>
      </c>
      <c r="AK11" s="216">
        <f>SUMIFS(Banco[Monto],Banco[CtaCtbl],$C11,Banco[Periodo Contable],TEXT(AK$3,"mmm-yyyy"))</f>
        <v>0</v>
      </c>
      <c r="AL11" s="216">
        <f>SUMIFS(Banco[Monto],Banco[CtaCtbl],$C11,Banco[Periodo Contable],TEXT(AL$3,"mmm-yyyy"))</f>
        <v>0</v>
      </c>
      <c r="AM11" s="216">
        <f>SUMIFS(Banco[Monto],Banco[CtaCtbl],$C11,Banco[Periodo Contable],TEXT(AM$3,"mmm-yyyy"))</f>
        <v>0</v>
      </c>
      <c r="AN11" s="216">
        <f>SUMIFS(Banco[Monto],Banco[CtaCtbl],$C11,Banco[Periodo Contable],TEXT(AN$3,"mmm-yyyy"))</f>
        <v>0</v>
      </c>
      <c r="AO11" s="216">
        <f>SUMIFS(Banco[Monto],Banco[CtaCtbl],$C11,Banco[Periodo Contable],TEXT(AO$3,"mmm-yyyy"))</f>
        <v>0</v>
      </c>
      <c r="AP11" s="216">
        <f>SUMIFS(Banco[Monto],Banco[CtaCtbl],$C11,Banco[Periodo Contable],TEXT(AP$3,"mmm-yyyy"))</f>
        <v>0</v>
      </c>
      <c r="AQ11" s="216">
        <f>SUMIFS(Banco[Monto],Banco[CtaCtbl],$C11,Banco[Periodo Contable],TEXT(AQ$3,"mmm-yyyy"))</f>
        <v>0</v>
      </c>
      <c r="AR11" s="216">
        <f>SUMIFS(Banco[Monto],Banco[CtaCtbl],$C11,Banco[Periodo Contable],TEXT(AR$3,"mmm-yyyy"))</f>
        <v>0</v>
      </c>
      <c r="AS11" s="216">
        <f>SUMIFS(Banco[Monto],Banco[CtaCtbl],$C11,Banco[Periodo Contable],TEXT(AS$3,"mmm-yyyy"))</f>
        <v>0</v>
      </c>
      <c r="AT11" s="216">
        <f>SUMIFS(Banco[Monto],Banco[CtaCtbl],$C11,Banco[Periodo Contable],TEXT(AT$3,"mmm-yyyy"))</f>
        <v>0</v>
      </c>
      <c r="AU11" s="216">
        <f>SUMIFS(Banco[Monto],Banco[CtaCtbl],$C11,Banco[Periodo Contable],TEXT(AU$3,"mmm-yyyy"))</f>
        <v>0</v>
      </c>
      <c r="AV11" s="232">
        <f>SUM(Tabla17[[#This Row],[ene-24]:[dic-24]])</f>
        <v>0</v>
      </c>
      <c r="AW11" s="216">
        <f>SUMIFS(Banco[Monto],Banco[CtaCtbl],$C11,Banco[Periodo Contable],TEXT(AW$3,"mmm-yyyy"))</f>
        <v>0</v>
      </c>
      <c r="AX11" s="216">
        <f>SUMIFS(Banco[Monto],Banco[CtaCtbl],$C11,Banco[Periodo Contable],TEXT(AX$3,"mmm-yyyy"))</f>
        <v>0</v>
      </c>
      <c r="AY11" s="216">
        <f>SUMIFS(Banco[Monto],Banco[CtaCtbl],$C11,Banco[Periodo Contable],TEXT(AY$3,"mmm-yyyy"))</f>
        <v>0</v>
      </c>
      <c r="AZ11" s="216">
        <f>SUMIFS(Banco[Monto],Banco[CtaCtbl],$C11,Banco[Periodo Contable],TEXT(AZ$3,"mmm-yyyy"))</f>
        <v>0</v>
      </c>
      <c r="BA11" s="216">
        <f>SUMIFS(Banco[Monto],Banco[CtaCtbl],$C11,Banco[Periodo Contable],TEXT(BA$3,"mmm-yyyy"))</f>
        <v>0</v>
      </c>
      <c r="BB11" s="216">
        <f>SUMIFS(Banco[Monto],Banco[CtaCtbl],$C11,Banco[Periodo Contable],TEXT(BB$3,"mmm-yyyy"))</f>
        <v>0</v>
      </c>
      <c r="BC11" s="216">
        <f>SUMIFS(Banco[Monto],Banco[CtaCtbl],$C11,Banco[Periodo Contable],TEXT(BC$3,"mmm-yyyy"))</f>
        <v>0</v>
      </c>
      <c r="BD11" s="216">
        <f>SUMIFS(Banco[Monto],Banco[CtaCtbl],$C11,Banco[Periodo Contable],TEXT(BD$3,"mmm-yyyy"))</f>
        <v>0</v>
      </c>
      <c r="BE11" s="216">
        <f>SUMIFS(Banco[Monto],Banco[CtaCtbl],$C11,Banco[Periodo Contable],TEXT(BE$3,"mmm-yyyy"))</f>
        <v>0</v>
      </c>
      <c r="BF11" s="216">
        <f>SUMIFS(Banco[Monto],Banco[CtaCtbl],$C11,Banco[Periodo Contable],TEXT(BF$3,"mmm-yyyy"))</f>
        <v>0</v>
      </c>
      <c r="BG11" s="216">
        <f>SUMIFS(Banco[Monto],Banco[CtaCtbl],$C11,Banco[Periodo Contable],TEXT(BG$3,"mmm-yyyy"))</f>
        <v>0</v>
      </c>
      <c r="BH11" s="216">
        <f>SUMIFS(Banco[Monto],Banco[CtaCtbl],$C11,Banco[Periodo Contable],TEXT(BH$3,"mmm-yyyy"))</f>
        <v>0</v>
      </c>
      <c r="BI11" s="232">
        <f>SUM(Tabla17[[#This Row],[ene-25]:[dic-25]])</f>
        <v>0</v>
      </c>
      <c r="BJ11" s="216">
        <f>SUMIFS(Banco[Monto],Banco[CtaCtbl],$C11,Banco[Periodo Contable],TEXT(BJ$3,"mmm-yyyy"))</f>
        <v>0</v>
      </c>
      <c r="BK11" s="216">
        <f>SUMIFS(Banco[Monto],Banco[CtaCtbl],$C11,Banco[Periodo Contable],TEXT(BK$3,"mmm-yyyy"))</f>
        <v>0</v>
      </c>
      <c r="BL11" s="216">
        <f>SUMIFS(Banco[Monto],Banco[CtaCtbl],$C11,Banco[Periodo Contable],TEXT(BL$3,"mmm-yyyy"))</f>
        <v>0</v>
      </c>
      <c r="BM11" s="216">
        <f>SUMIFS(Banco[Monto],Banco[CtaCtbl],$C11,Banco[Periodo Contable],TEXT(BM$3,"mmm-yyyy"))</f>
        <v>0</v>
      </c>
      <c r="BN11" s="216">
        <f>SUMIFS(Banco[Monto],Banco[CtaCtbl],$C11,Banco[Periodo Contable],TEXT(BN$3,"mmm-yyyy"))</f>
        <v>0</v>
      </c>
      <c r="BO11" s="216">
        <f>SUMIFS(Banco[Monto],Banco[CtaCtbl],$C11,Banco[Periodo Contable],TEXT(BO$3,"mmm-yyyy"))</f>
        <v>0</v>
      </c>
      <c r="BP11" s="216">
        <f>SUMIFS(Banco[Monto],Banco[CtaCtbl],$C11,Banco[Periodo Contable],TEXT(BP$3,"mmm-yyyy"))</f>
        <v>0</v>
      </c>
      <c r="BQ11" s="216">
        <f>SUMIFS(Banco[Monto],Banco[CtaCtbl],$C11,Banco[Periodo Contable],TEXT(BQ$3,"mmm-yyyy"))</f>
        <v>0</v>
      </c>
      <c r="BR11" s="216">
        <f>SUMIFS(Banco[Monto],Banco[CtaCtbl],$C11,Banco[Periodo Contable],TEXT(BR$3,"mmm-yyyy"))</f>
        <v>0</v>
      </c>
      <c r="BS11" s="216">
        <f>SUMIFS(Banco[Monto],Banco[CtaCtbl],$C11,Banco[Periodo Contable],TEXT(BS$3,"mmm-yyyy"))</f>
        <v>0</v>
      </c>
      <c r="BT11" s="216">
        <f>SUMIFS(Banco[Monto],Banco[CtaCtbl],$C11,Banco[Periodo Contable],TEXT(BT$3,"mmm-yyyy"))</f>
        <v>0</v>
      </c>
      <c r="BU11" s="216">
        <f>SUMIFS(Banco[Monto],Banco[CtaCtbl],$C11,Banco[Periodo Contable],TEXT(BU$3,"mmm-yyyy"))</f>
        <v>0</v>
      </c>
      <c r="BV11" s="232">
        <f>SUM(Tabla17[[#This Row],[ene-26]:[dic-26]])</f>
        <v>0</v>
      </c>
      <c r="BW11" s="216">
        <f>SUMIFS(Banco[Monto],Banco[CtaCtbl],$C11,Banco[Periodo Contable],TEXT(BW$3,"mmm-yyyy"))</f>
        <v>0</v>
      </c>
    </row>
    <row r="12" spans="1:75" s="294" customFormat="1" ht="21.6" outlineLevel="1">
      <c r="A12" s="331" t="s">
        <v>259</v>
      </c>
      <c r="B12" s="332" t="s">
        <v>260</v>
      </c>
      <c r="C12" s="333" t="str">
        <f>+Tabla17[[#This Row],[Cuenta]]&amp;" - "&amp;Tabla17[[#This Row],[Descripcion Cuenta]]</f>
        <v>1.03 - Aportes Adicionales</v>
      </c>
      <c r="D12" s="334"/>
      <c r="E12" s="335">
        <f>SUBTOTAL(9,E13:E16)</f>
        <v>0</v>
      </c>
      <c r="F12" s="335">
        <f>SUBTOTAL(9,F13:F16)</f>
        <v>0</v>
      </c>
      <c r="G12" s="335">
        <f t="shared" ref="G12:BW12" si="43">SUBTOTAL(9,G13:G16)</f>
        <v>0</v>
      </c>
      <c r="H12" s="335">
        <f t="shared" si="43"/>
        <v>0</v>
      </c>
      <c r="I12" s="335">
        <f>SUM(Tabla17[[#This Row],[sept-21]:[dic-21]])</f>
        <v>0</v>
      </c>
      <c r="J12" s="335">
        <f t="shared" si="43"/>
        <v>0</v>
      </c>
      <c r="K12" s="335">
        <f t="shared" si="43"/>
        <v>0</v>
      </c>
      <c r="L12" s="335">
        <f t="shared" si="43"/>
        <v>0</v>
      </c>
      <c r="M12" s="335">
        <f t="shared" si="43"/>
        <v>0</v>
      </c>
      <c r="N12" s="335">
        <f t="shared" si="43"/>
        <v>107000000</v>
      </c>
      <c r="O12" s="335">
        <f t="shared" si="43"/>
        <v>3000000</v>
      </c>
      <c r="P12" s="335">
        <f t="shared" si="43"/>
        <v>0</v>
      </c>
      <c r="Q12" s="335">
        <f t="shared" si="43"/>
        <v>0</v>
      </c>
      <c r="R12" s="335">
        <f t="shared" si="43"/>
        <v>0</v>
      </c>
      <c r="S12" s="335">
        <f t="shared" si="43"/>
        <v>0</v>
      </c>
      <c r="T12" s="335">
        <f t="shared" si="43"/>
        <v>0</v>
      </c>
      <c r="U12" s="335">
        <f t="shared" si="43"/>
        <v>138362</v>
      </c>
      <c r="V12" s="335">
        <f t="shared" si="43"/>
        <v>110138362</v>
      </c>
      <c r="W12" s="335">
        <f t="shared" si="43"/>
        <v>0</v>
      </c>
      <c r="X12" s="335">
        <f t="shared" si="43"/>
        <v>0</v>
      </c>
      <c r="Y12" s="335">
        <f t="shared" si="43"/>
        <v>0</v>
      </c>
      <c r="Z12" s="335">
        <f t="shared" si="43"/>
        <v>0</v>
      </c>
      <c r="AA12" s="335">
        <f t="shared" si="43"/>
        <v>0</v>
      </c>
      <c r="AB12" s="335">
        <f t="shared" si="43"/>
        <v>0</v>
      </c>
      <c r="AC12" s="335">
        <f t="shared" si="43"/>
        <v>0</v>
      </c>
      <c r="AD12" s="335">
        <f t="shared" si="43"/>
        <v>0</v>
      </c>
      <c r="AE12" s="335">
        <f t="shared" si="43"/>
        <v>0</v>
      </c>
      <c r="AF12" s="335">
        <f t="shared" si="43"/>
        <v>0</v>
      </c>
      <c r="AG12" s="335">
        <f t="shared" si="43"/>
        <v>0</v>
      </c>
      <c r="AH12" s="335">
        <f t="shared" si="43"/>
        <v>0</v>
      </c>
      <c r="AI12" s="335">
        <f t="shared" si="43"/>
        <v>0</v>
      </c>
      <c r="AJ12" s="335">
        <f t="shared" si="43"/>
        <v>0</v>
      </c>
      <c r="AK12" s="335">
        <f t="shared" si="43"/>
        <v>0</v>
      </c>
      <c r="AL12" s="335">
        <f t="shared" si="43"/>
        <v>0</v>
      </c>
      <c r="AM12" s="335">
        <f t="shared" si="43"/>
        <v>0</v>
      </c>
      <c r="AN12" s="335">
        <f t="shared" si="43"/>
        <v>0</v>
      </c>
      <c r="AO12" s="335">
        <f t="shared" si="43"/>
        <v>0</v>
      </c>
      <c r="AP12" s="335">
        <f t="shared" si="43"/>
        <v>0</v>
      </c>
      <c r="AQ12" s="335">
        <f t="shared" si="43"/>
        <v>0</v>
      </c>
      <c r="AR12" s="335">
        <f t="shared" si="43"/>
        <v>0</v>
      </c>
      <c r="AS12" s="335">
        <f t="shared" si="43"/>
        <v>0</v>
      </c>
      <c r="AT12" s="335">
        <f t="shared" si="43"/>
        <v>0</v>
      </c>
      <c r="AU12" s="335">
        <f t="shared" si="43"/>
        <v>0</v>
      </c>
      <c r="AV12" s="335">
        <f t="shared" si="43"/>
        <v>0</v>
      </c>
      <c r="AW12" s="335">
        <f>SUBTOTAL(9,AW13:AW16)</f>
        <v>0</v>
      </c>
      <c r="AX12" s="335">
        <f t="shared" ref="AX12:BH12" si="44">SUBTOTAL(9,AX13:AX16)</f>
        <v>0</v>
      </c>
      <c r="AY12" s="335">
        <f t="shared" si="44"/>
        <v>0</v>
      </c>
      <c r="AZ12" s="335">
        <f t="shared" si="44"/>
        <v>2334248</v>
      </c>
      <c r="BA12" s="335">
        <f t="shared" si="44"/>
        <v>478000000</v>
      </c>
      <c r="BB12" s="335">
        <f t="shared" si="44"/>
        <v>0</v>
      </c>
      <c r="BC12" s="335">
        <f t="shared" si="44"/>
        <v>0</v>
      </c>
      <c r="BD12" s="335">
        <f t="shared" si="44"/>
        <v>0</v>
      </c>
      <c r="BE12" s="335">
        <f t="shared" si="44"/>
        <v>0</v>
      </c>
      <c r="BF12" s="335">
        <f t="shared" si="44"/>
        <v>0</v>
      </c>
      <c r="BG12" s="335">
        <f t="shared" si="44"/>
        <v>0</v>
      </c>
      <c r="BH12" s="335">
        <f t="shared" si="44"/>
        <v>0</v>
      </c>
      <c r="BI12" s="335">
        <f>SUBTOTAL(9,BI13:BI16)</f>
        <v>480334248</v>
      </c>
      <c r="BJ12" s="335">
        <f t="shared" ref="BJ12" si="45">SUBTOTAL(9,BJ13:BJ16)</f>
        <v>0</v>
      </c>
      <c r="BK12" s="335">
        <f t="shared" ref="BK12" si="46">SUBTOTAL(9,BK13:BK16)</f>
        <v>0</v>
      </c>
      <c r="BL12" s="335">
        <f t="shared" ref="BL12" si="47">SUBTOTAL(9,BL13:BL16)</f>
        <v>0</v>
      </c>
      <c r="BM12" s="335">
        <f t="shared" ref="BM12" si="48">SUBTOTAL(9,BM13:BM16)</f>
        <v>0</v>
      </c>
      <c r="BN12" s="335">
        <f t="shared" ref="BN12" si="49">SUBTOTAL(9,BN13:BN16)</f>
        <v>0</v>
      </c>
      <c r="BO12" s="335">
        <f t="shared" ref="BO12" si="50">SUBTOTAL(9,BO13:BO16)</f>
        <v>0</v>
      </c>
      <c r="BP12" s="335">
        <f t="shared" ref="BP12" si="51">SUBTOTAL(9,BP13:BP16)</f>
        <v>0</v>
      </c>
      <c r="BQ12" s="335">
        <f t="shared" ref="BQ12" si="52">SUBTOTAL(9,BQ13:BQ16)</f>
        <v>0</v>
      </c>
      <c r="BR12" s="335">
        <f t="shared" ref="BR12" si="53">SUBTOTAL(9,BR13:BR16)</f>
        <v>0</v>
      </c>
      <c r="BS12" s="335">
        <f t="shared" ref="BS12" si="54">SUBTOTAL(9,BS13:BS16)</f>
        <v>0</v>
      </c>
      <c r="BT12" s="335">
        <f t="shared" ref="BT12" si="55">SUBTOTAL(9,BT13:BT16)</f>
        <v>0</v>
      </c>
      <c r="BU12" s="335">
        <f t="shared" ref="BU12" si="56">SUBTOTAL(9,BU13:BU16)</f>
        <v>0</v>
      </c>
      <c r="BV12" s="335">
        <f>SUBTOTAL(9,BV13:BV16)</f>
        <v>0</v>
      </c>
      <c r="BW12" s="335">
        <f t="shared" si="43"/>
        <v>0</v>
      </c>
    </row>
    <row r="13" spans="1:75" s="368" customFormat="1" ht="21.6" outlineLevel="2">
      <c r="A13" s="214" t="s">
        <v>261</v>
      </c>
      <c r="B13" s="58" t="s">
        <v>262</v>
      </c>
      <c r="C13" s="233" t="str">
        <f>+Tabla17[[#This Row],[Cuenta]]&amp;" - "&amp;Tabla17[[#This Row],[Descripcion Cuenta]]</f>
        <v>1.03.01 - Aportes Voluntarios</v>
      </c>
      <c r="D13" s="215"/>
      <c r="E13" s="216">
        <f>SUMIFS(Banco[Monto],Banco[CtaCtbl],$C13,Banco[Periodo Contable],TEXT(E$3,"mmm-yyyy"))</f>
        <v>0</v>
      </c>
      <c r="F13" s="216">
        <f>SUMIFS(Banco[Monto],Banco[CtaCtbl],$C13,Banco[Periodo Contable],TEXT(F$3,"mmm-yyyy"))</f>
        <v>0</v>
      </c>
      <c r="G13" s="216">
        <f>SUMIFS(Banco[Monto],Banco[CtaCtbl],$C13,Banco[Periodo Contable],TEXT(G$3,"mmm-yyyy"))</f>
        <v>0</v>
      </c>
      <c r="H13" s="216">
        <f>SUMIFS(Banco[Monto],Banco[CtaCtbl],$C13,Banco[Periodo Contable],TEXT(H$3,"mmm-yyyy"))</f>
        <v>0</v>
      </c>
      <c r="I13" s="216">
        <f>SUM(Tabla17[[#This Row],[sept-21]:[dic-21]])</f>
        <v>0</v>
      </c>
      <c r="J13" s="216">
        <f>SUMIFS(Banco[Monto],Banco[CtaCtbl],$C13,Banco[Periodo Contable],TEXT(J$3,"mmm-yyyy"))</f>
        <v>0</v>
      </c>
      <c r="K13" s="216">
        <f>SUMIFS(Banco[Monto],Banco[CtaCtbl],$C13,Banco[Periodo Contable],TEXT(K$3,"mmm-yyyy"))</f>
        <v>0</v>
      </c>
      <c r="L13" s="216">
        <f>SUMIFS(Banco[Monto],Banco[CtaCtbl],$C13,Banco[Periodo Contable],TEXT(L$3,"mmm-yyyy"))</f>
        <v>0</v>
      </c>
      <c r="M13" s="216">
        <f>SUMIFS(Banco[Monto],Banco[CtaCtbl],$C13,Banco[Periodo Contable],TEXT(M$3,"mmm-yyyy"))</f>
        <v>0</v>
      </c>
      <c r="N13" s="216">
        <f>SUMIFS(Banco[Monto],Banco[CtaCtbl],$C13,Banco[Periodo Contable],TEXT(N$3,"mmm-yyyy"))</f>
        <v>0</v>
      </c>
      <c r="O13" s="216">
        <f>SUMIFS(Banco[Monto],Banco[CtaCtbl],$C13,Banco[Periodo Contable],TEXT(O$3,"mmm-yyyy"))</f>
        <v>0</v>
      </c>
      <c r="P13" s="216">
        <f>SUMIFS(Banco[Monto],Banco[CtaCtbl],$C13,Banco[Periodo Contable],TEXT(P$3,"mmm-yyyy"))</f>
        <v>0</v>
      </c>
      <c r="Q13" s="216">
        <f>SUMIFS(Banco[Monto],Banco[CtaCtbl],$C13,Banco[Periodo Contable],TEXT(Q$3,"mmm-yyyy"))</f>
        <v>0</v>
      </c>
      <c r="R13" s="216">
        <f>SUMIFS(Banco[Monto],Banco[CtaCtbl],$C13,Banco[Periodo Contable],TEXT(R$3,"mmm-yyyy"))</f>
        <v>0</v>
      </c>
      <c r="S13" s="216">
        <f>SUMIFS(Banco[Monto],Banco[CtaCtbl],$C13,Banco[Periodo Contable],TEXT(S$3,"mmm-yyyy"))</f>
        <v>0</v>
      </c>
      <c r="T13" s="216">
        <f>SUMIFS(Banco[Monto],Banco[CtaCtbl],$C13,Banco[Periodo Contable],TEXT(T$3,"mmm-yyyy"))</f>
        <v>0</v>
      </c>
      <c r="U13" s="216">
        <f>SUMIFS(Banco[Monto],Banco[CtaCtbl],$C13,Banco[Periodo Contable],TEXT(U$3,"mmm-yyyy"))</f>
        <v>0</v>
      </c>
      <c r="V13" s="232">
        <f>SUM(Tabla17[[#This Row],[ene-22]:[dic-22]])</f>
        <v>0</v>
      </c>
      <c r="W13" s="216">
        <f>SUMIFS(Banco[Monto],Banco[CtaCtbl],$C13,Banco[Periodo Contable],TEXT(W$3,"mmm-yyyy"))</f>
        <v>0</v>
      </c>
      <c r="X13" s="216">
        <f>SUMIFS(Banco[Monto],Banco[CtaCtbl],$C13,Banco[Periodo Contable],TEXT(X$3,"mmm-yyyy"))</f>
        <v>0</v>
      </c>
      <c r="Y13" s="216">
        <f>SUMIFS(Banco[Monto],Banco[CtaCtbl],$C13,Banco[Periodo Contable],TEXT(Y$3,"mmm-yyyy"))</f>
        <v>0</v>
      </c>
      <c r="Z13" s="216">
        <f>SUMIFS(Banco[Monto],Banco[CtaCtbl],$C13,Banco[Periodo Contable],TEXT(Z$3,"mmm-yyyy"))</f>
        <v>0</v>
      </c>
      <c r="AA13" s="216">
        <f>SUMIFS(Banco[Monto],Banco[CtaCtbl],$C13,Banco[Periodo Contable],TEXT(AA$3,"mmm-yyyy"))</f>
        <v>0</v>
      </c>
      <c r="AB13" s="216">
        <f>SUMIFS(Banco[Monto],Banco[CtaCtbl],$C13,Banco[Periodo Contable],TEXT(AB$3,"mmm-yyyy"))</f>
        <v>0</v>
      </c>
      <c r="AC13" s="216">
        <f>SUMIFS(Banco[Monto],Banco[CtaCtbl],$C13,Banco[Periodo Contable],TEXT(AC$3,"mmm-yyyy"))</f>
        <v>0</v>
      </c>
      <c r="AD13" s="216">
        <f>SUMIFS(Banco[Monto],Banco[CtaCtbl],$C13,Banco[Periodo Contable],TEXT(AD$3,"mmm-yyyy"))</f>
        <v>0</v>
      </c>
      <c r="AE13" s="216">
        <f>SUMIFS(Banco[Monto],Banco[CtaCtbl],$C13,Banco[Periodo Contable],TEXT(AE$3,"mmm-yyyy"))</f>
        <v>0</v>
      </c>
      <c r="AF13" s="216">
        <f>SUMIFS(Banco[Monto],Banco[CtaCtbl],$C13,Banco[Periodo Contable],TEXT(AF$3,"mmm-yyyy"))</f>
        <v>0</v>
      </c>
      <c r="AG13" s="216">
        <f>SUMIFS(Banco[Monto],Banco[CtaCtbl],$C13,Banco[Periodo Contable],TEXT(AG$3,"mmm-yyyy"))</f>
        <v>0</v>
      </c>
      <c r="AH13" s="216">
        <f>SUMIFS(Banco[Monto],Banco[CtaCtbl],$C13,Banco[Periodo Contable],TEXT(AH$3,"mmm-yyyy"))</f>
        <v>0</v>
      </c>
      <c r="AI13" s="232">
        <f>SUM(Tabla17[[#This Row],[ene-23]:[dic-23]])</f>
        <v>0</v>
      </c>
      <c r="AJ13" s="216">
        <f>SUMIFS(Banco[Monto],Banco[CtaCtbl],$C13,Banco[Periodo Contable],TEXT(AJ$3,"mmm-yyyy"))</f>
        <v>0</v>
      </c>
      <c r="AK13" s="216">
        <f>SUMIFS(Banco[Monto],Banco[CtaCtbl],$C13,Banco[Periodo Contable],TEXT(AK$3,"mmm-yyyy"))</f>
        <v>0</v>
      </c>
      <c r="AL13" s="216">
        <f>SUMIFS(Banco[Monto],Banco[CtaCtbl],$C13,Banco[Periodo Contable],TEXT(AL$3,"mmm-yyyy"))</f>
        <v>0</v>
      </c>
      <c r="AM13" s="216">
        <f>SUMIFS(Banco[Monto],Banco[CtaCtbl],$C13,Banco[Periodo Contable],TEXT(AM$3,"mmm-yyyy"))</f>
        <v>0</v>
      </c>
      <c r="AN13" s="216">
        <f>SUMIFS(Banco[Monto],Banco[CtaCtbl],$C13,Banco[Periodo Contable],TEXT(AN$3,"mmm-yyyy"))</f>
        <v>0</v>
      </c>
      <c r="AO13" s="216">
        <f>SUMIFS(Banco[Monto],Banco[CtaCtbl],$C13,Banco[Periodo Contable],TEXT(AO$3,"mmm-yyyy"))</f>
        <v>0</v>
      </c>
      <c r="AP13" s="216">
        <f>SUMIFS(Banco[Monto],Banco[CtaCtbl],$C13,Banco[Periodo Contable],TEXT(AP$3,"mmm-yyyy"))</f>
        <v>0</v>
      </c>
      <c r="AQ13" s="216">
        <f>SUMIFS(Banco[Monto],Banco[CtaCtbl],$C13,Banco[Periodo Contable],TEXT(AQ$3,"mmm-yyyy"))</f>
        <v>0</v>
      </c>
      <c r="AR13" s="216">
        <f>SUMIFS(Banco[Monto],Banco[CtaCtbl],$C13,Banco[Periodo Contable],TEXT(AR$3,"mmm-yyyy"))</f>
        <v>0</v>
      </c>
      <c r="AS13" s="216">
        <f>SUMIFS(Banco[Monto],Banco[CtaCtbl],$C13,Banco[Periodo Contable],TEXT(AS$3,"mmm-yyyy"))</f>
        <v>0</v>
      </c>
      <c r="AT13" s="216">
        <f>SUMIFS(Banco[Monto],Banco[CtaCtbl],$C13,Banco[Periodo Contable],TEXT(AT$3,"mmm-yyyy"))</f>
        <v>0</v>
      </c>
      <c r="AU13" s="216">
        <f>SUMIFS(Banco[Monto],Banco[CtaCtbl],$C13,Banco[Periodo Contable],TEXT(AU$3,"mmm-yyyy"))</f>
        <v>0</v>
      </c>
      <c r="AV13" s="232">
        <f>SUM(Tabla17[[#This Row],[ene-24]:[dic-24]])</f>
        <v>0</v>
      </c>
      <c r="AW13" s="216">
        <f>SUMIFS(Banco[Monto],Banco[CtaCtbl],$C13,Banco[Periodo Contable],TEXT(AW$3,"mmm-yyyy"))</f>
        <v>0</v>
      </c>
      <c r="AX13" s="216">
        <f>SUMIFS(Banco[Monto],Banco[CtaCtbl],$C13,Banco[Periodo Contable],TEXT(AX$3,"mmm-yyyy"))</f>
        <v>0</v>
      </c>
      <c r="AY13" s="216">
        <f>SUMIFS(Banco[Monto],Banco[CtaCtbl],$C13,Banco[Periodo Contable],TEXT(AY$3,"mmm-yyyy"))</f>
        <v>0</v>
      </c>
      <c r="AZ13" s="216">
        <f>SUMIFS(Banco[Monto],Banco[CtaCtbl],$C13,Banco[Periodo Contable],TEXT(AZ$3,"mmm-yyyy"))</f>
        <v>0</v>
      </c>
      <c r="BA13" s="216">
        <f>SUMIFS(Banco[Monto],Banco[CtaCtbl],$C13,Banco[Periodo Contable],TEXT(BA$3,"mmm-yyyy"))</f>
        <v>0</v>
      </c>
      <c r="BB13" s="216">
        <f>SUMIFS(Banco[Monto],Banco[CtaCtbl],$C13,Banco[Periodo Contable],TEXT(BB$3,"mmm-yyyy"))</f>
        <v>0</v>
      </c>
      <c r="BC13" s="216">
        <f>SUMIFS(Banco[Monto],Banco[CtaCtbl],$C13,Banco[Periodo Contable],TEXT(BC$3,"mmm-yyyy"))</f>
        <v>0</v>
      </c>
      <c r="BD13" s="216">
        <f>SUMIFS(Banco[Monto],Banco[CtaCtbl],$C13,Banco[Periodo Contable],TEXT(BD$3,"mmm-yyyy"))</f>
        <v>0</v>
      </c>
      <c r="BE13" s="216">
        <f>SUMIFS(Banco[Monto],Banco[CtaCtbl],$C13,Banco[Periodo Contable],TEXT(BE$3,"mmm-yyyy"))</f>
        <v>0</v>
      </c>
      <c r="BF13" s="216">
        <f>SUMIFS(Banco[Monto],Banco[CtaCtbl],$C13,Banco[Periodo Contable],TEXT(BF$3,"mmm-yyyy"))</f>
        <v>0</v>
      </c>
      <c r="BG13" s="216">
        <f>SUMIFS(Banco[Monto],Banco[CtaCtbl],$C13,Banco[Periodo Contable],TEXT(BG$3,"mmm-yyyy"))</f>
        <v>0</v>
      </c>
      <c r="BH13" s="216">
        <f>SUMIFS(Banco[Monto],Banco[CtaCtbl],$C13,Banco[Periodo Contable],TEXT(BH$3,"mmm-yyyy"))</f>
        <v>0</v>
      </c>
      <c r="BI13" s="232">
        <f>SUM(Tabla17[[#This Row],[ene-25]:[dic-25]])</f>
        <v>0</v>
      </c>
      <c r="BJ13" s="216">
        <f>SUMIFS(Banco[Monto],Banco[CtaCtbl],$C13,Banco[Periodo Contable],TEXT(BJ$3,"mmm-yyyy"))</f>
        <v>0</v>
      </c>
      <c r="BK13" s="216">
        <f>SUMIFS(Banco[Monto],Banco[CtaCtbl],$C13,Banco[Periodo Contable],TEXT(BK$3,"mmm-yyyy"))</f>
        <v>0</v>
      </c>
      <c r="BL13" s="216">
        <f>SUMIFS(Banco[Monto],Banco[CtaCtbl],$C13,Banco[Periodo Contable],TEXT(BL$3,"mmm-yyyy"))</f>
        <v>0</v>
      </c>
      <c r="BM13" s="216">
        <f>SUMIFS(Banco[Monto],Banco[CtaCtbl],$C13,Banco[Periodo Contable],TEXT(BM$3,"mmm-yyyy"))</f>
        <v>0</v>
      </c>
      <c r="BN13" s="216">
        <f>SUMIFS(Banco[Monto],Banco[CtaCtbl],$C13,Banco[Periodo Contable],TEXT(BN$3,"mmm-yyyy"))</f>
        <v>0</v>
      </c>
      <c r="BO13" s="216">
        <f>SUMIFS(Banco[Monto],Banco[CtaCtbl],$C13,Banco[Periodo Contable],TEXT(BO$3,"mmm-yyyy"))</f>
        <v>0</v>
      </c>
      <c r="BP13" s="216">
        <f>SUMIFS(Banco[Monto],Banco[CtaCtbl],$C13,Banco[Periodo Contable],TEXT(BP$3,"mmm-yyyy"))</f>
        <v>0</v>
      </c>
      <c r="BQ13" s="216">
        <f>SUMIFS(Banco[Monto],Banco[CtaCtbl],$C13,Banco[Periodo Contable],TEXT(BQ$3,"mmm-yyyy"))</f>
        <v>0</v>
      </c>
      <c r="BR13" s="216">
        <f>SUMIFS(Banco[Monto],Banco[CtaCtbl],$C13,Banco[Periodo Contable],TEXT(BR$3,"mmm-yyyy"))</f>
        <v>0</v>
      </c>
      <c r="BS13" s="216">
        <f>SUMIFS(Banco[Monto],Banco[CtaCtbl],$C13,Banco[Periodo Contable],TEXT(BS$3,"mmm-yyyy"))</f>
        <v>0</v>
      </c>
      <c r="BT13" s="216">
        <f>SUMIFS(Banco[Monto],Banco[CtaCtbl],$C13,Banco[Periodo Contable],TEXT(BT$3,"mmm-yyyy"))</f>
        <v>0</v>
      </c>
      <c r="BU13" s="216">
        <f>SUMIFS(Banco[Monto],Banco[CtaCtbl],$C13,Banco[Periodo Contable],TEXT(BU$3,"mmm-yyyy"))</f>
        <v>0</v>
      </c>
      <c r="BV13" s="232">
        <f>SUM(Tabla17[[#This Row],[ene-26]:[dic-26]])</f>
        <v>0</v>
      </c>
      <c r="BW13" s="216">
        <f>SUMIFS(Banco[Monto],Banco[CtaCtbl],$C13,Banco[Periodo Contable],TEXT(BW$3,"mmm-yyyy"))</f>
        <v>0</v>
      </c>
    </row>
    <row r="14" spans="1:75" s="368" customFormat="1" ht="21.6" outlineLevel="2">
      <c r="A14" s="214" t="s">
        <v>263</v>
      </c>
      <c r="B14" s="58" t="s">
        <v>264</v>
      </c>
      <c r="C14" s="233" t="str">
        <f>+Tabla17[[#This Row],[Cuenta]]&amp;" - "&amp;Tabla17[[#This Row],[Descripcion Cuenta]]</f>
        <v>1.03.02 - Aportes Terceros</v>
      </c>
      <c r="D14" s="215"/>
      <c r="E14" s="216">
        <f>SUMIFS(Banco[Monto],Banco[CtaCtbl],$C14,Banco[Periodo Contable],TEXT(E$3,"mmm-yyyy"))</f>
        <v>0</v>
      </c>
      <c r="F14" s="216">
        <f>SUMIFS(Banco[Monto],Banco[CtaCtbl],$C14,Banco[Periodo Contable],TEXT(F$3,"mmm-yyyy"))</f>
        <v>0</v>
      </c>
      <c r="G14" s="216">
        <f>SUMIFS(Banco[Monto],Banco[CtaCtbl],$C14,Banco[Periodo Contable],TEXT(G$3,"mmm-yyyy"))</f>
        <v>0</v>
      </c>
      <c r="H14" s="216">
        <f>SUMIFS(Banco[Monto],Banco[CtaCtbl],$C14,Banco[Periodo Contable],TEXT(H$3,"mmm-yyyy"))</f>
        <v>0</v>
      </c>
      <c r="I14" s="216">
        <f>SUM(Tabla17[[#This Row],[sept-21]:[dic-21]])</f>
        <v>0</v>
      </c>
      <c r="J14" s="216">
        <f>SUMIFS(Banco[Monto],Banco[CtaCtbl],$C14,Banco[Periodo Contable],TEXT(J$3,"mmm-yyyy"))</f>
        <v>0</v>
      </c>
      <c r="K14" s="216">
        <f>SUMIFS(Banco[Monto],Banco[CtaCtbl],$C14,Banco[Periodo Contable],TEXT(K$3,"mmm-yyyy"))</f>
        <v>0</v>
      </c>
      <c r="L14" s="216">
        <f>SUMIFS(Banco[Monto],Banco[CtaCtbl],$C14,Banco[Periodo Contable],TEXT(L$3,"mmm-yyyy"))</f>
        <v>0</v>
      </c>
      <c r="M14" s="216">
        <f>SUMIFS(Banco[Monto],Banco[CtaCtbl],$C14,Banco[Periodo Contable],TEXT(M$3,"mmm-yyyy"))</f>
        <v>0</v>
      </c>
      <c r="N14" s="216">
        <f>SUMIFS(Banco[Monto],Banco[CtaCtbl],$C14,Banco[Periodo Contable],TEXT(N$3,"mmm-yyyy"))</f>
        <v>0</v>
      </c>
      <c r="O14" s="216">
        <f>SUMIFS(Banco[Monto],Banco[CtaCtbl],$C14,Banco[Periodo Contable],TEXT(O$3,"mmm-yyyy"))</f>
        <v>0</v>
      </c>
      <c r="P14" s="216">
        <f>SUMIFS(Banco[Monto],Banco[CtaCtbl],$C14,Banco[Periodo Contable],TEXT(P$3,"mmm-yyyy"))</f>
        <v>0</v>
      </c>
      <c r="Q14" s="216">
        <f>SUMIFS(Banco[Monto],Banco[CtaCtbl],$C14,Banco[Periodo Contable],TEXT(Q$3,"mmm-yyyy"))</f>
        <v>0</v>
      </c>
      <c r="R14" s="216">
        <f>SUMIFS(Banco[Monto],Banco[CtaCtbl],$C14,Banco[Periodo Contable],TEXT(R$3,"mmm-yyyy"))</f>
        <v>0</v>
      </c>
      <c r="S14" s="216">
        <f>SUMIFS(Banco[Monto],Banco[CtaCtbl],$C14,Banco[Periodo Contable],TEXT(S$3,"mmm-yyyy"))</f>
        <v>0</v>
      </c>
      <c r="T14" s="216">
        <f>SUMIFS(Banco[Monto],Banco[CtaCtbl],$C14,Banco[Periodo Contable],TEXT(T$3,"mmm-yyyy"))</f>
        <v>0</v>
      </c>
      <c r="U14" s="216">
        <f>SUMIFS(Banco[Monto],Banco[CtaCtbl],$C14,Banco[Periodo Contable],TEXT(U$3,"mmm-yyyy"))</f>
        <v>0</v>
      </c>
      <c r="V14" s="232">
        <f>SUM(Tabla17[[#This Row],[ene-22]:[dic-22]])</f>
        <v>0</v>
      </c>
      <c r="W14" s="216">
        <f>SUMIFS(Banco[Monto],Banco[CtaCtbl],$C14,Banco[Periodo Contable],TEXT(W$3,"mmm-yyyy"))</f>
        <v>0</v>
      </c>
      <c r="X14" s="216">
        <f>SUMIFS(Banco[Monto],Banco[CtaCtbl],$C14,Banco[Periodo Contable],TEXT(X$3,"mmm-yyyy"))</f>
        <v>0</v>
      </c>
      <c r="Y14" s="216">
        <f>SUMIFS(Banco[Monto],Banco[CtaCtbl],$C14,Banco[Periodo Contable],TEXT(Y$3,"mmm-yyyy"))</f>
        <v>0</v>
      </c>
      <c r="Z14" s="216">
        <f>SUMIFS(Banco[Monto],Banco[CtaCtbl],$C14,Banco[Periodo Contable],TEXT(Z$3,"mmm-yyyy"))</f>
        <v>0</v>
      </c>
      <c r="AA14" s="216">
        <f>SUMIFS(Banco[Monto],Banco[CtaCtbl],$C14,Banco[Periodo Contable],TEXT(AA$3,"mmm-yyyy"))</f>
        <v>0</v>
      </c>
      <c r="AB14" s="216">
        <f>SUMIFS(Banco[Monto],Banco[CtaCtbl],$C14,Banco[Periodo Contable],TEXT(AB$3,"mmm-yyyy"))</f>
        <v>0</v>
      </c>
      <c r="AC14" s="216">
        <f>SUMIFS(Banco[Monto],Banco[CtaCtbl],$C14,Banco[Periodo Contable],TEXT(AC$3,"mmm-yyyy"))</f>
        <v>0</v>
      </c>
      <c r="AD14" s="216">
        <f>SUMIFS(Banco[Monto],Banco[CtaCtbl],$C14,Banco[Periodo Contable],TEXT(AD$3,"mmm-yyyy"))</f>
        <v>0</v>
      </c>
      <c r="AE14" s="216">
        <f>SUMIFS(Banco[Monto],Banco[CtaCtbl],$C14,Banco[Periodo Contable],TEXT(AE$3,"mmm-yyyy"))</f>
        <v>0</v>
      </c>
      <c r="AF14" s="216">
        <f>SUMIFS(Banco[Monto],Banco[CtaCtbl],$C14,Banco[Periodo Contable],TEXT(AF$3,"mmm-yyyy"))</f>
        <v>0</v>
      </c>
      <c r="AG14" s="216">
        <f>SUMIFS(Banco[Monto],Banco[CtaCtbl],$C14,Banco[Periodo Contable],TEXT(AG$3,"mmm-yyyy"))</f>
        <v>0</v>
      </c>
      <c r="AH14" s="216">
        <f>SUMIFS(Banco[Monto],Banco[CtaCtbl],$C14,Banco[Periodo Contable],TEXT(AH$3,"mmm-yyyy"))</f>
        <v>0</v>
      </c>
      <c r="AI14" s="232">
        <f>SUM(Tabla17[[#This Row],[ene-23]:[dic-23]])</f>
        <v>0</v>
      </c>
      <c r="AJ14" s="216">
        <f>SUMIFS(Banco[Monto],Banco[CtaCtbl],$C14,Banco[Periodo Contable],TEXT(AJ$3,"mmm-yyyy"))</f>
        <v>0</v>
      </c>
      <c r="AK14" s="216">
        <f>SUMIFS(Banco[Monto],Banco[CtaCtbl],$C14,Banco[Periodo Contable],TEXT(AK$3,"mmm-yyyy"))</f>
        <v>0</v>
      </c>
      <c r="AL14" s="216">
        <f>SUMIFS(Banco[Monto],Banco[CtaCtbl],$C14,Banco[Periodo Contable],TEXT(AL$3,"mmm-yyyy"))</f>
        <v>0</v>
      </c>
      <c r="AM14" s="216">
        <f>SUMIFS(Banco[Monto],Banco[CtaCtbl],$C14,Banco[Periodo Contable],TEXT(AM$3,"mmm-yyyy"))</f>
        <v>0</v>
      </c>
      <c r="AN14" s="216">
        <f>SUMIFS(Banco[Monto],Banco[CtaCtbl],$C14,Banco[Periodo Contable],TEXT(AN$3,"mmm-yyyy"))</f>
        <v>0</v>
      </c>
      <c r="AO14" s="216">
        <f>SUMIFS(Banco[Monto],Banco[CtaCtbl],$C14,Banco[Periodo Contable],TEXT(AO$3,"mmm-yyyy"))</f>
        <v>0</v>
      </c>
      <c r="AP14" s="216">
        <f>SUMIFS(Banco[Monto],Banco[CtaCtbl],$C14,Banco[Periodo Contable],TEXT(AP$3,"mmm-yyyy"))</f>
        <v>0</v>
      </c>
      <c r="AQ14" s="216">
        <f>SUMIFS(Banco[Monto],Banco[CtaCtbl],$C14,Banco[Periodo Contable],TEXT(AQ$3,"mmm-yyyy"))</f>
        <v>0</v>
      </c>
      <c r="AR14" s="216">
        <f>SUMIFS(Banco[Monto],Banco[CtaCtbl],$C14,Banco[Periodo Contable],TEXT(AR$3,"mmm-yyyy"))</f>
        <v>0</v>
      </c>
      <c r="AS14" s="216">
        <f>SUMIFS(Banco[Monto],Banco[CtaCtbl],$C14,Banco[Periodo Contable],TEXT(AS$3,"mmm-yyyy"))</f>
        <v>0</v>
      </c>
      <c r="AT14" s="216">
        <f>SUMIFS(Banco[Monto],Banco[CtaCtbl],$C14,Banco[Periodo Contable],TEXT(AT$3,"mmm-yyyy"))</f>
        <v>0</v>
      </c>
      <c r="AU14" s="216">
        <f>SUMIFS(Banco[Monto],Banco[CtaCtbl],$C14,Banco[Periodo Contable],TEXT(AU$3,"mmm-yyyy"))</f>
        <v>0</v>
      </c>
      <c r="AV14" s="232">
        <f>SUM(Tabla17[[#This Row],[ene-24]:[dic-24]])</f>
        <v>0</v>
      </c>
      <c r="AW14" s="216">
        <f>SUMIFS(Banco[Monto],Banco[CtaCtbl],$C14,Banco[Periodo Contable],TEXT(AW$3,"mmm-yyyy"))</f>
        <v>0</v>
      </c>
      <c r="AX14" s="216">
        <f>SUMIFS(Banco[Monto],Banco[CtaCtbl],$C14,Banco[Periodo Contable],TEXT(AX$3,"mmm-yyyy"))</f>
        <v>0</v>
      </c>
      <c r="AY14" s="216">
        <f>SUMIFS(Banco[Monto],Banco[CtaCtbl],$C14,Banco[Periodo Contable],TEXT(AY$3,"mmm-yyyy"))</f>
        <v>0</v>
      </c>
      <c r="AZ14" s="216">
        <f>SUMIFS(Banco[Monto],Banco[CtaCtbl],$C14,Banco[Periodo Contable],TEXT(AZ$3,"mmm-yyyy"))</f>
        <v>0</v>
      </c>
      <c r="BA14" s="216">
        <f>SUMIFS(Banco[Monto],Banco[CtaCtbl],$C14,Banco[Periodo Contable],TEXT(BA$3,"mmm-yyyy"))</f>
        <v>0</v>
      </c>
      <c r="BB14" s="216">
        <f>SUMIFS(Banco[Monto],Banco[CtaCtbl],$C14,Banco[Periodo Contable],TEXT(BB$3,"mmm-yyyy"))</f>
        <v>0</v>
      </c>
      <c r="BC14" s="216">
        <f>SUMIFS(Banco[Monto],Banco[CtaCtbl],$C14,Banco[Periodo Contable],TEXT(BC$3,"mmm-yyyy"))</f>
        <v>0</v>
      </c>
      <c r="BD14" s="216">
        <f>SUMIFS(Banco[Monto],Banco[CtaCtbl],$C14,Banco[Periodo Contable],TEXT(BD$3,"mmm-yyyy"))</f>
        <v>0</v>
      </c>
      <c r="BE14" s="216">
        <f>SUMIFS(Banco[Monto],Banco[CtaCtbl],$C14,Banco[Periodo Contable],TEXT(BE$3,"mmm-yyyy"))</f>
        <v>0</v>
      </c>
      <c r="BF14" s="216">
        <f>SUMIFS(Banco[Monto],Banco[CtaCtbl],$C14,Banco[Periodo Contable],TEXT(BF$3,"mmm-yyyy"))</f>
        <v>0</v>
      </c>
      <c r="BG14" s="216">
        <f>SUMIFS(Banco[Monto],Banco[CtaCtbl],$C14,Banco[Periodo Contable],TEXT(BG$3,"mmm-yyyy"))</f>
        <v>0</v>
      </c>
      <c r="BH14" s="216">
        <f>SUMIFS(Banco[Monto],Banco[CtaCtbl],$C14,Banco[Periodo Contable],TEXT(BH$3,"mmm-yyyy"))</f>
        <v>0</v>
      </c>
      <c r="BI14" s="232">
        <f>SUM(Tabla17[[#This Row],[ene-25]:[dic-25]])</f>
        <v>0</v>
      </c>
      <c r="BJ14" s="216">
        <f>SUMIFS(Banco[Monto],Banco[CtaCtbl],$C14,Banco[Periodo Contable],TEXT(BJ$3,"mmm-yyyy"))</f>
        <v>0</v>
      </c>
      <c r="BK14" s="216">
        <f>SUMIFS(Banco[Monto],Banco[CtaCtbl],$C14,Banco[Periodo Contable],TEXT(BK$3,"mmm-yyyy"))</f>
        <v>0</v>
      </c>
      <c r="BL14" s="216">
        <f>SUMIFS(Banco[Monto],Banco[CtaCtbl],$C14,Banco[Periodo Contable],TEXT(BL$3,"mmm-yyyy"))</f>
        <v>0</v>
      </c>
      <c r="BM14" s="216">
        <f>SUMIFS(Banco[Monto],Banco[CtaCtbl],$C14,Banco[Periodo Contable],TEXT(BM$3,"mmm-yyyy"))</f>
        <v>0</v>
      </c>
      <c r="BN14" s="216">
        <f>SUMIFS(Banco[Monto],Banco[CtaCtbl],$C14,Banco[Periodo Contable],TEXT(BN$3,"mmm-yyyy"))</f>
        <v>0</v>
      </c>
      <c r="BO14" s="216">
        <f>SUMIFS(Banco[Monto],Banco[CtaCtbl],$C14,Banco[Periodo Contable],TEXT(BO$3,"mmm-yyyy"))</f>
        <v>0</v>
      </c>
      <c r="BP14" s="216">
        <f>SUMIFS(Banco[Monto],Banco[CtaCtbl],$C14,Banco[Periodo Contable],TEXT(BP$3,"mmm-yyyy"))</f>
        <v>0</v>
      </c>
      <c r="BQ14" s="216">
        <f>SUMIFS(Banco[Monto],Banco[CtaCtbl],$C14,Banco[Periodo Contable],TEXT(BQ$3,"mmm-yyyy"))</f>
        <v>0</v>
      </c>
      <c r="BR14" s="216">
        <f>SUMIFS(Banco[Monto],Banco[CtaCtbl],$C14,Banco[Periodo Contable],TEXT(BR$3,"mmm-yyyy"))</f>
        <v>0</v>
      </c>
      <c r="BS14" s="216">
        <f>SUMIFS(Banco[Monto],Banco[CtaCtbl],$C14,Banco[Periodo Contable],TEXT(BS$3,"mmm-yyyy"))</f>
        <v>0</v>
      </c>
      <c r="BT14" s="216">
        <f>SUMIFS(Banco[Monto],Banco[CtaCtbl],$C14,Banco[Periodo Contable],TEXT(BT$3,"mmm-yyyy"))</f>
        <v>0</v>
      </c>
      <c r="BU14" s="216">
        <f>SUMIFS(Banco[Monto],Banco[CtaCtbl],$C14,Banco[Periodo Contable],TEXT(BU$3,"mmm-yyyy"))</f>
        <v>0</v>
      </c>
      <c r="BV14" s="232">
        <f>SUM(Tabla17[[#This Row],[ene-26]:[dic-26]])</f>
        <v>0</v>
      </c>
      <c r="BW14" s="216">
        <f>SUMIFS(Banco[Monto],Banco[CtaCtbl],$C14,Banco[Periodo Contable],TEXT(BW$3,"mmm-yyyy"))</f>
        <v>0</v>
      </c>
    </row>
    <row r="15" spans="1:75" s="368" customFormat="1" ht="21.6" outlineLevel="2">
      <c r="A15" s="214" t="s">
        <v>265</v>
      </c>
      <c r="B15" s="58" t="s">
        <v>266</v>
      </c>
      <c r="C15" s="233" t="str">
        <f>+Tabla17[[#This Row],[Cuenta]]&amp;" - "&amp;Tabla17[[#This Row],[Descripcion Cuenta]]</f>
        <v>1.03.03 - Otros Aportes</v>
      </c>
      <c r="D15" s="215"/>
      <c r="E15" s="216">
        <f>SUMIFS(Banco[Monto],Banco[CtaCtbl],$C15,Banco[Periodo Contable],TEXT(E$3,"mmm-yyyy"))</f>
        <v>0</v>
      </c>
      <c r="F15" s="216">
        <f>SUMIFS(Banco[Monto],Banco[CtaCtbl],$C15,Banco[Periodo Contable],TEXT(F$3,"mmm-yyyy"))</f>
        <v>0</v>
      </c>
      <c r="G15" s="216">
        <f>SUMIFS(Banco[Monto],Banco[CtaCtbl],$C15,Banco[Periodo Contable],TEXT(G$3,"mmm-yyyy"))</f>
        <v>0</v>
      </c>
      <c r="H15" s="216">
        <f>SUMIFS(Banco[Monto],Banco[CtaCtbl],$C15,Banco[Periodo Contable],TEXT(H$3,"mmm-yyyy"))</f>
        <v>0</v>
      </c>
      <c r="I15" s="216">
        <f>SUM(Tabla17[[#This Row],[sept-21]:[dic-21]])</f>
        <v>0</v>
      </c>
      <c r="J15" s="216">
        <f>SUMIFS(Banco[Monto],Banco[CtaCtbl],$C15,Banco[Periodo Contable],TEXT(J$3,"mmm-yyyy"))</f>
        <v>0</v>
      </c>
      <c r="K15" s="216">
        <f>SUMIFS(Banco[Monto],Banco[CtaCtbl],$C15,Banco[Periodo Contable],TEXT(K$3,"mmm-yyyy"))</f>
        <v>0</v>
      </c>
      <c r="L15" s="216">
        <f>SUMIFS(Banco[Monto],Banco[CtaCtbl],$C15,Banco[Periodo Contable],TEXT(L$3,"mmm-yyyy"))</f>
        <v>0</v>
      </c>
      <c r="M15" s="216">
        <f>SUMIFS(Banco[Monto],Banco[CtaCtbl],$C15,Banco[Periodo Contable],TEXT(M$3,"mmm-yyyy"))</f>
        <v>0</v>
      </c>
      <c r="N15" s="216">
        <f>SUMIFS(Banco[Monto],Banco[CtaCtbl],$C15,Banco[Periodo Contable],TEXT(N$3,"mmm-yyyy"))</f>
        <v>0</v>
      </c>
      <c r="O15" s="216">
        <f>SUMIFS(Banco[Monto],Banco[CtaCtbl],$C15,Banco[Periodo Contable],TEXT(O$3,"mmm-yyyy"))</f>
        <v>3000000</v>
      </c>
      <c r="P15" s="216">
        <f>SUMIFS(Banco[Monto],Banco[CtaCtbl],$C15,Banco[Periodo Contable],TEXT(P$3,"mmm-yyyy"))</f>
        <v>0</v>
      </c>
      <c r="Q15" s="216">
        <f>SUMIFS(Banco[Monto],Banco[CtaCtbl],$C15,Banco[Periodo Contable],TEXT(Q$3,"mmm-yyyy"))</f>
        <v>0</v>
      </c>
      <c r="R15" s="216">
        <f>SUMIFS(Banco[Monto],Banco[CtaCtbl],$C15,Banco[Periodo Contable],TEXT(R$3,"mmm-yyyy"))</f>
        <v>0</v>
      </c>
      <c r="S15" s="216">
        <f>SUMIFS(Banco[Monto],Banco[CtaCtbl],$C15,Banco[Periodo Contable],TEXT(S$3,"mmm-yyyy"))</f>
        <v>0</v>
      </c>
      <c r="T15" s="216">
        <f>SUMIFS(Banco[Monto],Banco[CtaCtbl],$C15,Banco[Periodo Contable],TEXT(T$3,"mmm-yyyy"))</f>
        <v>0</v>
      </c>
      <c r="U15" s="216">
        <f>SUMIFS(Banco[Monto],Banco[CtaCtbl],$C15,Banco[Periodo Contable],TEXT(U$3,"mmm-yyyy"))</f>
        <v>138362</v>
      </c>
      <c r="V15" s="232">
        <f>SUM(Tabla17[[#This Row],[ene-22]:[dic-22]])</f>
        <v>3138362</v>
      </c>
      <c r="W15" s="216">
        <f>SUMIFS(Banco[Monto],Banco[CtaCtbl],$C15,Banco[Periodo Contable],TEXT(W$3,"mmm-yyyy"))</f>
        <v>0</v>
      </c>
      <c r="X15" s="216">
        <f>SUMIFS(Banco[Monto],Banco[CtaCtbl],$C15,Banco[Periodo Contable],TEXT(X$3,"mmm-yyyy"))</f>
        <v>0</v>
      </c>
      <c r="Y15" s="216">
        <f>SUMIFS(Banco[Monto],Banco[CtaCtbl],$C15,Banco[Periodo Contable],TEXT(Y$3,"mmm-yyyy"))</f>
        <v>0</v>
      </c>
      <c r="Z15" s="216">
        <f>SUMIFS(Banco[Monto],Banco[CtaCtbl],$C15,Banco[Periodo Contable],TEXT(Z$3,"mmm-yyyy"))</f>
        <v>0</v>
      </c>
      <c r="AA15" s="216">
        <f>SUMIFS(Banco[Monto],Banco[CtaCtbl],$C15,Banco[Periodo Contable],TEXT(AA$3,"mmm-yyyy"))</f>
        <v>0</v>
      </c>
      <c r="AB15" s="216">
        <f>SUMIFS(Banco[Monto],Banco[CtaCtbl],$C15,Banco[Periodo Contable],TEXT(AB$3,"mmm-yyyy"))</f>
        <v>0</v>
      </c>
      <c r="AC15" s="216">
        <f>SUMIFS(Banco[Monto],Banco[CtaCtbl],$C15,Banco[Periodo Contable],TEXT(AC$3,"mmm-yyyy"))</f>
        <v>0</v>
      </c>
      <c r="AD15" s="216">
        <f>SUMIFS(Banco[Monto],Banco[CtaCtbl],$C15,Banco[Periodo Contable],TEXT(AD$3,"mmm-yyyy"))</f>
        <v>0</v>
      </c>
      <c r="AE15" s="216">
        <f>SUMIFS(Banco[Monto],Banco[CtaCtbl],$C15,Banco[Periodo Contable],TEXT(AE$3,"mmm-yyyy"))</f>
        <v>0</v>
      </c>
      <c r="AF15" s="216">
        <f>SUMIFS(Banco[Monto],Banco[CtaCtbl],$C15,Banco[Periodo Contable],TEXT(AF$3,"mmm-yyyy"))</f>
        <v>0</v>
      </c>
      <c r="AG15" s="216">
        <f>SUMIFS(Banco[Monto],Banco[CtaCtbl],$C15,Banco[Periodo Contable],TEXT(AG$3,"mmm-yyyy"))</f>
        <v>0</v>
      </c>
      <c r="AH15" s="216">
        <f>SUMIFS(Banco[Monto],Banco[CtaCtbl],$C15,Banco[Periodo Contable],TEXT(AH$3,"mmm-yyyy"))</f>
        <v>0</v>
      </c>
      <c r="AI15" s="232">
        <f>SUM(Tabla17[[#This Row],[ene-23]:[dic-23]])</f>
        <v>0</v>
      </c>
      <c r="AJ15" s="216">
        <f>SUMIFS(Banco[Monto],Banco[CtaCtbl],$C15,Banco[Periodo Contable],TEXT(AJ$3,"mmm-yyyy"))</f>
        <v>0</v>
      </c>
      <c r="AK15" s="216">
        <f>SUMIFS(Banco[Monto],Banco[CtaCtbl],$C15,Banco[Periodo Contable],TEXT(AK$3,"mmm-yyyy"))</f>
        <v>0</v>
      </c>
      <c r="AL15" s="216">
        <f>SUMIFS(Banco[Monto],Banco[CtaCtbl],$C15,Banco[Periodo Contable],TEXT(AL$3,"mmm-yyyy"))</f>
        <v>0</v>
      </c>
      <c r="AM15" s="216">
        <f>SUMIFS(Banco[Monto],Banco[CtaCtbl],$C15,Banco[Periodo Contable],TEXT(AM$3,"mmm-yyyy"))</f>
        <v>0</v>
      </c>
      <c r="AN15" s="216">
        <f>SUMIFS(Banco[Monto],Banco[CtaCtbl],$C15,Banco[Periodo Contable],TEXT(AN$3,"mmm-yyyy"))</f>
        <v>0</v>
      </c>
      <c r="AO15" s="216">
        <f>SUMIFS(Banco[Monto],Banco[CtaCtbl],$C15,Banco[Periodo Contable],TEXT(AO$3,"mmm-yyyy"))</f>
        <v>0</v>
      </c>
      <c r="AP15" s="216">
        <f>SUMIFS(Banco[Monto],Banco[CtaCtbl],$C15,Banco[Periodo Contable],TEXT(AP$3,"mmm-yyyy"))</f>
        <v>0</v>
      </c>
      <c r="AQ15" s="216">
        <f>SUMIFS(Banco[Monto],Banco[CtaCtbl],$C15,Banco[Periodo Contable],TEXT(AQ$3,"mmm-yyyy"))</f>
        <v>0</v>
      </c>
      <c r="AR15" s="216">
        <f>SUMIFS(Banco[Monto],Banco[CtaCtbl],$C15,Banco[Periodo Contable],TEXT(AR$3,"mmm-yyyy"))</f>
        <v>0</v>
      </c>
      <c r="AS15" s="216">
        <f>SUMIFS(Banco[Monto],Banco[CtaCtbl],$C15,Banco[Periodo Contable],TEXT(AS$3,"mmm-yyyy"))</f>
        <v>0</v>
      </c>
      <c r="AT15" s="216">
        <f>SUMIFS(Banco[Monto],Banco[CtaCtbl],$C15,Banco[Periodo Contable],TEXT(AT$3,"mmm-yyyy"))</f>
        <v>0</v>
      </c>
      <c r="AU15" s="216">
        <f>SUMIFS(Banco[Monto],Banco[CtaCtbl],$C15,Banco[Periodo Contable],TEXT(AU$3,"mmm-yyyy"))</f>
        <v>0</v>
      </c>
      <c r="AV15" s="232">
        <f>SUM(Tabla17[[#This Row],[ene-24]:[dic-24]])</f>
        <v>0</v>
      </c>
      <c r="AW15" s="216">
        <f>SUMIFS(Banco[Monto],Banco[CtaCtbl],$C15,Banco[Periodo Contable],TEXT(AW$3,"mmm-yyyy"))</f>
        <v>0</v>
      </c>
      <c r="AX15" s="216">
        <f>SUMIFS(Banco[Monto],Banco[CtaCtbl],$C15,Banco[Periodo Contable],TEXT(AX$3,"mmm-yyyy"))</f>
        <v>0</v>
      </c>
      <c r="AY15" s="216">
        <f>SUMIFS(Banco[Monto],Banco[CtaCtbl],$C15,Banco[Periodo Contable],TEXT(AY$3,"mmm-yyyy"))</f>
        <v>0</v>
      </c>
      <c r="AZ15" s="216">
        <f>SUMIFS(Banco[Monto],Banco[CtaCtbl],$C15,Banco[Periodo Contable],TEXT(AZ$3,"mmm-yyyy"))</f>
        <v>0</v>
      </c>
      <c r="BA15" s="216">
        <f>SUMIFS(Banco[Monto],Banco[CtaCtbl],$C15,Banco[Periodo Contable],TEXT(BA$3,"mmm-yyyy"))</f>
        <v>0</v>
      </c>
      <c r="BB15" s="216">
        <f>SUMIFS(Banco[Monto],Banco[CtaCtbl],$C15,Banco[Periodo Contable],TEXT(BB$3,"mmm-yyyy"))</f>
        <v>0</v>
      </c>
      <c r="BC15" s="216">
        <f>SUMIFS(Banco[Monto],Banco[CtaCtbl],$C15,Banco[Periodo Contable],TEXT(BC$3,"mmm-yyyy"))</f>
        <v>0</v>
      </c>
      <c r="BD15" s="216">
        <f>SUMIFS(Banco[Monto],Banco[CtaCtbl],$C15,Banco[Periodo Contable],TEXT(BD$3,"mmm-yyyy"))</f>
        <v>0</v>
      </c>
      <c r="BE15" s="216">
        <f>SUMIFS(Banco[Monto],Banco[CtaCtbl],$C15,Banco[Periodo Contable],TEXT(BE$3,"mmm-yyyy"))</f>
        <v>0</v>
      </c>
      <c r="BF15" s="216">
        <f>SUMIFS(Banco[Monto],Banco[CtaCtbl],$C15,Banco[Periodo Contable],TEXT(BF$3,"mmm-yyyy"))</f>
        <v>0</v>
      </c>
      <c r="BG15" s="216">
        <f>SUMIFS(Banco[Monto],Banco[CtaCtbl],$C15,Banco[Periodo Contable],TEXT(BG$3,"mmm-yyyy"))</f>
        <v>0</v>
      </c>
      <c r="BH15" s="216">
        <f>SUMIFS(Banco[Monto],Banco[CtaCtbl],$C15,Banco[Periodo Contable],TEXT(BH$3,"mmm-yyyy"))</f>
        <v>0</v>
      </c>
      <c r="BI15" s="232">
        <f>SUM(Tabla17[[#This Row],[ene-25]:[dic-25]])</f>
        <v>0</v>
      </c>
      <c r="BJ15" s="216">
        <f>SUMIFS(Banco[Monto],Banco[CtaCtbl],$C15,Banco[Periodo Contable],TEXT(BJ$3,"mmm-yyyy"))</f>
        <v>0</v>
      </c>
      <c r="BK15" s="216">
        <f>SUMIFS(Banco[Monto],Banco[CtaCtbl],$C15,Banco[Periodo Contable],TEXT(BK$3,"mmm-yyyy"))</f>
        <v>0</v>
      </c>
      <c r="BL15" s="216">
        <f>SUMIFS(Banco[Monto],Banco[CtaCtbl],$C15,Banco[Periodo Contable],TEXT(BL$3,"mmm-yyyy"))</f>
        <v>0</v>
      </c>
      <c r="BM15" s="216">
        <f>SUMIFS(Banco[Monto],Banco[CtaCtbl],$C15,Banco[Periodo Contable],TEXT(BM$3,"mmm-yyyy"))</f>
        <v>0</v>
      </c>
      <c r="BN15" s="216">
        <f>SUMIFS(Banco[Monto],Banco[CtaCtbl],$C15,Banco[Periodo Contable],TEXT(BN$3,"mmm-yyyy"))</f>
        <v>0</v>
      </c>
      <c r="BO15" s="216">
        <f>SUMIFS(Banco[Monto],Banco[CtaCtbl],$C15,Banco[Periodo Contable],TEXT(BO$3,"mmm-yyyy"))</f>
        <v>0</v>
      </c>
      <c r="BP15" s="216">
        <f>SUMIFS(Banco[Monto],Banco[CtaCtbl],$C15,Banco[Periodo Contable],TEXT(BP$3,"mmm-yyyy"))</f>
        <v>0</v>
      </c>
      <c r="BQ15" s="216">
        <f>SUMIFS(Banco[Monto],Banco[CtaCtbl],$C15,Banco[Periodo Contable],TEXT(BQ$3,"mmm-yyyy"))</f>
        <v>0</v>
      </c>
      <c r="BR15" s="216">
        <f>SUMIFS(Banco[Monto],Banco[CtaCtbl],$C15,Banco[Periodo Contable],TEXT(BR$3,"mmm-yyyy"))</f>
        <v>0</v>
      </c>
      <c r="BS15" s="216">
        <f>SUMIFS(Banco[Monto],Banco[CtaCtbl],$C15,Banco[Periodo Contable],TEXT(BS$3,"mmm-yyyy"))</f>
        <v>0</v>
      </c>
      <c r="BT15" s="216">
        <f>SUMIFS(Banco[Monto],Banco[CtaCtbl],$C15,Banco[Periodo Contable],TEXT(BT$3,"mmm-yyyy"))</f>
        <v>0</v>
      </c>
      <c r="BU15" s="216">
        <f>SUMIFS(Banco[Monto],Banco[CtaCtbl],$C15,Banco[Periodo Contable],TEXT(BU$3,"mmm-yyyy"))</f>
        <v>0</v>
      </c>
      <c r="BV15" s="232">
        <f>SUM(Tabla17[[#This Row],[ene-26]:[dic-26]])</f>
        <v>0</v>
      </c>
      <c r="BW15" s="216">
        <f>SUMIFS(Banco[Monto],Banco[CtaCtbl],$C15,Banco[Periodo Contable],TEXT(BW$3,"mmm-yyyy"))</f>
        <v>0</v>
      </c>
    </row>
    <row r="16" spans="1:75" s="368" customFormat="1" ht="21.6" outlineLevel="2">
      <c r="A16" s="214" t="s">
        <v>267</v>
      </c>
      <c r="B16" s="58" t="s">
        <v>268</v>
      </c>
      <c r="C16" s="233" t="str">
        <f>+Tabla17[[#This Row],[Cuenta]]&amp;" - "&amp;Tabla17[[#This Row],[Descripcion Cuenta]]</f>
        <v>1.03.04 - Aporte Colbun</v>
      </c>
      <c r="D16" s="215"/>
      <c r="E16" s="216">
        <f>SUMIFS(Banco[Monto],Banco[CtaCtbl],$C16,Banco[Periodo Contable],TEXT(E$3,"mmm-yyyy"))</f>
        <v>0</v>
      </c>
      <c r="F16" s="216">
        <f>SUMIFS(Banco[Monto],Banco[CtaCtbl],$C16,Banco[Periodo Contable],TEXT(F$3,"mmm-yyyy"))</f>
        <v>0</v>
      </c>
      <c r="G16" s="216">
        <f>SUMIFS(Banco[Monto],Banco[CtaCtbl],$C16,Banco[Periodo Contable],TEXT(G$3,"mmm-yyyy"))</f>
        <v>0</v>
      </c>
      <c r="H16" s="216">
        <f>SUMIFS(Banco[Monto],Banco[CtaCtbl],$C16,Banco[Periodo Contable],TEXT(H$3,"mmm-yyyy"))</f>
        <v>0</v>
      </c>
      <c r="I16" s="216">
        <f>SUM(Tabla17[[#This Row],[sept-21]:[dic-21]])</f>
        <v>0</v>
      </c>
      <c r="J16" s="216">
        <f>SUMIFS(Banco[Monto],Banco[CtaCtbl],$C16,Banco[Periodo Contable],TEXT(J$3,"mmm-yyyy"))</f>
        <v>0</v>
      </c>
      <c r="K16" s="216">
        <f>SUMIFS(Banco[Monto],Banco[CtaCtbl],$C16,Banco[Periodo Contable],TEXT(K$3,"mmm-yyyy"))</f>
        <v>0</v>
      </c>
      <c r="L16" s="216">
        <f>SUMIFS(Banco[Monto],Banco[CtaCtbl],$C16,Banco[Periodo Contable],TEXT(L$3,"mmm-yyyy"))</f>
        <v>0</v>
      </c>
      <c r="M16" s="216">
        <f>SUMIFS(Banco[Monto],Banco[CtaCtbl],$C16,Banco[Periodo Contable],TEXT(M$3,"mmm-yyyy"))</f>
        <v>0</v>
      </c>
      <c r="N16" s="216">
        <f>SUMIFS(Banco[Monto],Banco[CtaCtbl],$C16,Banco[Periodo Contable],TEXT(N$3,"mmm-yyyy"))</f>
        <v>107000000</v>
      </c>
      <c r="O16" s="216">
        <f>SUMIFS(Banco[Monto],Banco[CtaCtbl],$C16,Banco[Periodo Contable],TEXT(O$3,"mmm-yyyy"))</f>
        <v>0</v>
      </c>
      <c r="P16" s="216">
        <f>SUMIFS(Banco[Monto],Banco[CtaCtbl],$C16,Banco[Periodo Contable],TEXT(P$3,"mmm-yyyy"))</f>
        <v>0</v>
      </c>
      <c r="Q16" s="216">
        <f>SUMIFS(Banco[Monto],Banco[CtaCtbl],$C16,Banco[Periodo Contable],TEXT(Q$3,"mmm-yyyy"))</f>
        <v>0</v>
      </c>
      <c r="R16" s="216">
        <f>SUMIFS(Banco[Monto],Banco[CtaCtbl],$C16,Banco[Periodo Contable],TEXT(R$3,"mmm-yyyy"))</f>
        <v>0</v>
      </c>
      <c r="S16" s="216">
        <f>SUMIFS(Banco[Monto],Banco[CtaCtbl],$C16,Banco[Periodo Contable],TEXT(S$3,"mmm-yyyy"))</f>
        <v>0</v>
      </c>
      <c r="T16" s="216">
        <f>SUMIFS(Banco[Monto],Banco[CtaCtbl],$C16,Banco[Periodo Contable],TEXT(T$3,"mmm-yyyy"))</f>
        <v>0</v>
      </c>
      <c r="U16" s="216">
        <f>SUMIFS(Banco[Monto],Banco[CtaCtbl],$C16,Banco[Periodo Contable],TEXT(U$3,"mmm-yyyy"))</f>
        <v>0</v>
      </c>
      <c r="V16" s="232">
        <f>SUM(Tabla17[[#This Row],[ene-22]:[dic-22]])</f>
        <v>107000000</v>
      </c>
      <c r="W16" s="216">
        <f>SUMIFS(Banco[Monto],Banco[CtaCtbl],$C16,Banco[Periodo Contable],TEXT(W$3,"mmm-yyyy"))</f>
        <v>0</v>
      </c>
      <c r="X16" s="216">
        <f>SUMIFS(Banco[Monto],Banco[CtaCtbl],$C16,Banco[Periodo Contable],TEXT(X$3,"mmm-yyyy"))</f>
        <v>0</v>
      </c>
      <c r="Y16" s="216">
        <f>SUMIFS(Banco[Monto],Banco[CtaCtbl],$C16,Banco[Periodo Contable],TEXT(Y$3,"mmm-yyyy"))</f>
        <v>0</v>
      </c>
      <c r="Z16" s="216">
        <f>SUMIFS(Banco[Monto],Banco[CtaCtbl],$C16,Banco[Periodo Contable],TEXT(Z$3,"mmm-yyyy"))</f>
        <v>0</v>
      </c>
      <c r="AA16" s="216">
        <f>SUMIFS(Banco[Monto],Banco[CtaCtbl],$C16,Banco[Periodo Contable],TEXT(AA$3,"mmm-yyyy"))</f>
        <v>0</v>
      </c>
      <c r="AB16" s="216">
        <f>SUMIFS(Banco[Monto],Banco[CtaCtbl],$C16,Banco[Periodo Contable],TEXT(AB$3,"mmm-yyyy"))</f>
        <v>0</v>
      </c>
      <c r="AC16" s="216">
        <f>SUMIFS(Banco[Monto],Banco[CtaCtbl],$C16,Banco[Periodo Contable],TEXT(AC$3,"mmm-yyyy"))</f>
        <v>0</v>
      </c>
      <c r="AD16" s="216">
        <f>SUMIFS(Banco[Monto],Banco[CtaCtbl],$C16,Banco[Periodo Contable],TEXT(AD$3,"mmm-yyyy"))</f>
        <v>0</v>
      </c>
      <c r="AE16" s="216">
        <f>SUMIFS(Banco[Monto],Banco[CtaCtbl],$C16,Banco[Periodo Contable],TEXT(AE$3,"mmm-yyyy"))</f>
        <v>0</v>
      </c>
      <c r="AF16" s="216">
        <f>SUMIFS(Banco[Monto],Banco[CtaCtbl],$C16,Banco[Periodo Contable],TEXT(AF$3,"mmm-yyyy"))</f>
        <v>0</v>
      </c>
      <c r="AG16" s="216">
        <f>SUMIFS(Banco[Monto],Banco[CtaCtbl],$C16,Banco[Periodo Contable],TEXT(AG$3,"mmm-yyyy"))</f>
        <v>0</v>
      </c>
      <c r="AH16" s="216">
        <f>SUMIFS(Banco[Monto],Banco[CtaCtbl],$C16,Banco[Periodo Contable],TEXT(AH$3,"mmm-yyyy"))</f>
        <v>0</v>
      </c>
      <c r="AI16" s="232">
        <f>SUM(Tabla17[[#This Row],[ene-23]:[dic-23]])</f>
        <v>0</v>
      </c>
      <c r="AJ16" s="216">
        <f>SUMIFS(Banco[Monto],Banco[CtaCtbl],$C16,Banco[Periodo Contable],TEXT(AJ$3,"mmm-yyyy"))</f>
        <v>0</v>
      </c>
      <c r="AK16" s="216">
        <f>SUMIFS(Banco[Monto],Banco[CtaCtbl],$C16,Banco[Periodo Contable],TEXT(AK$3,"mmm-yyyy"))</f>
        <v>0</v>
      </c>
      <c r="AL16" s="216">
        <f>SUMIFS(Banco[Monto],Banco[CtaCtbl],$C16,Banco[Periodo Contable],TEXT(AL$3,"mmm-yyyy"))</f>
        <v>0</v>
      </c>
      <c r="AM16" s="216">
        <f>SUMIFS(Banco[Monto],Banco[CtaCtbl],$C16,Banco[Periodo Contable],TEXT(AM$3,"mmm-yyyy"))</f>
        <v>0</v>
      </c>
      <c r="AN16" s="216">
        <f>SUMIFS(Banco[Monto],Banco[CtaCtbl],$C16,Banco[Periodo Contable],TEXT(AN$3,"mmm-yyyy"))</f>
        <v>0</v>
      </c>
      <c r="AO16" s="216">
        <f>SUMIFS(Banco[Monto],Banco[CtaCtbl],$C16,Banco[Periodo Contable],TEXT(AO$3,"mmm-yyyy"))</f>
        <v>0</v>
      </c>
      <c r="AP16" s="216">
        <f>SUMIFS(Banco[Monto],Banco[CtaCtbl],$C16,Banco[Periodo Contable],TEXT(AP$3,"mmm-yyyy"))</f>
        <v>0</v>
      </c>
      <c r="AQ16" s="216">
        <f>SUMIFS(Banco[Monto],Banco[CtaCtbl],$C16,Banco[Periodo Contable],TEXT(AQ$3,"mmm-yyyy"))</f>
        <v>0</v>
      </c>
      <c r="AR16" s="216">
        <f>SUMIFS(Banco[Monto],Banco[CtaCtbl],$C16,Banco[Periodo Contable],TEXT(AR$3,"mmm-yyyy"))</f>
        <v>0</v>
      </c>
      <c r="AS16" s="216">
        <f>SUMIFS(Banco[Monto],Banco[CtaCtbl],$C16,Banco[Periodo Contable],TEXT(AS$3,"mmm-yyyy"))</f>
        <v>0</v>
      </c>
      <c r="AT16" s="216">
        <f>SUMIFS(Banco[Monto],Banco[CtaCtbl],$C16,Banco[Periodo Contable],TEXT(AT$3,"mmm-yyyy"))</f>
        <v>0</v>
      </c>
      <c r="AU16" s="216">
        <f>SUMIFS(Banco[Monto],Banco[CtaCtbl],$C16,Banco[Periodo Contable],TEXT(AU$3,"mmm-yyyy"))</f>
        <v>0</v>
      </c>
      <c r="AV16" s="232">
        <f>SUM(Tabla17[[#This Row],[ene-24]:[dic-24]])</f>
        <v>0</v>
      </c>
      <c r="AW16" s="216">
        <f>SUMIFS(Banco[Monto],Banco[CtaCtbl],$C16,Banco[Periodo Contable],TEXT(AW$3,"mmm-yyyy"))</f>
        <v>0</v>
      </c>
      <c r="AX16" s="216">
        <f>SUMIFS(Banco[Monto],Banco[CtaCtbl],$C16,Banco[Periodo Contable],TEXT(AX$3,"mmm-yyyy"))</f>
        <v>0</v>
      </c>
      <c r="AY16" s="216">
        <f>SUMIFS(Banco[Monto],Banco[CtaCtbl],$C16,Banco[Periodo Contable],TEXT(AY$3,"mmm-yyyy"))</f>
        <v>0</v>
      </c>
      <c r="AZ16" s="216">
        <f>SUMIFS(Banco[Monto],Banco[CtaCtbl],$C16,Banco[Periodo Contable],TEXT(AZ$3,"mmm-yyyy"))</f>
        <v>2334248</v>
      </c>
      <c r="BA16" s="216">
        <f>SUMIFS(Banco[Monto],Banco[CtaCtbl],$C16,Banco[Periodo Contable],TEXT(BA$3,"mmm-yyyy"))</f>
        <v>478000000</v>
      </c>
      <c r="BB16" s="216">
        <f>SUMIFS(Banco[Monto],Banco[CtaCtbl],$C16,Banco[Periodo Contable],TEXT(BB$3,"mmm-yyyy"))</f>
        <v>0</v>
      </c>
      <c r="BC16" s="216">
        <f>SUMIFS(Banco[Monto],Banco[CtaCtbl],$C16,Banco[Periodo Contable],TEXT(BC$3,"mmm-yyyy"))</f>
        <v>0</v>
      </c>
      <c r="BD16" s="216">
        <f>SUMIFS(Banco[Monto],Banco[CtaCtbl],$C16,Banco[Periodo Contable],TEXT(BD$3,"mmm-yyyy"))</f>
        <v>0</v>
      </c>
      <c r="BE16" s="216">
        <f>SUMIFS(Banco[Monto],Banco[CtaCtbl],$C16,Banco[Periodo Contable],TEXT(BE$3,"mmm-yyyy"))</f>
        <v>0</v>
      </c>
      <c r="BF16" s="216">
        <f>SUMIFS(Banco[Monto],Banco[CtaCtbl],$C16,Banco[Periodo Contable],TEXT(BF$3,"mmm-yyyy"))</f>
        <v>0</v>
      </c>
      <c r="BG16" s="216">
        <f>SUMIFS(Banco[Monto],Banco[CtaCtbl],$C16,Banco[Periodo Contable],TEXT(BG$3,"mmm-yyyy"))</f>
        <v>0</v>
      </c>
      <c r="BH16" s="216">
        <f>SUMIFS(Banco[Monto],Banco[CtaCtbl],$C16,Banco[Periodo Contable],TEXT(BH$3,"mmm-yyyy"))</f>
        <v>0</v>
      </c>
      <c r="BI16" s="232">
        <f>SUM(Tabla17[[#This Row],[ene-25]:[dic-25]])</f>
        <v>480334248</v>
      </c>
      <c r="BJ16" s="216">
        <f>SUMIFS(Banco[Monto],Banco[CtaCtbl],$C16,Banco[Periodo Contable],TEXT(BJ$3,"mmm-yyyy"))</f>
        <v>0</v>
      </c>
      <c r="BK16" s="216">
        <f>SUMIFS(Banco[Monto],Banco[CtaCtbl],$C16,Banco[Periodo Contable],TEXT(BK$3,"mmm-yyyy"))</f>
        <v>0</v>
      </c>
      <c r="BL16" s="216">
        <f>SUMIFS(Banco[Monto],Banco[CtaCtbl],$C16,Banco[Periodo Contable],TEXT(BL$3,"mmm-yyyy"))</f>
        <v>0</v>
      </c>
      <c r="BM16" s="216">
        <f>SUMIFS(Banco[Monto],Banco[CtaCtbl],$C16,Banco[Periodo Contable],TEXT(BM$3,"mmm-yyyy"))</f>
        <v>0</v>
      </c>
      <c r="BN16" s="216">
        <f>SUMIFS(Banco[Monto],Banco[CtaCtbl],$C16,Banco[Periodo Contable],TEXT(BN$3,"mmm-yyyy"))</f>
        <v>0</v>
      </c>
      <c r="BO16" s="216">
        <f>SUMIFS(Banco[Monto],Banco[CtaCtbl],$C16,Banco[Periodo Contable],TEXT(BO$3,"mmm-yyyy"))</f>
        <v>0</v>
      </c>
      <c r="BP16" s="216">
        <f>SUMIFS(Banco[Monto],Banco[CtaCtbl],$C16,Banco[Periodo Contable],TEXT(BP$3,"mmm-yyyy"))</f>
        <v>0</v>
      </c>
      <c r="BQ16" s="216">
        <f>SUMIFS(Banco[Monto],Banco[CtaCtbl],$C16,Banco[Periodo Contable],TEXT(BQ$3,"mmm-yyyy"))</f>
        <v>0</v>
      </c>
      <c r="BR16" s="216">
        <f>SUMIFS(Banco[Monto],Banco[CtaCtbl],$C16,Banco[Periodo Contable],TEXT(BR$3,"mmm-yyyy"))</f>
        <v>0</v>
      </c>
      <c r="BS16" s="216">
        <f>SUMIFS(Banco[Monto],Banco[CtaCtbl],$C16,Banco[Periodo Contable],TEXT(BS$3,"mmm-yyyy"))</f>
        <v>0</v>
      </c>
      <c r="BT16" s="216">
        <f>SUMIFS(Banco[Monto],Banco[CtaCtbl],$C16,Banco[Periodo Contable],TEXT(BT$3,"mmm-yyyy"))</f>
        <v>0</v>
      </c>
      <c r="BU16" s="216">
        <f>SUMIFS(Banco[Monto],Banco[CtaCtbl],$C16,Banco[Periodo Contable],TEXT(BU$3,"mmm-yyyy"))</f>
        <v>0</v>
      </c>
      <c r="BV16" s="232">
        <f>SUM(Tabla17[[#This Row],[ene-26]:[dic-26]])</f>
        <v>0</v>
      </c>
      <c r="BW16" s="216">
        <f>SUMIFS(Banco[Monto],Banco[CtaCtbl],$C16,Banco[Periodo Contable],TEXT(BW$3,"mmm-yyyy"))</f>
        <v>0</v>
      </c>
    </row>
    <row r="17" spans="1:75" s="293" customFormat="1" ht="21.6" outlineLevel="1">
      <c r="A17" s="331" t="s">
        <v>269</v>
      </c>
      <c r="B17" s="332" t="s">
        <v>270</v>
      </c>
      <c r="C17" s="333" t="str">
        <f>+Tabla17[[#This Row],[Cuenta]]&amp;" - "&amp;Tabla17[[#This Row],[Descripcion Cuenta]]</f>
        <v>1.04 - Utilidades Bancarias / Otros Banco</v>
      </c>
      <c r="D17" s="334"/>
      <c r="E17" s="335">
        <f>SUBTOTAL(9,E18:E24)</f>
        <v>0</v>
      </c>
      <c r="F17" s="335">
        <f>SUBTOTAL(9,F18:F24)</f>
        <v>0</v>
      </c>
      <c r="G17" s="335">
        <f t="shared" ref="G17:BW17" si="57">SUBTOTAL(9,G18:G24)</f>
        <v>0</v>
      </c>
      <c r="H17" s="335">
        <f t="shared" si="57"/>
        <v>0</v>
      </c>
      <c r="I17" s="335">
        <f>SUM(Tabla17[[#This Row],[sept-21]:[dic-21]])</f>
        <v>0</v>
      </c>
      <c r="J17" s="335">
        <f t="shared" si="57"/>
        <v>0</v>
      </c>
      <c r="K17" s="335">
        <f t="shared" si="57"/>
        <v>0</v>
      </c>
      <c r="L17" s="335">
        <f t="shared" si="57"/>
        <v>0</v>
      </c>
      <c r="M17" s="335">
        <f t="shared" si="57"/>
        <v>0</v>
      </c>
      <c r="N17" s="335">
        <f t="shared" si="57"/>
        <v>0</v>
      </c>
      <c r="O17" s="335">
        <f t="shared" si="57"/>
        <v>0</v>
      </c>
      <c r="P17" s="335">
        <f t="shared" si="57"/>
        <v>0</v>
      </c>
      <c r="Q17" s="335">
        <f t="shared" si="57"/>
        <v>0</v>
      </c>
      <c r="R17" s="335">
        <f t="shared" si="57"/>
        <v>0</v>
      </c>
      <c r="S17" s="335">
        <f t="shared" si="57"/>
        <v>0</v>
      </c>
      <c r="T17" s="335">
        <f t="shared" si="57"/>
        <v>0</v>
      </c>
      <c r="U17" s="335">
        <f t="shared" si="57"/>
        <v>0</v>
      </c>
      <c r="V17" s="335">
        <f t="shared" si="57"/>
        <v>0</v>
      </c>
      <c r="W17" s="335">
        <f t="shared" si="57"/>
        <v>0</v>
      </c>
      <c r="X17" s="335">
        <f t="shared" si="57"/>
        <v>0</v>
      </c>
      <c r="Y17" s="335">
        <f t="shared" si="57"/>
        <v>0</v>
      </c>
      <c r="Z17" s="335">
        <f t="shared" si="57"/>
        <v>0</v>
      </c>
      <c r="AA17" s="335">
        <f t="shared" si="57"/>
        <v>0</v>
      </c>
      <c r="AB17" s="335">
        <f t="shared" si="57"/>
        <v>0</v>
      </c>
      <c r="AC17" s="335">
        <f t="shared" si="57"/>
        <v>0</v>
      </c>
      <c r="AD17" s="335">
        <f t="shared" si="57"/>
        <v>0</v>
      </c>
      <c r="AE17" s="335">
        <f t="shared" si="57"/>
        <v>0</v>
      </c>
      <c r="AF17" s="335">
        <f t="shared" si="57"/>
        <v>0</v>
      </c>
      <c r="AG17" s="335">
        <f t="shared" si="57"/>
        <v>0</v>
      </c>
      <c r="AH17" s="335">
        <f t="shared" si="57"/>
        <v>0</v>
      </c>
      <c r="AI17" s="335">
        <f t="shared" si="57"/>
        <v>0</v>
      </c>
      <c r="AJ17" s="335">
        <f t="shared" si="57"/>
        <v>0</v>
      </c>
      <c r="AK17" s="335">
        <f t="shared" si="57"/>
        <v>0</v>
      </c>
      <c r="AL17" s="335">
        <f t="shared" si="57"/>
        <v>0</v>
      </c>
      <c r="AM17" s="335">
        <f t="shared" si="57"/>
        <v>0</v>
      </c>
      <c r="AN17" s="335">
        <f t="shared" si="57"/>
        <v>0</v>
      </c>
      <c r="AO17" s="335">
        <f t="shared" si="57"/>
        <v>0</v>
      </c>
      <c r="AP17" s="335">
        <f t="shared" si="57"/>
        <v>0</v>
      </c>
      <c r="AQ17" s="335">
        <f t="shared" si="57"/>
        <v>0</v>
      </c>
      <c r="AR17" s="335">
        <f t="shared" si="57"/>
        <v>0</v>
      </c>
      <c r="AS17" s="335">
        <f t="shared" si="57"/>
        <v>0</v>
      </c>
      <c r="AT17" s="335">
        <f t="shared" si="57"/>
        <v>0</v>
      </c>
      <c r="AU17" s="335">
        <f t="shared" si="57"/>
        <v>0</v>
      </c>
      <c r="AV17" s="335">
        <f t="shared" si="57"/>
        <v>0</v>
      </c>
      <c r="AW17" s="335">
        <f>SUBTOTAL(9,AW18:AW24)</f>
        <v>0</v>
      </c>
      <c r="AX17" s="335">
        <f t="shared" ref="AX17:BH17" si="58">SUBTOTAL(9,AX18:AX24)</f>
        <v>0</v>
      </c>
      <c r="AY17" s="335">
        <f t="shared" si="58"/>
        <v>0</v>
      </c>
      <c r="AZ17" s="335">
        <f t="shared" si="58"/>
        <v>0</v>
      </c>
      <c r="BA17" s="335">
        <f t="shared" si="58"/>
        <v>0</v>
      </c>
      <c r="BB17" s="335">
        <f t="shared" si="58"/>
        <v>100133680</v>
      </c>
      <c r="BC17" s="335">
        <f t="shared" si="58"/>
        <v>0</v>
      </c>
      <c r="BD17" s="335">
        <f t="shared" si="58"/>
        <v>0</v>
      </c>
      <c r="BE17" s="335">
        <f t="shared" si="58"/>
        <v>0</v>
      </c>
      <c r="BF17" s="335">
        <f t="shared" si="58"/>
        <v>0</v>
      </c>
      <c r="BG17" s="335">
        <f t="shared" si="58"/>
        <v>0</v>
      </c>
      <c r="BH17" s="335">
        <f t="shared" si="58"/>
        <v>0</v>
      </c>
      <c r="BI17" s="335">
        <f>SUBTOTAL(9,BI18:BI24)</f>
        <v>100133680</v>
      </c>
      <c r="BJ17" s="335">
        <f t="shared" ref="BJ17" si="59">SUBTOTAL(9,BJ18:BJ24)</f>
        <v>0</v>
      </c>
      <c r="BK17" s="335">
        <f t="shared" ref="BK17" si="60">SUBTOTAL(9,BK18:BK24)</f>
        <v>0</v>
      </c>
      <c r="BL17" s="335">
        <f t="shared" ref="BL17" si="61">SUBTOTAL(9,BL18:BL24)</f>
        <v>857907</v>
      </c>
      <c r="BM17" s="335">
        <f t="shared" ref="BM17" si="62">SUBTOTAL(9,BM18:BM24)</f>
        <v>0</v>
      </c>
      <c r="BN17" s="335">
        <f t="shared" ref="BN17" si="63">SUBTOTAL(9,BN18:BN24)</f>
        <v>0</v>
      </c>
      <c r="BO17" s="335">
        <f t="shared" ref="BO17" si="64">SUBTOTAL(9,BO18:BO24)</f>
        <v>0</v>
      </c>
      <c r="BP17" s="335">
        <f t="shared" ref="BP17" si="65">SUBTOTAL(9,BP18:BP24)</f>
        <v>0</v>
      </c>
      <c r="BQ17" s="335">
        <f t="shared" ref="BQ17" si="66">SUBTOTAL(9,BQ18:BQ24)</f>
        <v>0</v>
      </c>
      <c r="BR17" s="335">
        <f t="shared" ref="BR17" si="67">SUBTOTAL(9,BR18:BR24)</f>
        <v>0</v>
      </c>
      <c r="BS17" s="335">
        <f t="shared" ref="BS17" si="68">SUBTOTAL(9,BS18:BS24)</f>
        <v>0</v>
      </c>
      <c r="BT17" s="335">
        <f t="shared" ref="BT17" si="69">SUBTOTAL(9,BT18:BT24)</f>
        <v>0</v>
      </c>
      <c r="BU17" s="335">
        <f t="shared" ref="BU17" si="70">SUBTOTAL(9,BU18:BU24)</f>
        <v>0</v>
      </c>
      <c r="BV17" s="335">
        <f>SUBTOTAL(9,BV18:BV24)</f>
        <v>857907</v>
      </c>
      <c r="BW17" s="335">
        <f t="shared" si="57"/>
        <v>0</v>
      </c>
    </row>
    <row r="18" spans="1:75" s="295" customFormat="1" ht="21.6" outlineLevel="2">
      <c r="A18" s="214" t="s">
        <v>271</v>
      </c>
      <c r="B18" s="58" t="s">
        <v>272</v>
      </c>
      <c r="C18" s="233" t="str">
        <f>+Tabla17[[#This Row],[Cuenta]]&amp;" - "&amp;Tabla17[[#This Row],[Descripcion Cuenta]]</f>
        <v>1.04.01 - Utilidades Plazo Fijo</v>
      </c>
      <c r="D18" s="215"/>
      <c r="E18" s="216">
        <f>SUMIFS(Banco[Monto],Banco[CtaCtbl],$C18,Banco[Periodo Contable],TEXT(E$3,"mmm-yyyy"))</f>
        <v>0</v>
      </c>
      <c r="F18" s="216">
        <f>SUMIFS(Banco[Monto],Banco[CtaCtbl],$C18,Banco[Periodo Contable],TEXT(F$3,"mmm-yyyy"))</f>
        <v>0</v>
      </c>
      <c r="G18" s="216">
        <f>SUMIFS(Banco[Monto],Banco[CtaCtbl],$C18,Banco[Periodo Contable],TEXT(G$3,"mmm-yyyy"))</f>
        <v>0</v>
      </c>
      <c r="H18" s="216">
        <f>SUMIFS(Banco[Monto],Banco[CtaCtbl],$C18,Banco[Periodo Contable],TEXT(H$3,"mmm-yyyy"))</f>
        <v>0</v>
      </c>
      <c r="I18" s="216">
        <f>SUM(Tabla17[[#This Row],[sept-21]:[dic-21]])</f>
        <v>0</v>
      </c>
      <c r="J18" s="216">
        <f>SUMIFS(Banco[Monto],Banco[CtaCtbl],$C18,Banco[Periodo Contable],TEXT(J$3,"mmm-yyyy"))</f>
        <v>0</v>
      </c>
      <c r="K18" s="216">
        <f>SUMIFS(Banco[Monto],Banco[CtaCtbl],$C18,Banco[Periodo Contable],TEXT(K$3,"mmm-yyyy"))</f>
        <v>0</v>
      </c>
      <c r="L18" s="216">
        <f>SUMIFS(Banco[Monto],Banco[CtaCtbl],$C18,Banco[Periodo Contable],TEXT(L$3,"mmm-yyyy"))</f>
        <v>0</v>
      </c>
      <c r="M18" s="216">
        <f>SUMIFS(Banco[Monto],Banco[CtaCtbl],$C18,Banco[Periodo Contable],TEXT(M$3,"mmm-yyyy"))</f>
        <v>0</v>
      </c>
      <c r="N18" s="216">
        <f>SUMIFS(Banco[Monto],Banco[CtaCtbl],$C18,Banco[Periodo Contable],TEXT(N$3,"mmm-yyyy"))</f>
        <v>0</v>
      </c>
      <c r="O18" s="216">
        <f>SUMIFS(Banco[Monto],Banco[CtaCtbl],$C18,Banco[Periodo Contable],TEXT(O$3,"mmm-yyyy"))</f>
        <v>0</v>
      </c>
      <c r="P18" s="216">
        <f>SUMIFS(Banco[Monto],Banco[CtaCtbl],$C18,Banco[Periodo Contable],TEXT(P$3,"mmm-yyyy"))</f>
        <v>0</v>
      </c>
      <c r="Q18" s="216">
        <f>SUMIFS(Banco[Monto],Banco[CtaCtbl],$C18,Banco[Periodo Contable],TEXT(Q$3,"mmm-yyyy"))</f>
        <v>0</v>
      </c>
      <c r="R18" s="216">
        <f>SUMIFS(Banco[Monto],Banco[CtaCtbl],$C18,Banco[Periodo Contable],TEXT(R$3,"mmm-yyyy"))</f>
        <v>0</v>
      </c>
      <c r="S18" s="216">
        <f>SUMIFS(Banco[Monto],Banco[CtaCtbl],$C18,Banco[Periodo Contable],TEXT(S$3,"mmm-yyyy"))</f>
        <v>0</v>
      </c>
      <c r="T18" s="216">
        <f>SUMIFS(Banco[Monto],Banco[CtaCtbl],$C18,Banco[Periodo Contable],TEXT(T$3,"mmm-yyyy"))</f>
        <v>0</v>
      </c>
      <c r="U18" s="216">
        <f>SUMIFS(Banco[Monto],Banco[CtaCtbl],$C18,Banco[Periodo Contable],TEXT(U$3,"mmm-yyyy"))</f>
        <v>0</v>
      </c>
      <c r="V18" s="300">
        <f>SUM(Tabla17[[#This Row],[ene-22]:[dic-22]])</f>
        <v>0</v>
      </c>
      <c r="W18" s="216">
        <f>SUMIFS(Banco[Monto],Banco[CtaCtbl],$C18,Banco[Periodo Contable],TEXT(W$3,"mmm-yyyy"))</f>
        <v>0</v>
      </c>
      <c r="X18" s="216">
        <f>SUMIFS(Banco[Monto],Banco[CtaCtbl],$C18,Banco[Periodo Contable],TEXT(X$3,"mmm-yyyy"))</f>
        <v>0</v>
      </c>
      <c r="Y18" s="216">
        <f>SUMIFS(Banco[Monto],Banco[CtaCtbl],$C18,Banco[Periodo Contable],TEXT(Y$3,"mmm-yyyy"))</f>
        <v>0</v>
      </c>
      <c r="Z18" s="216">
        <f>SUMIFS(Banco[Monto],Banco[CtaCtbl],$C18,Banco[Periodo Contable],TEXT(Z$3,"mmm-yyyy"))</f>
        <v>0</v>
      </c>
      <c r="AA18" s="216">
        <f>SUMIFS(Banco[Monto],Banco[CtaCtbl],$C18,Banco[Periodo Contable],TEXT(AA$3,"mmm-yyyy"))</f>
        <v>0</v>
      </c>
      <c r="AB18" s="216">
        <f>SUMIFS(Banco[Monto],Banco[CtaCtbl],$C18,Banco[Periodo Contable],TEXT(AB$3,"mmm-yyyy"))</f>
        <v>0</v>
      </c>
      <c r="AC18" s="216">
        <f>SUMIFS(Banco[Monto],Banco[CtaCtbl],$C18,Banco[Periodo Contable],TEXT(AC$3,"mmm-yyyy"))</f>
        <v>0</v>
      </c>
      <c r="AD18" s="216">
        <f>SUMIFS(Banco[Monto],Banco[CtaCtbl],$C18,Banco[Periodo Contable],TEXT(AD$3,"mmm-yyyy"))</f>
        <v>0</v>
      </c>
      <c r="AE18" s="216">
        <f>SUMIFS(Banco[Monto],Banco[CtaCtbl],$C18,Banco[Periodo Contable],TEXT(AE$3,"mmm-yyyy"))</f>
        <v>0</v>
      </c>
      <c r="AF18" s="216">
        <f>SUMIFS(Banco[Monto],Banco[CtaCtbl],$C18,Banco[Periodo Contable],TEXT(AF$3,"mmm-yyyy"))</f>
        <v>0</v>
      </c>
      <c r="AG18" s="216">
        <f>SUMIFS(Banco[Monto],Banco[CtaCtbl],$C18,Banco[Periodo Contable],TEXT(AG$3,"mmm-yyyy"))</f>
        <v>0</v>
      </c>
      <c r="AH18" s="216">
        <f>SUMIFS(Banco[Monto],Banco[CtaCtbl],$C18,Banco[Periodo Contable],TEXT(AH$3,"mmm-yyyy"))</f>
        <v>0</v>
      </c>
      <c r="AI18" s="300">
        <f>SUM(Tabla17[[#This Row],[ene-23]:[dic-23]])</f>
        <v>0</v>
      </c>
      <c r="AJ18" s="216">
        <f>SUMIFS(Banco[Monto],Banco[CtaCtbl],$C18,Banco[Periodo Contable],TEXT(AJ$3,"mmm-yyyy"))</f>
        <v>0</v>
      </c>
      <c r="AK18" s="216">
        <f>SUMIFS(Banco[Monto],Banco[CtaCtbl],$C18,Banco[Periodo Contable],TEXT(AK$3,"mmm-yyyy"))</f>
        <v>0</v>
      </c>
      <c r="AL18" s="216">
        <f>SUMIFS(Banco[Monto],Banco[CtaCtbl],$C18,Banco[Periodo Contable],TEXT(AL$3,"mmm-yyyy"))</f>
        <v>0</v>
      </c>
      <c r="AM18" s="216">
        <f>SUMIFS(Banco[Monto],Banco[CtaCtbl],$C18,Banco[Periodo Contable],TEXT(AM$3,"mmm-yyyy"))</f>
        <v>0</v>
      </c>
      <c r="AN18" s="216">
        <f>SUMIFS(Banco[Monto],Banco[CtaCtbl],$C18,Banco[Periodo Contable],TEXT(AN$3,"mmm-yyyy"))</f>
        <v>0</v>
      </c>
      <c r="AO18" s="216">
        <f>SUMIFS(Banco[Monto],Banco[CtaCtbl],$C18,Banco[Periodo Contable],TEXT(AO$3,"mmm-yyyy"))</f>
        <v>0</v>
      </c>
      <c r="AP18" s="216">
        <f>SUMIFS(Banco[Monto],Banco[CtaCtbl],$C18,Banco[Periodo Contable],TEXT(AP$3,"mmm-yyyy"))</f>
        <v>0</v>
      </c>
      <c r="AQ18" s="216">
        <f>SUMIFS(Banco[Monto],Banco[CtaCtbl],$C18,Banco[Periodo Contable],TEXT(AQ$3,"mmm-yyyy"))</f>
        <v>0</v>
      </c>
      <c r="AR18" s="216">
        <f>SUMIFS(Banco[Monto],Banco[CtaCtbl],$C18,Banco[Periodo Contable],TEXT(AR$3,"mmm-yyyy"))</f>
        <v>0</v>
      </c>
      <c r="AS18" s="216">
        <f>SUMIFS(Banco[Monto],Banco[CtaCtbl],$C18,Banco[Periodo Contable],TEXT(AS$3,"mmm-yyyy"))</f>
        <v>0</v>
      </c>
      <c r="AT18" s="216">
        <f>SUMIFS(Banco[Monto],Banco[CtaCtbl],$C18,Banco[Periodo Contable],TEXT(AT$3,"mmm-yyyy"))</f>
        <v>0</v>
      </c>
      <c r="AU18" s="216">
        <f>SUMIFS(Banco[Monto],Banco[CtaCtbl],$C18,Banco[Periodo Contable],TEXT(AU$3,"mmm-yyyy"))</f>
        <v>0</v>
      </c>
      <c r="AV18" s="300">
        <f>SUM(Tabla17[[#This Row],[ene-24]:[dic-24]])</f>
        <v>0</v>
      </c>
      <c r="AW18" s="216">
        <f>SUMIFS(Banco[Monto],Banco[CtaCtbl],$C18,Banco[Periodo Contable],TEXT(AW$3,"mmm-yyyy"))</f>
        <v>0</v>
      </c>
      <c r="AX18" s="216">
        <f>SUMIFS(Banco[Monto],Banco[CtaCtbl],$C18,Banco[Periodo Contable],TEXT(AX$3,"mmm-yyyy"))</f>
        <v>0</v>
      </c>
      <c r="AY18" s="216">
        <f>SUMIFS(Banco[Monto],Banco[CtaCtbl],$C18,Banco[Periodo Contable],TEXT(AY$3,"mmm-yyyy"))</f>
        <v>0</v>
      </c>
      <c r="AZ18" s="216">
        <f>SUMIFS(Banco[Monto],Banco[CtaCtbl],$C18,Banco[Periodo Contable],TEXT(AZ$3,"mmm-yyyy"))</f>
        <v>0</v>
      </c>
      <c r="BA18" s="216">
        <f>SUMIFS(Banco[Monto],Banco[CtaCtbl],$C18,Banco[Periodo Contable],TEXT(BA$3,"mmm-yyyy"))</f>
        <v>0</v>
      </c>
      <c r="BB18" s="216">
        <f>SUMIFS(Banco[Monto],Banco[CtaCtbl],$C18,Banco[Periodo Contable],TEXT(BB$3,"mmm-yyyy"))</f>
        <v>7862624</v>
      </c>
      <c r="BC18" s="216">
        <f>SUMIFS(Banco[Monto],Banco[CtaCtbl],$C18,Banco[Periodo Contable],TEXT(BC$3,"mmm-yyyy"))</f>
        <v>0</v>
      </c>
      <c r="BD18" s="216">
        <f>SUMIFS(Banco[Monto],Banco[CtaCtbl],$C18,Banco[Periodo Contable],TEXT(BD$3,"mmm-yyyy"))</f>
        <v>0</v>
      </c>
      <c r="BE18" s="216">
        <f>SUMIFS(Banco[Monto],Banco[CtaCtbl],$C18,Banco[Periodo Contable],TEXT(BE$3,"mmm-yyyy"))</f>
        <v>0</v>
      </c>
      <c r="BF18" s="216">
        <f>SUMIFS(Banco[Monto],Banco[CtaCtbl],$C18,Banco[Periodo Contable],TEXT(BF$3,"mmm-yyyy"))</f>
        <v>0</v>
      </c>
      <c r="BG18" s="216">
        <f>SUMIFS(Banco[Monto],Banco[CtaCtbl],$C18,Banco[Periodo Contable],TEXT(BG$3,"mmm-yyyy"))</f>
        <v>0</v>
      </c>
      <c r="BH18" s="216">
        <f>SUMIFS(Banco[Monto],Banco[CtaCtbl],$C18,Banco[Periodo Contable],TEXT(BH$3,"mmm-yyyy"))</f>
        <v>0</v>
      </c>
      <c r="BI18" s="232">
        <f>SUM(Tabla17[[#This Row],[ene-25]:[dic-25]])</f>
        <v>7862624</v>
      </c>
      <c r="BJ18" s="216">
        <f>SUMIFS(Banco[Monto],Banco[CtaCtbl],$C18,Banco[Periodo Contable],TEXT(BJ$3,"mmm-yyyy"))</f>
        <v>0</v>
      </c>
      <c r="BK18" s="216">
        <f>SUMIFS(Banco[Monto],Banco[CtaCtbl],$C18,Banco[Periodo Contable],TEXT(BK$3,"mmm-yyyy"))</f>
        <v>0</v>
      </c>
      <c r="BL18" s="216">
        <f>SUMIFS(Banco[Monto],Banco[CtaCtbl],$C18,Banco[Periodo Contable],TEXT(BL$3,"mmm-yyyy"))</f>
        <v>0</v>
      </c>
      <c r="BM18" s="216">
        <f>SUMIFS(Banco[Monto],Banco[CtaCtbl],$C18,Banco[Periodo Contable],TEXT(BM$3,"mmm-yyyy"))</f>
        <v>0</v>
      </c>
      <c r="BN18" s="216">
        <f>SUMIFS(Banco[Monto],Banco[CtaCtbl],$C18,Banco[Periodo Contable],TEXT(BN$3,"mmm-yyyy"))</f>
        <v>0</v>
      </c>
      <c r="BO18" s="216">
        <f>SUMIFS(Banco[Monto],Banco[CtaCtbl],$C18,Banco[Periodo Contable],TEXT(BO$3,"mmm-yyyy"))</f>
        <v>0</v>
      </c>
      <c r="BP18" s="216">
        <f>SUMIFS(Banco[Monto],Banco[CtaCtbl],$C18,Banco[Periodo Contable],TEXT(BP$3,"mmm-yyyy"))</f>
        <v>0</v>
      </c>
      <c r="BQ18" s="216">
        <f>SUMIFS(Banco[Monto],Banco[CtaCtbl],$C18,Banco[Periodo Contable],TEXT(BQ$3,"mmm-yyyy"))</f>
        <v>0</v>
      </c>
      <c r="BR18" s="216">
        <f>SUMIFS(Banco[Monto],Banco[CtaCtbl],$C18,Banco[Periodo Contable],TEXT(BR$3,"mmm-yyyy"))</f>
        <v>0</v>
      </c>
      <c r="BS18" s="216">
        <f>SUMIFS(Banco[Monto],Banco[CtaCtbl],$C18,Banco[Periodo Contable],TEXT(BS$3,"mmm-yyyy"))</f>
        <v>0</v>
      </c>
      <c r="BT18" s="216">
        <f>SUMIFS(Banco[Monto],Banco[CtaCtbl],$C18,Banco[Periodo Contable],TEXT(BT$3,"mmm-yyyy"))</f>
        <v>0</v>
      </c>
      <c r="BU18" s="216">
        <f>SUMIFS(Banco[Monto],Banco[CtaCtbl],$C18,Banco[Periodo Contable],TEXT(BU$3,"mmm-yyyy"))</f>
        <v>0</v>
      </c>
      <c r="BV18" s="232">
        <f>SUM(Tabla17[[#This Row],[ene-26]:[dic-26]])</f>
        <v>0</v>
      </c>
      <c r="BW18" s="216">
        <f>SUMIFS(Banco[Monto],Banco[CtaCtbl],$C18,Banco[Periodo Contable],TEXT(BW$3,"mmm-yyyy"))</f>
        <v>0</v>
      </c>
    </row>
    <row r="19" spans="1:75" s="295" customFormat="1" ht="21.6" outlineLevel="2">
      <c r="A19" s="214" t="s">
        <v>273</v>
      </c>
      <c r="B19" s="58" t="s">
        <v>274</v>
      </c>
      <c r="C19" s="233" t="str">
        <f>+Tabla17[[#This Row],[Cuenta]]&amp;" - "&amp;Tabla17[[#This Row],[Descripcion Cuenta]]</f>
        <v>1.04.02 - Utilidades Fondos Mutos</v>
      </c>
      <c r="D19" s="215"/>
      <c r="E19" s="216">
        <f>SUMIFS(Banco[Monto],Banco[CtaCtbl],$C19,Banco[Periodo Contable],TEXT(E$3,"mmm-yyyy"))</f>
        <v>0</v>
      </c>
      <c r="F19" s="216">
        <f>SUMIFS(Banco[Monto],Banco[CtaCtbl],$C19,Banco[Periodo Contable],TEXT(F$3,"mmm-yyyy"))</f>
        <v>0</v>
      </c>
      <c r="G19" s="216">
        <f>SUMIFS(Banco[Monto],Banco[CtaCtbl],$C19,Banco[Periodo Contable],TEXT(G$3,"mmm-yyyy"))</f>
        <v>0</v>
      </c>
      <c r="H19" s="216">
        <f>SUMIFS(Banco[Monto],Banco[CtaCtbl],$C19,Banco[Periodo Contable],TEXT(H$3,"mmm-yyyy"))</f>
        <v>0</v>
      </c>
      <c r="I19" s="216">
        <f>SUM(Tabla17[[#This Row],[sept-21]:[dic-21]])</f>
        <v>0</v>
      </c>
      <c r="J19" s="216">
        <f>SUMIFS(Banco[Monto],Banco[CtaCtbl],$C19,Banco[Periodo Contable],TEXT(J$3,"mmm-yyyy"))</f>
        <v>0</v>
      </c>
      <c r="K19" s="216">
        <f>SUMIFS(Banco[Monto],Banco[CtaCtbl],$C19,Banco[Periodo Contable],TEXT(K$3,"mmm-yyyy"))</f>
        <v>0</v>
      </c>
      <c r="L19" s="216">
        <f>SUMIFS(Banco[Monto],Banco[CtaCtbl],$C19,Banco[Periodo Contable],TEXT(L$3,"mmm-yyyy"))</f>
        <v>0</v>
      </c>
      <c r="M19" s="216">
        <f>SUMIFS(Banco[Monto],Banco[CtaCtbl],$C19,Banco[Periodo Contable],TEXT(M$3,"mmm-yyyy"))</f>
        <v>0</v>
      </c>
      <c r="N19" s="216">
        <f>SUMIFS(Banco[Monto],Banco[CtaCtbl],$C19,Banco[Periodo Contable],TEXT(N$3,"mmm-yyyy"))</f>
        <v>0</v>
      </c>
      <c r="O19" s="216">
        <f>SUMIFS(Banco[Monto],Banco[CtaCtbl],$C19,Banco[Periodo Contable],TEXT(O$3,"mmm-yyyy"))</f>
        <v>0</v>
      </c>
      <c r="P19" s="216">
        <f>SUMIFS(Banco[Monto],Banco[CtaCtbl],$C19,Banco[Periodo Contable],TEXT(P$3,"mmm-yyyy"))</f>
        <v>0</v>
      </c>
      <c r="Q19" s="216">
        <f>SUMIFS(Banco[Monto],Banco[CtaCtbl],$C19,Banco[Periodo Contable],TEXT(Q$3,"mmm-yyyy"))</f>
        <v>0</v>
      </c>
      <c r="R19" s="216">
        <f>SUMIFS(Banco[Monto],Banco[CtaCtbl],$C19,Banco[Periodo Contable],TEXT(R$3,"mmm-yyyy"))</f>
        <v>0</v>
      </c>
      <c r="S19" s="216">
        <f>SUMIFS(Banco[Monto],Banco[CtaCtbl],$C19,Banco[Periodo Contable],TEXT(S$3,"mmm-yyyy"))</f>
        <v>0</v>
      </c>
      <c r="T19" s="216">
        <f>SUMIFS(Banco[Monto],Banco[CtaCtbl],$C19,Banco[Periodo Contable],TEXT(T$3,"mmm-yyyy"))</f>
        <v>0</v>
      </c>
      <c r="U19" s="216">
        <f>SUMIFS(Banco[Monto],Banco[CtaCtbl],$C19,Banco[Periodo Contable],TEXT(U$3,"mmm-yyyy"))</f>
        <v>0</v>
      </c>
      <c r="V19" s="300">
        <f>SUM(Tabla17[[#This Row],[ene-22]:[dic-22]])</f>
        <v>0</v>
      </c>
      <c r="W19" s="216">
        <f>SUMIFS(Banco[Monto],Banco[CtaCtbl],$C19,Banco[Periodo Contable],TEXT(W$3,"mmm-yyyy"))</f>
        <v>0</v>
      </c>
      <c r="X19" s="216">
        <f>SUMIFS(Banco[Monto],Banco[CtaCtbl],$C19,Banco[Periodo Contable],TEXT(X$3,"mmm-yyyy"))</f>
        <v>0</v>
      </c>
      <c r="Y19" s="216">
        <f>SUMIFS(Banco[Monto],Banco[CtaCtbl],$C19,Banco[Periodo Contable],TEXT(Y$3,"mmm-yyyy"))</f>
        <v>0</v>
      </c>
      <c r="Z19" s="216">
        <f>SUMIFS(Banco[Monto],Banco[CtaCtbl],$C19,Banco[Periodo Contable],TEXT(Z$3,"mmm-yyyy"))</f>
        <v>0</v>
      </c>
      <c r="AA19" s="216">
        <f>SUMIFS(Banco[Monto],Banco[CtaCtbl],$C19,Banco[Periodo Contable],TEXT(AA$3,"mmm-yyyy"))</f>
        <v>0</v>
      </c>
      <c r="AB19" s="216">
        <f>SUMIFS(Banco[Monto],Banco[CtaCtbl],$C19,Banco[Periodo Contable],TEXT(AB$3,"mmm-yyyy"))</f>
        <v>0</v>
      </c>
      <c r="AC19" s="216">
        <f>SUMIFS(Banco[Monto],Banco[CtaCtbl],$C19,Banco[Periodo Contable],TEXT(AC$3,"mmm-yyyy"))</f>
        <v>0</v>
      </c>
      <c r="AD19" s="216">
        <f>SUMIFS(Banco[Monto],Banco[CtaCtbl],$C19,Banco[Periodo Contable],TEXT(AD$3,"mmm-yyyy"))</f>
        <v>0</v>
      </c>
      <c r="AE19" s="216">
        <f>SUMIFS(Banco[Monto],Banco[CtaCtbl],$C19,Banco[Periodo Contable],TEXT(AE$3,"mmm-yyyy"))</f>
        <v>0</v>
      </c>
      <c r="AF19" s="216">
        <f>SUMIFS(Banco[Monto],Banco[CtaCtbl],$C19,Banco[Periodo Contable],TEXT(AF$3,"mmm-yyyy"))</f>
        <v>0</v>
      </c>
      <c r="AG19" s="216">
        <f>SUMIFS(Banco[Monto],Banco[CtaCtbl],$C19,Banco[Periodo Contable],TEXT(AG$3,"mmm-yyyy"))</f>
        <v>0</v>
      </c>
      <c r="AH19" s="216">
        <f>SUMIFS(Banco[Monto],Banco[CtaCtbl],$C19,Banco[Periodo Contable],TEXT(AH$3,"mmm-yyyy"))</f>
        <v>0</v>
      </c>
      <c r="AI19" s="300">
        <f>SUM(Tabla17[[#This Row],[ene-23]:[dic-23]])</f>
        <v>0</v>
      </c>
      <c r="AJ19" s="216">
        <f>SUMIFS(Banco[Monto],Banco[CtaCtbl],$C19,Banco[Periodo Contable],TEXT(AJ$3,"mmm-yyyy"))</f>
        <v>0</v>
      </c>
      <c r="AK19" s="216">
        <f>SUMIFS(Banco[Monto],Banco[CtaCtbl],$C19,Banco[Periodo Contable],TEXT(AK$3,"mmm-yyyy"))</f>
        <v>0</v>
      </c>
      <c r="AL19" s="216">
        <f>SUMIFS(Banco[Monto],Banco[CtaCtbl],$C19,Banco[Periodo Contable],TEXT(AL$3,"mmm-yyyy"))</f>
        <v>0</v>
      </c>
      <c r="AM19" s="216">
        <f>SUMIFS(Banco[Monto],Banco[CtaCtbl],$C19,Banco[Periodo Contable],TEXT(AM$3,"mmm-yyyy"))</f>
        <v>0</v>
      </c>
      <c r="AN19" s="216">
        <f>SUMIFS(Banco[Monto],Banco[CtaCtbl],$C19,Banco[Periodo Contable],TEXT(AN$3,"mmm-yyyy"))</f>
        <v>0</v>
      </c>
      <c r="AO19" s="216">
        <f>SUMIFS(Banco[Monto],Banco[CtaCtbl],$C19,Banco[Periodo Contable],TEXT(AO$3,"mmm-yyyy"))</f>
        <v>0</v>
      </c>
      <c r="AP19" s="216">
        <f>SUMIFS(Banco[Monto],Banco[CtaCtbl],$C19,Banco[Periodo Contable],TEXT(AP$3,"mmm-yyyy"))</f>
        <v>0</v>
      </c>
      <c r="AQ19" s="216">
        <f>SUMIFS(Banco[Monto],Banco[CtaCtbl],$C19,Banco[Periodo Contable],TEXT(AQ$3,"mmm-yyyy"))</f>
        <v>0</v>
      </c>
      <c r="AR19" s="216">
        <f>SUMIFS(Banco[Monto],Banco[CtaCtbl],$C19,Banco[Periodo Contable],TEXT(AR$3,"mmm-yyyy"))</f>
        <v>0</v>
      </c>
      <c r="AS19" s="216">
        <f>SUMIFS(Banco[Monto],Banco[CtaCtbl],$C19,Banco[Periodo Contable],TEXT(AS$3,"mmm-yyyy"))</f>
        <v>0</v>
      </c>
      <c r="AT19" s="216">
        <f>SUMIFS(Banco[Monto],Banco[CtaCtbl],$C19,Banco[Periodo Contable],TEXT(AT$3,"mmm-yyyy"))</f>
        <v>0</v>
      </c>
      <c r="AU19" s="216">
        <f>SUMIFS(Banco[Monto],Banco[CtaCtbl],$C19,Banco[Periodo Contable],TEXT(AU$3,"mmm-yyyy"))</f>
        <v>0</v>
      </c>
      <c r="AV19" s="300">
        <f>SUM(Tabla17[[#This Row],[ene-24]:[dic-24]])</f>
        <v>0</v>
      </c>
      <c r="AW19" s="216">
        <f>SUMIFS(Banco[Monto],Banco[CtaCtbl],$C19,Banco[Periodo Contable],TEXT(AW$3,"mmm-yyyy"))</f>
        <v>0</v>
      </c>
      <c r="AX19" s="216">
        <f>SUMIFS(Banco[Monto],Banco[CtaCtbl],$C19,Banco[Periodo Contable],TEXT(AX$3,"mmm-yyyy"))</f>
        <v>0</v>
      </c>
      <c r="AY19" s="216">
        <f>SUMIFS(Banco[Monto],Banco[CtaCtbl],$C19,Banco[Periodo Contable],TEXT(AY$3,"mmm-yyyy"))</f>
        <v>0</v>
      </c>
      <c r="AZ19" s="216">
        <f>SUMIFS(Banco[Monto],Banco[CtaCtbl],$C19,Banco[Periodo Contable],TEXT(AZ$3,"mmm-yyyy"))</f>
        <v>0</v>
      </c>
      <c r="BA19" s="216">
        <f>SUMIFS(Banco[Monto],Banco[CtaCtbl],$C19,Banco[Periodo Contable],TEXT(BA$3,"mmm-yyyy"))</f>
        <v>0</v>
      </c>
      <c r="BB19" s="216">
        <f>SUMIFS(Banco[Monto],Banco[CtaCtbl],$C19,Banco[Periodo Contable],TEXT(BB$3,"mmm-yyyy"))</f>
        <v>0</v>
      </c>
      <c r="BC19" s="216">
        <f>SUMIFS(Banco[Monto],Banco[CtaCtbl],$C19,Banco[Periodo Contable],TEXT(BC$3,"mmm-yyyy"))</f>
        <v>0</v>
      </c>
      <c r="BD19" s="216">
        <f>SUMIFS(Banco[Monto],Banco[CtaCtbl],$C19,Banco[Periodo Contable],TEXT(BD$3,"mmm-yyyy"))</f>
        <v>0</v>
      </c>
      <c r="BE19" s="216">
        <f>SUMIFS(Banco[Monto],Banco[CtaCtbl],$C19,Banco[Periodo Contable],TEXT(BE$3,"mmm-yyyy"))</f>
        <v>0</v>
      </c>
      <c r="BF19" s="216">
        <f>SUMIFS(Banco[Monto],Banco[CtaCtbl],$C19,Banco[Periodo Contable],TEXT(BF$3,"mmm-yyyy"))</f>
        <v>0</v>
      </c>
      <c r="BG19" s="216">
        <f>SUMIFS(Banco[Monto],Banco[CtaCtbl],$C19,Banco[Periodo Contable],TEXT(BG$3,"mmm-yyyy"))</f>
        <v>0</v>
      </c>
      <c r="BH19" s="216">
        <f>SUMIFS(Banco[Monto],Banco[CtaCtbl],$C19,Banco[Periodo Contable],TEXT(BH$3,"mmm-yyyy"))</f>
        <v>0</v>
      </c>
      <c r="BI19" s="232">
        <f>SUM(Tabla17[[#This Row],[ene-25]:[dic-25]])</f>
        <v>0</v>
      </c>
      <c r="BJ19" s="216">
        <f>SUMIFS(Banco[Monto],Banco[CtaCtbl],$C19,Banco[Periodo Contable],TEXT(BJ$3,"mmm-yyyy"))</f>
        <v>0</v>
      </c>
      <c r="BK19" s="216">
        <f>SUMIFS(Banco[Monto],Banco[CtaCtbl],$C19,Banco[Periodo Contable],TEXT(BK$3,"mmm-yyyy"))</f>
        <v>0</v>
      </c>
      <c r="BL19" s="216">
        <f>SUMIFS(Banco[Monto],Banco[CtaCtbl],$C19,Banco[Periodo Contable],TEXT(BL$3,"mmm-yyyy"))</f>
        <v>0</v>
      </c>
      <c r="BM19" s="216">
        <f>SUMIFS(Banco[Monto],Banco[CtaCtbl],$C19,Banco[Periodo Contable],TEXT(BM$3,"mmm-yyyy"))</f>
        <v>0</v>
      </c>
      <c r="BN19" s="216">
        <f>SUMIFS(Banco[Monto],Banco[CtaCtbl],$C19,Banco[Periodo Contable],TEXT(BN$3,"mmm-yyyy"))</f>
        <v>0</v>
      </c>
      <c r="BO19" s="216">
        <f>SUMIFS(Banco[Monto],Banco[CtaCtbl],$C19,Banco[Periodo Contable],TEXT(BO$3,"mmm-yyyy"))</f>
        <v>0</v>
      </c>
      <c r="BP19" s="216">
        <f>SUMIFS(Banco[Monto],Banco[CtaCtbl],$C19,Banco[Periodo Contable],TEXT(BP$3,"mmm-yyyy"))</f>
        <v>0</v>
      </c>
      <c r="BQ19" s="216">
        <f>SUMIFS(Banco[Monto],Banco[CtaCtbl],$C19,Banco[Periodo Contable],TEXT(BQ$3,"mmm-yyyy"))</f>
        <v>0</v>
      </c>
      <c r="BR19" s="216">
        <f>SUMIFS(Banco[Monto],Banco[CtaCtbl],$C19,Banco[Periodo Contable],TEXT(BR$3,"mmm-yyyy"))</f>
        <v>0</v>
      </c>
      <c r="BS19" s="216">
        <f>SUMIFS(Banco[Monto],Banco[CtaCtbl],$C19,Banco[Periodo Contable],TEXT(BS$3,"mmm-yyyy"))</f>
        <v>0</v>
      </c>
      <c r="BT19" s="216">
        <f>SUMIFS(Banco[Monto],Banco[CtaCtbl],$C19,Banco[Periodo Contable],TEXT(BT$3,"mmm-yyyy"))</f>
        <v>0</v>
      </c>
      <c r="BU19" s="216">
        <f>SUMIFS(Banco[Monto],Banco[CtaCtbl],$C19,Banco[Periodo Contable],TEXT(BU$3,"mmm-yyyy"))</f>
        <v>0</v>
      </c>
      <c r="BV19" s="232">
        <f>SUM(Tabla17[[#This Row],[ene-26]:[dic-26]])</f>
        <v>0</v>
      </c>
      <c r="BW19" s="216">
        <f>SUMIFS(Banco[Monto],Banco[CtaCtbl],$C19,Banco[Periodo Contable],TEXT(BW$3,"mmm-yyyy"))</f>
        <v>0</v>
      </c>
    </row>
    <row r="20" spans="1:75" s="295" customFormat="1" ht="21.6" outlineLevel="2">
      <c r="A20" s="214" t="s">
        <v>275</v>
      </c>
      <c r="B20" s="58" t="s">
        <v>276</v>
      </c>
      <c r="C20" s="233" t="str">
        <f>+Tabla17[[#This Row],[Cuenta]]&amp;" - "&amp;Tabla17[[#This Row],[Descripcion Cuenta]]</f>
        <v>1.04.03 - Rescate Fondos Mutuos</v>
      </c>
      <c r="D20" s="215"/>
      <c r="E20" s="216">
        <f>SUMIFS(Banco[Monto],Banco[CtaCtbl],$C20,Banco[Periodo Contable],TEXT(E$3,"mmm-yyyy"))</f>
        <v>0</v>
      </c>
      <c r="F20" s="216">
        <f>SUMIFS(Banco[Monto],Banco[CtaCtbl],$C20,Banco[Periodo Contable],TEXT(F$3,"mmm-yyyy"))</f>
        <v>0</v>
      </c>
      <c r="G20" s="216">
        <f>SUMIFS(Banco[Monto],Banco[CtaCtbl],$C20,Banco[Periodo Contable],TEXT(G$3,"mmm-yyyy"))</f>
        <v>0</v>
      </c>
      <c r="H20" s="216">
        <f>SUMIFS(Banco[Monto],Banco[CtaCtbl],$C20,Banco[Periodo Contable],TEXT(H$3,"mmm-yyyy"))</f>
        <v>0</v>
      </c>
      <c r="I20" s="216">
        <f>SUM(Tabla17[[#This Row],[sept-21]:[dic-21]])</f>
        <v>0</v>
      </c>
      <c r="J20" s="216">
        <f>SUMIFS(Banco[Monto],Banco[CtaCtbl],$C20,Banco[Periodo Contable],TEXT(J$3,"mmm-yyyy"))</f>
        <v>0</v>
      </c>
      <c r="K20" s="216">
        <f>SUMIFS(Banco[Monto],Banco[CtaCtbl],$C20,Banco[Periodo Contable],TEXT(K$3,"mmm-yyyy"))</f>
        <v>0</v>
      </c>
      <c r="L20" s="216">
        <f>SUMIFS(Banco[Monto],Banco[CtaCtbl],$C20,Banco[Periodo Contable],TEXT(L$3,"mmm-yyyy"))</f>
        <v>0</v>
      </c>
      <c r="M20" s="216">
        <f>SUMIFS(Banco[Monto],Banco[CtaCtbl],$C20,Banco[Periodo Contable],TEXT(M$3,"mmm-yyyy"))</f>
        <v>0</v>
      </c>
      <c r="N20" s="216">
        <f>SUMIFS(Banco[Monto],Banco[CtaCtbl],$C20,Banco[Periodo Contable],TEXT(N$3,"mmm-yyyy"))</f>
        <v>0</v>
      </c>
      <c r="O20" s="216">
        <f>SUMIFS(Banco[Monto],Banco[CtaCtbl],$C20,Banco[Periodo Contable],TEXT(O$3,"mmm-yyyy"))</f>
        <v>0</v>
      </c>
      <c r="P20" s="216">
        <f>SUMIFS(Banco[Monto],Banco[CtaCtbl],$C20,Banco[Periodo Contable],TEXT(P$3,"mmm-yyyy"))</f>
        <v>0</v>
      </c>
      <c r="Q20" s="216">
        <f>SUMIFS(Banco[Monto],Banco[CtaCtbl],$C20,Banco[Periodo Contable],TEXT(Q$3,"mmm-yyyy"))</f>
        <v>0</v>
      </c>
      <c r="R20" s="216">
        <f>SUMIFS(Banco[Monto],Banco[CtaCtbl],$C20,Banco[Periodo Contable],TEXT(R$3,"mmm-yyyy"))</f>
        <v>0</v>
      </c>
      <c r="S20" s="216">
        <f>SUMIFS(Banco[Monto],Banco[CtaCtbl],$C20,Banco[Periodo Contable],TEXT(S$3,"mmm-yyyy"))</f>
        <v>0</v>
      </c>
      <c r="T20" s="216">
        <f>SUMIFS(Banco[Monto],Banco[CtaCtbl],$C20,Banco[Periodo Contable],TEXT(T$3,"mmm-yyyy"))</f>
        <v>0</v>
      </c>
      <c r="U20" s="216">
        <f>SUMIFS(Banco[Monto],Banco[CtaCtbl],$C20,Banco[Periodo Contable],TEXT(U$3,"mmm-yyyy"))</f>
        <v>0</v>
      </c>
      <c r="V20" s="300">
        <f>SUM(Tabla17[[#This Row],[ene-22]:[dic-22]])</f>
        <v>0</v>
      </c>
      <c r="W20" s="216">
        <f>SUMIFS(Banco[Monto],Banco[CtaCtbl],$C20,Banco[Periodo Contable],TEXT(W$3,"mmm-yyyy"))</f>
        <v>0</v>
      </c>
      <c r="X20" s="216">
        <f>SUMIFS(Banco[Monto],Banco[CtaCtbl],$C20,Banco[Periodo Contable],TEXT(X$3,"mmm-yyyy"))</f>
        <v>0</v>
      </c>
      <c r="Y20" s="216">
        <f>SUMIFS(Banco[Monto],Banco[CtaCtbl],$C20,Banco[Periodo Contable],TEXT(Y$3,"mmm-yyyy"))</f>
        <v>0</v>
      </c>
      <c r="Z20" s="216">
        <f>SUMIFS(Banco[Monto],Banco[CtaCtbl],$C20,Banco[Periodo Contable],TEXT(Z$3,"mmm-yyyy"))</f>
        <v>0</v>
      </c>
      <c r="AA20" s="216">
        <f>SUMIFS(Banco[Monto],Banco[CtaCtbl],$C20,Banco[Periodo Contable],TEXT(AA$3,"mmm-yyyy"))</f>
        <v>0</v>
      </c>
      <c r="AB20" s="216">
        <f>SUMIFS(Banco[Monto],Banco[CtaCtbl],$C20,Banco[Periodo Contable],TEXT(AB$3,"mmm-yyyy"))</f>
        <v>0</v>
      </c>
      <c r="AC20" s="216">
        <f>SUMIFS(Banco[Monto],Banco[CtaCtbl],$C20,Banco[Periodo Contable],TEXT(AC$3,"mmm-yyyy"))</f>
        <v>0</v>
      </c>
      <c r="AD20" s="216">
        <f>SUMIFS(Banco[Monto],Banco[CtaCtbl],$C20,Banco[Periodo Contable],TEXT(AD$3,"mmm-yyyy"))</f>
        <v>0</v>
      </c>
      <c r="AE20" s="216">
        <f>SUMIFS(Banco[Monto],Banco[CtaCtbl],$C20,Banco[Periodo Contable],TEXT(AE$3,"mmm-yyyy"))</f>
        <v>0</v>
      </c>
      <c r="AF20" s="216">
        <f>SUMIFS(Banco[Monto],Banco[CtaCtbl],$C20,Banco[Periodo Contable],TEXT(AF$3,"mmm-yyyy"))</f>
        <v>0</v>
      </c>
      <c r="AG20" s="216">
        <f>SUMIFS(Banco[Monto],Banco[CtaCtbl],$C20,Banco[Periodo Contable],TEXT(AG$3,"mmm-yyyy"))</f>
        <v>0</v>
      </c>
      <c r="AH20" s="216">
        <f>SUMIFS(Banco[Monto],Banco[CtaCtbl],$C20,Banco[Periodo Contable],TEXT(AH$3,"mmm-yyyy"))</f>
        <v>0</v>
      </c>
      <c r="AI20" s="300">
        <f>SUM(Tabla17[[#This Row],[ene-23]:[dic-23]])</f>
        <v>0</v>
      </c>
      <c r="AJ20" s="216">
        <f>SUMIFS(Banco[Monto],Banco[CtaCtbl],$C20,Banco[Periodo Contable],TEXT(AJ$3,"mmm-yyyy"))</f>
        <v>0</v>
      </c>
      <c r="AK20" s="216">
        <f>SUMIFS(Banco[Monto],Banco[CtaCtbl],$C20,Banco[Periodo Contable],TEXT(AK$3,"mmm-yyyy"))</f>
        <v>0</v>
      </c>
      <c r="AL20" s="216">
        <f>SUMIFS(Banco[Monto],Banco[CtaCtbl],$C20,Banco[Periodo Contable],TEXT(AL$3,"mmm-yyyy"))</f>
        <v>0</v>
      </c>
      <c r="AM20" s="216">
        <f>SUMIFS(Banco[Monto],Banco[CtaCtbl],$C20,Banco[Periodo Contable],TEXT(AM$3,"mmm-yyyy"))</f>
        <v>0</v>
      </c>
      <c r="AN20" s="216">
        <f>SUMIFS(Banco[Monto],Banco[CtaCtbl],$C20,Banco[Periodo Contable],TEXT(AN$3,"mmm-yyyy"))</f>
        <v>0</v>
      </c>
      <c r="AO20" s="216">
        <f>SUMIFS(Banco[Monto],Banco[CtaCtbl],$C20,Banco[Periodo Contable],TEXT(AO$3,"mmm-yyyy"))</f>
        <v>0</v>
      </c>
      <c r="AP20" s="216">
        <f>SUMIFS(Banco[Monto],Banco[CtaCtbl],$C20,Banco[Periodo Contable],TEXT(AP$3,"mmm-yyyy"))</f>
        <v>0</v>
      </c>
      <c r="AQ20" s="216">
        <f>SUMIFS(Banco[Monto],Banco[CtaCtbl],$C20,Banco[Periodo Contable],TEXT(AQ$3,"mmm-yyyy"))</f>
        <v>0</v>
      </c>
      <c r="AR20" s="216">
        <f>SUMIFS(Banco[Monto],Banco[CtaCtbl],$C20,Banco[Periodo Contable],TEXT(AR$3,"mmm-yyyy"))</f>
        <v>0</v>
      </c>
      <c r="AS20" s="216">
        <f>SUMIFS(Banco[Monto],Banco[CtaCtbl],$C20,Banco[Periodo Contable],TEXT(AS$3,"mmm-yyyy"))</f>
        <v>0</v>
      </c>
      <c r="AT20" s="216">
        <f>SUMIFS(Banco[Monto],Banco[CtaCtbl],$C20,Banco[Periodo Contable],TEXT(AT$3,"mmm-yyyy"))</f>
        <v>0</v>
      </c>
      <c r="AU20" s="216">
        <f>SUMIFS(Banco[Monto],Banco[CtaCtbl],$C20,Banco[Periodo Contable],TEXT(AU$3,"mmm-yyyy"))</f>
        <v>0</v>
      </c>
      <c r="AV20" s="300">
        <f>SUM(Tabla17[[#This Row],[ene-24]:[dic-24]])</f>
        <v>0</v>
      </c>
      <c r="AW20" s="216">
        <f>SUMIFS(Banco[Monto],Banco[CtaCtbl],$C20,Banco[Periodo Contable],TEXT(AW$3,"mmm-yyyy"))</f>
        <v>0</v>
      </c>
      <c r="AX20" s="216">
        <f>SUMIFS(Banco[Monto],Banco[CtaCtbl],$C20,Banco[Periodo Contable],TEXT(AX$3,"mmm-yyyy"))</f>
        <v>0</v>
      </c>
      <c r="AY20" s="216">
        <f>SUMIFS(Banco[Monto],Banco[CtaCtbl],$C20,Banco[Periodo Contable],TEXT(AY$3,"mmm-yyyy"))</f>
        <v>0</v>
      </c>
      <c r="AZ20" s="216">
        <f>SUMIFS(Banco[Monto],Banco[CtaCtbl],$C20,Banco[Periodo Contable],TEXT(AZ$3,"mmm-yyyy"))</f>
        <v>0</v>
      </c>
      <c r="BA20" s="216">
        <f>SUMIFS(Banco[Monto],Banco[CtaCtbl],$C20,Banco[Periodo Contable],TEXT(BA$3,"mmm-yyyy"))</f>
        <v>0</v>
      </c>
      <c r="BB20" s="216">
        <f>SUMIFS(Banco[Monto],Banco[CtaCtbl],$C20,Banco[Periodo Contable],TEXT(BB$3,"mmm-yyyy"))</f>
        <v>0</v>
      </c>
      <c r="BC20" s="216">
        <f>SUMIFS(Banco[Monto],Banco[CtaCtbl],$C20,Banco[Periodo Contable],TEXT(BC$3,"mmm-yyyy"))</f>
        <v>0</v>
      </c>
      <c r="BD20" s="216">
        <f>SUMIFS(Banco[Monto],Banco[CtaCtbl],$C20,Banco[Periodo Contable],TEXT(BD$3,"mmm-yyyy"))</f>
        <v>0</v>
      </c>
      <c r="BE20" s="216">
        <f>SUMIFS(Banco[Monto],Banco[CtaCtbl],$C20,Banco[Periodo Contable],TEXT(BE$3,"mmm-yyyy"))</f>
        <v>0</v>
      </c>
      <c r="BF20" s="216">
        <f>SUMIFS(Banco[Monto],Banco[CtaCtbl],$C20,Banco[Periodo Contable],TEXT(BF$3,"mmm-yyyy"))</f>
        <v>0</v>
      </c>
      <c r="BG20" s="216">
        <f>SUMIFS(Banco[Monto],Banco[CtaCtbl],$C20,Banco[Periodo Contable],TEXT(BG$3,"mmm-yyyy"))</f>
        <v>0</v>
      </c>
      <c r="BH20" s="216">
        <f>SUMIFS(Banco[Monto],Banco[CtaCtbl],$C20,Banco[Periodo Contable],TEXT(BH$3,"mmm-yyyy"))</f>
        <v>0</v>
      </c>
      <c r="BI20" s="232">
        <f>SUM(Tabla17[[#This Row],[ene-25]:[dic-25]])</f>
        <v>0</v>
      </c>
      <c r="BJ20" s="216">
        <f>SUMIFS(Banco[Monto],Banco[CtaCtbl],$C20,Banco[Periodo Contable],TEXT(BJ$3,"mmm-yyyy"))</f>
        <v>0</v>
      </c>
      <c r="BK20" s="216">
        <f>SUMIFS(Banco[Monto],Banco[CtaCtbl],$C20,Banco[Periodo Contable],TEXT(BK$3,"mmm-yyyy"))</f>
        <v>0</v>
      </c>
      <c r="BL20" s="216">
        <f>SUMIFS(Banco[Monto],Banco[CtaCtbl],$C20,Banco[Periodo Contable],TEXT(BL$3,"mmm-yyyy"))</f>
        <v>0</v>
      </c>
      <c r="BM20" s="216">
        <f>SUMIFS(Banco[Monto],Banco[CtaCtbl],$C20,Banco[Periodo Contable],TEXT(BM$3,"mmm-yyyy"))</f>
        <v>0</v>
      </c>
      <c r="BN20" s="216">
        <f>SUMIFS(Banco[Monto],Banco[CtaCtbl],$C20,Banco[Periodo Contable],TEXT(BN$3,"mmm-yyyy"))</f>
        <v>0</v>
      </c>
      <c r="BO20" s="216">
        <f>SUMIFS(Banco[Monto],Banco[CtaCtbl],$C20,Banco[Periodo Contable],TEXT(BO$3,"mmm-yyyy"))</f>
        <v>0</v>
      </c>
      <c r="BP20" s="216">
        <f>SUMIFS(Banco[Monto],Banco[CtaCtbl],$C20,Banco[Periodo Contable],TEXT(BP$3,"mmm-yyyy"))</f>
        <v>0</v>
      </c>
      <c r="BQ20" s="216">
        <f>SUMIFS(Banco[Monto],Banco[CtaCtbl],$C20,Banco[Periodo Contable],TEXT(BQ$3,"mmm-yyyy"))</f>
        <v>0</v>
      </c>
      <c r="BR20" s="216">
        <f>SUMIFS(Banco[Monto],Banco[CtaCtbl],$C20,Banco[Periodo Contable],TEXT(BR$3,"mmm-yyyy"))</f>
        <v>0</v>
      </c>
      <c r="BS20" s="216">
        <f>SUMIFS(Banco[Monto],Banco[CtaCtbl],$C20,Banco[Periodo Contable],TEXT(BS$3,"mmm-yyyy"))</f>
        <v>0</v>
      </c>
      <c r="BT20" s="216">
        <f>SUMIFS(Banco[Monto],Banco[CtaCtbl],$C20,Banco[Periodo Contable],TEXT(BT$3,"mmm-yyyy"))</f>
        <v>0</v>
      </c>
      <c r="BU20" s="216">
        <f>SUMIFS(Banco[Monto],Banco[CtaCtbl],$C20,Banco[Periodo Contable],TEXT(BU$3,"mmm-yyyy"))</f>
        <v>0</v>
      </c>
      <c r="BV20" s="232">
        <f>SUM(Tabla17[[#This Row],[ene-26]:[dic-26]])</f>
        <v>0</v>
      </c>
      <c r="BW20" s="216">
        <f>SUMIFS(Banco[Monto],Banco[CtaCtbl],$C20,Banco[Periodo Contable],TEXT(BW$3,"mmm-yyyy"))</f>
        <v>0</v>
      </c>
    </row>
    <row r="21" spans="1:75" s="295" customFormat="1" ht="21.6" outlineLevel="2">
      <c r="A21" s="214" t="s">
        <v>277</v>
      </c>
      <c r="B21" s="58" t="s">
        <v>278</v>
      </c>
      <c r="C21" s="233" t="str">
        <f>+Tabla17[[#This Row],[Cuenta]]&amp;" - "&amp;Tabla17[[#This Row],[Descripcion Cuenta]]</f>
        <v>1.04.04 - Rescate Plazo Fijo</v>
      </c>
      <c r="D21" s="215"/>
      <c r="E21" s="216">
        <f>SUMIFS(Banco[Monto],Banco[CtaCtbl],$C21,Banco[Periodo Contable],TEXT(E$3,"mmm-yyyy"))</f>
        <v>0</v>
      </c>
      <c r="F21" s="216">
        <f>SUMIFS(Banco[Monto],Banco[CtaCtbl],$C21,Banco[Periodo Contable],TEXT(F$3,"mmm-yyyy"))</f>
        <v>0</v>
      </c>
      <c r="G21" s="216">
        <f>SUMIFS(Banco[Monto],Banco[CtaCtbl],$C21,Banco[Periodo Contable],TEXT(G$3,"mmm-yyyy"))</f>
        <v>0</v>
      </c>
      <c r="H21" s="216">
        <f>SUMIFS(Banco[Monto],Banco[CtaCtbl],$C21,Banco[Periodo Contable],TEXT(H$3,"mmm-yyyy"))</f>
        <v>0</v>
      </c>
      <c r="I21" s="216">
        <f>SUM(Tabla17[[#This Row],[sept-21]:[dic-21]])</f>
        <v>0</v>
      </c>
      <c r="J21" s="216">
        <f>SUMIFS(Banco[Monto],Banco[CtaCtbl],$C21,Banco[Periodo Contable],TEXT(J$3,"mmm-yyyy"))</f>
        <v>0</v>
      </c>
      <c r="K21" s="216">
        <f>SUMIFS(Banco[Monto],Banco[CtaCtbl],$C21,Banco[Periodo Contable],TEXT(K$3,"mmm-yyyy"))</f>
        <v>0</v>
      </c>
      <c r="L21" s="216">
        <f>SUMIFS(Banco[Monto],Banco[CtaCtbl],$C21,Banco[Periodo Contable],TEXT(L$3,"mmm-yyyy"))</f>
        <v>0</v>
      </c>
      <c r="M21" s="216">
        <f>SUMIFS(Banco[Monto],Banco[CtaCtbl],$C21,Banco[Periodo Contable],TEXT(M$3,"mmm-yyyy"))</f>
        <v>0</v>
      </c>
      <c r="N21" s="216">
        <f>SUMIFS(Banco[Monto],Banco[CtaCtbl],$C21,Banco[Periodo Contable],TEXT(N$3,"mmm-yyyy"))</f>
        <v>0</v>
      </c>
      <c r="O21" s="216">
        <f>SUMIFS(Banco[Monto],Banco[CtaCtbl],$C21,Banco[Periodo Contable],TEXT(O$3,"mmm-yyyy"))</f>
        <v>0</v>
      </c>
      <c r="P21" s="216">
        <f>SUMIFS(Banco[Monto],Banco[CtaCtbl],$C21,Banco[Periodo Contable],TEXT(P$3,"mmm-yyyy"))</f>
        <v>0</v>
      </c>
      <c r="Q21" s="216">
        <f>SUMIFS(Banco[Monto],Banco[CtaCtbl],$C21,Banco[Periodo Contable],TEXT(Q$3,"mmm-yyyy"))</f>
        <v>0</v>
      </c>
      <c r="R21" s="216">
        <f>SUMIFS(Banco[Monto],Banco[CtaCtbl],$C21,Banco[Periodo Contable],TEXT(R$3,"mmm-yyyy"))</f>
        <v>0</v>
      </c>
      <c r="S21" s="216">
        <f>SUMIFS(Banco[Monto],Banco[CtaCtbl],$C21,Banco[Periodo Contable],TEXT(S$3,"mmm-yyyy"))</f>
        <v>0</v>
      </c>
      <c r="T21" s="216">
        <f>SUMIFS(Banco[Monto],Banco[CtaCtbl],$C21,Banco[Periodo Contable],TEXT(T$3,"mmm-yyyy"))</f>
        <v>0</v>
      </c>
      <c r="U21" s="216">
        <f>SUMIFS(Banco[Monto],Banco[CtaCtbl],$C21,Banco[Periodo Contable],TEXT(U$3,"mmm-yyyy"))</f>
        <v>0</v>
      </c>
      <c r="V21" s="300">
        <f>SUM(Tabla17[[#This Row],[ene-22]:[dic-22]])</f>
        <v>0</v>
      </c>
      <c r="W21" s="216">
        <f>SUMIFS(Banco[Monto],Banco[CtaCtbl],$C21,Banco[Periodo Contable],TEXT(W$3,"mmm-yyyy"))</f>
        <v>0</v>
      </c>
      <c r="X21" s="216">
        <f>SUMIFS(Banco[Monto],Banco[CtaCtbl],$C21,Banco[Periodo Contable],TEXT(X$3,"mmm-yyyy"))</f>
        <v>0</v>
      </c>
      <c r="Y21" s="216">
        <f>SUMIFS(Banco[Monto],Banco[CtaCtbl],$C21,Banco[Periodo Contable],TEXT(Y$3,"mmm-yyyy"))</f>
        <v>0</v>
      </c>
      <c r="Z21" s="216">
        <f>SUMIFS(Banco[Monto],Banco[CtaCtbl],$C21,Banco[Periodo Contable],TEXT(Z$3,"mmm-yyyy"))</f>
        <v>0</v>
      </c>
      <c r="AA21" s="216">
        <f>SUMIFS(Banco[Monto],Banco[CtaCtbl],$C21,Banco[Periodo Contable],TEXT(AA$3,"mmm-yyyy"))</f>
        <v>0</v>
      </c>
      <c r="AB21" s="216">
        <f>SUMIFS(Banco[Monto],Banco[CtaCtbl],$C21,Banco[Periodo Contable],TEXT(AB$3,"mmm-yyyy"))</f>
        <v>0</v>
      </c>
      <c r="AC21" s="216">
        <f>SUMIFS(Banco[Monto],Banco[CtaCtbl],$C21,Banco[Periodo Contable],TEXT(AC$3,"mmm-yyyy"))</f>
        <v>0</v>
      </c>
      <c r="AD21" s="216">
        <f>SUMIFS(Banco[Monto],Banco[CtaCtbl],$C21,Banco[Periodo Contable],TEXT(AD$3,"mmm-yyyy"))</f>
        <v>0</v>
      </c>
      <c r="AE21" s="216">
        <f>SUMIFS(Banco[Monto],Banco[CtaCtbl],$C21,Banco[Periodo Contable],TEXT(AE$3,"mmm-yyyy"))</f>
        <v>0</v>
      </c>
      <c r="AF21" s="216">
        <f>SUMIFS(Banco[Monto],Banco[CtaCtbl],$C21,Banco[Periodo Contable],TEXT(AF$3,"mmm-yyyy"))</f>
        <v>0</v>
      </c>
      <c r="AG21" s="216">
        <f>SUMIFS(Banco[Monto],Banco[CtaCtbl],$C21,Banco[Periodo Contable],TEXT(AG$3,"mmm-yyyy"))</f>
        <v>0</v>
      </c>
      <c r="AH21" s="216">
        <f>SUMIFS(Banco[Monto],Banco[CtaCtbl],$C21,Banco[Periodo Contable],TEXT(AH$3,"mmm-yyyy"))</f>
        <v>0</v>
      </c>
      <c r="AI21" s="300">
        <f>SUM(Tabla17[[#This Row],[ene-23]:[dic-23]])</f>
        <v>0</v>
      </c>
      <c r="AJ21" s="216">
        <f>SUMIFS(Banco[Monto],Banco[CtaCtbl],$C21,Banco[Periodo Contable],TEXT(AJ$3,"mmm-yyyy"))</f>
        <v>0</v>
      </c>
      <c r="AK21" s="216">
        <f>SUMIFS(Banco[Monto],Banco[CtaCtbl],$C21,Banco[Periodo Contable],TEXT(AK$3,"mmm-yyyy"))</f>
        <v>0</v>
      </c>
      <c r="AL21" s="216">
        <f>SUMIFS(Banco[Monto],Banco[CtaCtbl],$C21,Banco[Periodo Contable],TEXT(AL$3,"mmm-yyyy"))</f>
        <v>0</v>
      </c>
      <c r="AM21" s="216">
        <f>SUMIFS(Banco[Monto],Banco[CtaCtbl],$C21,Banco[Periodo Contable],TEXT(AM$3,"mmm-yyyy"))</f>
        <v>0</v>
      </c>
      <c r="AN21" s="216">
        <f>SUMIFS(Banco[Monto],Banco[CtaCtbl],$C21,Banco[Periodo Contable],TEXT(AN$3,"mmm-yyyy"))</f>
        <v>0</v>
      </c>
      <c r="AO21" s="216">
        <f>SUMIFS(Banco[Monto],Banco[CtaCtbl],$C21,Banco[Periodo Contable],TEXT(AO$3,"mmm-yyyy"))</f>
        <v>0</v>
      </c>
      <c r="AP21" s="216">
        <f>SUMIFS(Banco[Monto],Banco[CtaCtbl],$C21,Banco[Periodo Contable],TEXT(AP$3,"mmm-yyyy"))</f>
        <v>0</v>
      </c>
      <c r="AQ21" s="216">
        <f>SUMIFS(Banco[Monto],Banco[CtaCtbl],$C21,Banco[Periodo Contable],TEXT(AQ$3,"mmm-yyyy"))</f>
        <v>0</v>
      </c>
      <c r="AR21" s="216">
        <f>SUMIFS(Banco[Monto],Banco[CtaCtbl],$C21,Banco[Periodo Contable],TEXT(AR$3,"mmm-yyyy"))</f>
        <v>0</v>
      </c>
      <c r="AS21" s="216">
        <f>SUMIFS(Banco[Monto],Banco[CtaCtbl],$C21,Banco[Periodo Contable],TEXT(AS$3,"mmm-yyyy"))</f>
        <v>0</v>
      </c>
      <c r="AT21" s="216">
        <f>SUMIFS(Banco[Monto],Banco[CtaCtbl],$C21,Banco[Periodo Contable],TEXT(AT$3,"mmm-yyyy"))</f>
        <v>0</v>
      </c>
      <c r="AU21" s="216">
        <f>SUMIFS(Banco[Monto],Banco[CtaCtbl],$C21,Banco[Periodo Contable],TEXT(AU$3,"mmm-yyyy"))</f>
        <v>0</v>
      </c>
      <c r="AV21" s="300">
        <f>SUM(Tabla17[[#This Row],[ene-24]:[dic-24]])</f>
        <v>0</v>
      </c>
      <c r="AW21" s="216">
        <f>SUMIFS(Banco[Monto],Banco[CtaCtbl],$C21,Banco[Periodo Contable],TEXT(AW$3,"mmm-yyyy"))</f>
        <v>0</v>
      </c>
      <c r="AX21" s="216">
        <f>SUMIFS(Banco[Monto],Banco[CtaCtbl],$C21,Banco[Periodo Contable],TEXT(AX$3,"mmm-yyyy"))</f>
        <v>0</v>
      </c>
      <c r="AY21" s="216">
        <f>SUMIFS(Banco[Monto],Banco[CtaCtbl],$C21,Banco[Periodo Contable],TEXT(AY$3,"mmm-yyyy"))</f>
        <v>0</v>
      </c>
      <c r="AZ21" s="216">
        <f>SUMIFS(Banco[Monto],Banco[CtaCtbl],$C21,Banco[Periodo Contable],TEXT(AZ$3,"mmm-yyyy"))</f>
        <v>0</v>
      </c>
      <c r="BA21" s="216">
        <f>SUMIFS(Banco[Monto],Banco[CtaCtbl],$C21,Banco[Periodo Contable],TEXT(BA$3,"mmm-yyyy"))</f>
        <v>0</v>
      </c>
      <c r="BB21" s="216">
        <f>SUMIFS(Banco[Monto],Banco[CtaCtbl],$C21,Banco[Periodo Contable],TEXT(BB$3,"mmm-yyyy"))</f>
        <v>70000000</v>
      </c>
      <c r="BC21" s="216">
        <f>SUMIFS(Banco[Monto],Banco[CtaCtbl],$C21,Banco[Periodo Contable],TEXT(BC$3,"mmm-yyyy"))</f>
        <v>0</v>
      </c>
      <c r="BD21" s="216">
        <f>SUMIFS(Banco[Monto],Banco[CtaCtbl],$C21,Banco[Periodo Contable],TEXT(BD$3,"mmm-yyyy"))</f>
        <v>0</v>
      </c>
      <c r="BE21" s="216">
        <f>SUMIFS(Banco[Monto],Banco[CtaCtbl],$C21,Banco[Periodo Contable],TEXT(BE$3,"mmm-yyyy"))</f>
        <v>0</v>
      </c>
      <c r="BF21" s="216">
        <f>SUMIFS(Banco[Monto],Banco[CtaCtbl],$C21,Banco[Periodo Contable],TEXT(BF$3,"mmm-yyyy"))</f>
        <v>0</v>
      </c>
      <c r="BG21" s="216">
        <f>SUMIFS(Banco[Monto],Banco[CtaCtbl],$C21,Banco[Periodo Contable],TEXT(BG$3,"mmm-yyyy"))</f>
        <v>0</v>
      </c>
      <c r="BH21" s="216">
        <f>SUMIFS(Banco[Monto],Banco[CtaCtbl],$C21,Banco[Periodo Contable],TEXT(BH$3,"mmm-yyyy"))</f>
        <v>0</v>
      </c>
      <c r="BI21" s="232">
        <f>SUM(Tabla17[[#This Row],[ene-25]:[dic-25]])</f>
        <v>70000000</v>
      </c>
      <c r="BJ21" s="216">
        <f>SUMIFS(Banco[Monto],Banco[CtaCtbl],$C21,Banco[Periodo Contable],TEXT(BJ$3,"mmm-yyyy"))</f>
        <v>0</v>
      </c>
      <c r="BK21" s="216">
        <f>SUMIFS(Banco[Monto],Banco[CtaCtbl],$C21,Banco[Periodo Contable],TEXT(BK$3,"mmm-yyyy"))</f>
        <v>0</v>
      </c>
      <c r="BL21" s="216">
        <f>SUMIFS(Banco[Monto],Banco[CtaCtbl],$C21,Banco[Periodo Contable],TEXT(BL$3,"mmm-yyyy"))</f>
        <v>0</v>
      </c>
      <c r="BM21" s="216">
        <f>SUMIFS(Banco[Monto],Banco[CtaCtbl],$C21,Banco[Periodo Contable],TEXT(BM$3,"mmm-yyyy"))</f>
        <v>0</v>
      </c>
      <c r="BN21" s="216">
        <f>SUMIFS(Banco[Monto],Banco[CtaCtbl],$C21,Banco[Periodo Contable],TEXT(BN$3,"mmm-yyyy"))</f>
        <v>0</v>
      </c>
      <c r="BO21" s="216">
        <f>SUMIFS(Banco[Monto],Banco[CtaCtbl],$C21,Banco[Periodo Contable],TEXT(BO$3,"mmm-yyyy"))</f>
        <v>0</v>
      </c>
      <c r="BP21" s="216">
        <f>SUMIFS(Banco[Monto],Banco[CtaCtbl],$C21,Banco[Periodo Contable],TEXT(BP$3,"mmm-yyyy"))</f>
        <v>0</v>
      </c>
      <c r="BQ21" s="216">
        <f>SUMIFS(Banco[Monto],Banco[CtaCtbl],$C21,Banco[Periodo Contable],TEXT(BQ$3,"mmm-yyyy"))</f>
        <v>0</v>
      </c>
      <c r="BR21" s="216">
        <f>SUMIFS(Banco[Monto],Banco[CtaCtbl],$C21,Banco[Periodo Contable],TEXT(BR$3,"mmm-yyyy"))</f>
        <v>0</v>
      </c>
      <c r="BS21" s="216">
        <f>SUMIFS(Banco[Monto],Banco[CtaCtbl],$C21,Banco[Periodo Contable],TEXT(BS$3,"mmm-yyyy"))</f>
        <v>0</v>
      </c>
      <c r="BT21" s="216">
        <f>SUMIFS(Banco[Monto],Banco[CtaCtbl],$C21,Banco[Periodo Contable],TEXT(BT$3,"mmm-yyyy"))</f>
        <v>0</v>
      </c>
      <c r="BU21" s="216">
        <f>SUMIFS(Banco[Monto],Banco[CtaCtbl],$C21,Banco[Periodo Contable],TEXT(BU$3,"mmm-yyyy"))</f>
        <v>0</v>
      </c>
      <c r="BV21" s="232">
        <f>SUM(Tabla17[[#This Row],[ene-26]:[dic-26]])</f>
        <v>0</v>
      </c>
      <c r="BW21" s="216">
        <f>SUMIFS(Banco[Monto],Banco[CtaCtbl],$C21,Banco[Periodo Contable],TEXT(BW$3,"mmm-yyyy"))</f>
        <v>0</v>
      </c>
    </row>
    <row r="22" spans="1:75" s="295" customFormat="1" ht="21.6" outlineLevel="2">
      <c r="A22" s="214" t="s">
        <v>279</v>
      </c>
      <c r="B22" s="58" t="s">
        <v>280</v>
      </c>
      <c r="C22" s="233" t="str">
        <f>+Tabla17[[#This Row],[Cuenta]]&amp;" - "&amp;Tabla17[[#This Row],[Descripcion Cuenta]]</f>
        <v>1.04.05 - Restitución Fondos / Rechazo Depositos</v>
      </c>
      <c r="D22" s="215"/>
      <c r="E22" s="216">
        <f>SUMIFS(Banco[Monto],Banco[CtaCtbl],$C22,Banco[Periodo Contable],TEXT(E$3,"mmm-yyyy"))</f>
        <v>0</v>
      </c>
      <c r="F22" s="216">
        <f>SUMIFS(Banco[Monto],Banco[CtaCtbl],$C22,Banco[Periodo Contable],TEXT(F$3,"mmm-yyyy"))</f>
        <v>0</v>
      </c>
      <c r="G22" s="216">
        <f>SUMIFS(Banco[Monto],Banco[CtaCtbl],$C22,Banco[Periodo Contable],TEXT(G$3,"mmm-yyyy"))</f>
        <v>0</v>
      </c>
      <c r="H22" s="216">
        <f>SUMIFS(Banco[Monto],Banco[CtaCtbl],$C22,Banco[Periodo Contable],TEXT(H$3,"mmm-yyyy"))</f>
        <v>0</v>
      </c>
      <c r="I22" s="216">
        <f>SUM(Tabla17[[#This Row],[sept-21]:[dic-21]])</f>
        <v>0</v>
      </c>
      <c r="J22" s="216">
        <f>SUMIFS(Banco[Monto],Banco[CtaCtbl],$C22,Banco[Periodo Contable],TEXT(J$3,"mmm-yyyy"))</f>
        <v>0</v>
      </c>
      <c r="K22" s="216">
        <f>SUMIFS(Banco[Monto],Banco[CtaCtbl],$C22,Banco[Periodo Contable],TEXT(K$3,"mmm-yyyy"))</f>
        <v>0</v>
      </c>
      <c r="L22" s="216">
        <f>SUMIFS(Banco[Monto],Banco[CtaCtbl],$C22,Banco[Periodo Contable],TEXT(L$3,"mmm-yyyy"))</f>
        <v>0</v>
      </c>
      <c r="M22" s="216">
        <f>SUMIFS(Banco[Monto],Banco[CtaCtbl],$C22,Banco[Periodo Contable],TEXT(M$3,"mmm-yyyy"))</f>
        <v>0</v>
      </c>
      <c r="N22" s="216">
        <f>SUMIFS(Banco[Monto],Banco[CtaCtbl],$C22,Banco[Periodo Contable],TEXT(N$3,"mmm-yyyy"))</f>
        <v>0</v>
      </c>
      <c r="O22" s="216">
        <f>SUMIFS(Banco[Monto],Banco[CtaCtbl],$C22,Banco[Periodo Contable],TEXT(O$3,"mmm-yyyy"))</f>
        <v>0</v>
      </c>
      <c r="P22" s="216">
        <f>SUMIFS(Banco[Monto],Banco[CtaCtbl],$C22,Banco[Periodo Contable],TEXT(P$3,"mmm-yyyy"))</f>
        <v>0</v>
      </c>
      <c r="Q22" s="216">
        <f>SUMIFS(Banco[Monto],Banco[CtaCtbl],$C22,Banco[Periodo Contable],TEXT(Q$3,"mmm-yyyy"))</f>
        <v>0</v>
      </c>
      <c r="R22" s="216">
        <f>SUMIFS(Banco[Monto],Banco[CtaCtbl],$C22,Banco[Periodo Contable],TEXT(R$3,"mmm-yyyy"))</f>
        <v>0</v>
      </c>
      <c r="S22" s="216">
        <f>SUMIFS(Banco[Monto],Banco[CtaCtbl],$C22,Banco[Periodo Contable],TEXT(S$3,"mmm-yyyy"))</f>
        <v>0</v>
      </c>
      <c r="T22" s="216">
        <f>SUMIFS(Banco[Monto],Banco[CtaCtbl],$C22,Banco[Periodo Contable],TEXT(T$3,"mmm-yyyy"))</f>
        <v>0</v>
      </c>
      <c r="U22" s="216">
        <f>SUMIFS(Banco[Monto],Banco[CtaCtbl],$C22,Banco[Periodo Contable],TEXT(U$3,"mmm-yyyy"))</f>
        <v>0</v>
      </c>
      <c r="V22" s="300">
        <f>SUM(Tabla17[[#This Row],[ene-22]:[dic-22]])</f>
        <v>0</v>
      </c>
      <c r="W22" s="216">
        <f>SUMIFS(Banco[Monto],Banco[CtaCtbl],$C22,Banco[Periodo Contable],TEXT(W$3,"mmm-yyyy"))</f>
        <v>0</v>
      </c>
      <c r="X22" s="216">
        <f>SUMIFS(Banco[Monto],Banco[CtaCtbl],$C22,Banco[Periodo Contable],TEXT(X$3,"mmm-yyyy"))</f>
        <v>0</v>
      </c>
      <c r="Y22" s="216">
        <f>SUMIFS(Banco[Monto],Banco[CtaCtbl],$C22,Banco[Periodo Contable],TEXT(Y$3,"mmm-yyyy"))</f>
        <v>0</v>
      </c>
      <c r="Z22" s="216">
        <f>SUMIFS(Banco[Monto],Banco[CtaCtbl],$C22,Banco[Periodo Contable],TEXT(Z$3,"mmm-yyyy"))</f>
        <v>0</v>
      </c>
      <c r="AA22" s="216">
        <f>SUMIFS(Banco[Monto],Banco[CtaCtbl],$C22,Banco[Periodo Contable],TEXT(AA$3,"mmm-yyyy"))</f>
        <v>0</v>
      </c>
      <c r="AB22" s="216">
        <f>SUMIFS(Banco[Monto],Banco[CtaCtbl],$C22,Banco[Periodo Contable],TEXT(AB$3,"mmm-yyyy"))</f>
        <v>0</v>
      </c>
      <c r="AC22" s="216">
        <f>SUMIFS(Banco[Monto],Banco[CtaCtbl],$C22,Banco[Periodo Contable],TEXT(AC$3,"mmm-yyyy"))</f>
        <v>0</v>
      </c>
      <c r="AD22" s="216">
        <f>SUMIFS(Banco[Monto],Banco[CtaCtbl],$C22,Banco[Periodo Contable],TEXT(AD$3,"mmm-yyyy"))</f>
        <v>0</v>
      </c>
      <c r="AE22" s="216">
        <f>SUMIFS(Banco[Monto],Banco[CtaCtbl],$C22,Banco[Periodo Contable],TEXT(AE$3,"mmm-yyyy"))</f>
        <v>0</v>
      </c>
      <c r="AF22" s="216">
        <f>SUMIFS(Banco[Monto],Banco[CtaCtbl],$C22,Banco[Periodo Contable],TEXT(AF$3,"mmm-yyyy"))</f>
        <v>0</v>
      </c>
      <c r="AG22" s="216">
        <f>SUMIFS(Banco[Monto],Banco[CtaCtbl],$C22,Banco[Periodo Contable],TEXT(AG$3,"mmm-yyyy"))</f>
        <v>0</v>
      </c>
      <c r="AH22" s="216">
        <f>SUMIFS(Banco[Monto],Banco[CtaCtbl],$C22,Banco[Periodo Contable],TEXT(AH$3,"mmm-yyyy"))</f>
        <v>0</v>
      </c>
      <c r="AI22" s="300">
        <f>SUM(Tabla17[[#This Row],[ene-23]:[dic-23]])</f>
        <v>0</v>
      </c>
      <c r="AJ22" s="216">
        <f>SUMIFS(Banco[Monto],Banco[CtaCtbl],$C22,Banco[Periodo Contable],TEXT(AJ$3,"mmm-yyyy"))</f>
        <v>0</v>
      </c>
      <c r="AK22" s="216">
        <f>SUMIFS(Banco[Monto],Banco[CtaCtbl],$C22,Banco[Periodo Contable],TEXT(AK$3,"mmm-yyyy"))</f>
        <v>0</v>
      </c>
      <c r="AL22" s="216">
        <f>SUMIFS(Banco[Monto],Banco[CtaCtbl],$C22,Banco[Periodo Contable],TEXT(AL$3,"mmm-yyyy"))</f>
        <v>0</v>
      </c>
      <c r="AM22" s="216">
        <f>SUMIFS(Banco[Monto],Banco[CtaCtbl],$C22,Banco[Periodo Contable],TEXT(AM$3,"mmm-yyyy"))</f>
        <v>0</v>
      </c>
      <c r="AN22" s="216">
        <f>SUMIFS(Banco[Monto],Banco[CtaCtbl],$C22,Banco[Periodo Contable],TEXT(AN$3,"mmm-yyyy"))</f>
        <v>0</v>
      </c>
      <c r="AO22" s="216">
        <f>SUMIFS(Banco[Monto],Banco[CtaCtbl],$C22,Banco[Periodo Contable],TEXT(AO$3,"mmm-yyyy"))</f>
        <v>0</v>
      </c>
      <c r="AP22" s="216">
        <f>SUMIFS(Banco[Monto],Banco[CtaCtbl],$C22,Banco[Periodo Contable],TEXT(AP$3,"mmm-yyyy"))</f>
        <v>0</v>
      </c>
      <c r="AQ22" s="216">
        <f>SUMIFS(Banco[Monto],Banco[CtaCtbl],$C22,Banco[Periodo Contable],TEXT(AQ$3,"mmm-yyyy"))</f>
        <v>0</v>
      </c>
      <c r="AR22" s="216">
        <f>SUMIFS(Banco[Monto],Banco[CtaCtbl],$C22,Banco[Periodo Contable],TEXT(AR$3,"mmm-yyyy"))</f>
        <v>0</v>
      </c>
      <c r="AS22" s="216">
        <f>SUMIFS(Banco[Monto],Banco[CtaCtbl],$C22,Banco[Periodo Contable],TEXT(AS$3,"mmm-yyyy"))</f>
        <v>0</v>
      </c>
      <c r="AT22" s="216">
        <f>SUMIFS(Banco[Monto],Banco[CtaCtbl],$C22,Banco[Periodo Contable],TEXT(AT$3,"mmm-yyyy"))</f>
        <v>0</v>
      </c>
      <c r="AU22" s="216">
        <f>SUMIFS(Banco[Monto],Banco[CtaCtbl],$C22,Banco[Periodo Contable],TEXT(AU$3,"mmm-yyyy"))</f>
        <v>0</v>
      </c>
      <c r="AV22" s="300">
        <f>SUM(Tabla17[[#This Row],[ene-24]:[dic-24]])</f>
        <v>0</v>
      </c>
      <c r="AW22" s="216">
        <f>SUMIFS(Banco[Monto],Banco[CtaCtbl],$C22,Banco[Periodo Contable],TEXT(AW$3,"mmm-yyyy"))</f>
        <v>0</v>
      </c>
      <c r="AX22" s="216">
        <f>SUMIFS(Banco[Monto],Banco[CtaCtbl],$C22,Banco[Periodo Contable],TEXT(AX$3,"mmm-yyyy"))</f>
        <v>0</v>
      </c>
      <c r="AY22" s="216">
        <f>SUMIFS(Banco[Monto],Banco[CtaCtbl],$C22,Banco[Periodo Contable],TEXT(AY$3,"mmm-yyyy"))</f>
        <v>0</v>
      </c>
      <c r="AZ22" s="216">
        <f>SUMIFS(Banco[Monto],Banco[CtaCtbl],$C22,Banco[Periodo Contable],TEXT(AZ$3,"mmm-yyyy"))</f>
        <v>0</v>
      </c>
      <c r="BA22" s="216">
        <f>SUMIFS(Banco[Monto],Banco[CtaCtbl],$C22,Banco[Periodo Contable],TEXT(BA$3,"mmm-yyyy"))</f>
        <v>0</v>
      </c>
      <c r="BB22" s="216">
        <f>SUMIFS(Banco[Monto],Banco[CtaCtbl],$C22,Banco[Periodo Contable],TEXT(BB$3,"mmm-yyyy"))</f>
        <v>22271056</v>
      </c>
      <c r="BC22" s="216">
        <f>SUMIFS(Banco[Monto],Banco[CtaCtbl],$C22,Banco[Periodo Contable],TEXT(BC$3,"mmm-yyyy"))</f>
        <v>0</v>
      </c>
      <c r="BD22" s="216">
        <f>SUMIFS(Banco[Monto],Banco[CtaCtbl],$C22,Banco[Periodo Contable],TEXT(BD$3,"mmm-yyyy"))</f>
        <v>0</v>
      </c>
      <c r="BE22" s="216">
        <f>SUMIFS(Banco[Monto],Banco[CtaCtbl],$C22,Banco[Periodo Contable],TEXT(BE$3,"mmm-yyyy"))</f>
        <v>0</v>
      </c>
      <c r="BF22" s="216">
        <f>SUMIFS(Banco[Monto],Banco[CtaCtbl],$C22,Banco[Periodo Contable],TEXT(BF$3,"mmm-yyyy"))</f>
        <v>0</v>
      </c>
      <c r="BG22" s="216">
        <f>SUMIFS(Banco[Monto],Banco[CtaCtbl],$C22,Banco[Periodo Contable],TEXT(BG$3,"mmm-yyyy"))</f>
        <v>0</v>
      </c>
      <c r="BH22" s="216">
        <f>SUMIFS(Banco[Monto],Banco[CtaCtbl],$C22,Banco[Periodo Contable],TEXT(BH$3,"mmm-yyyy"))</f>
        <v>0</v>
      </c>
      <c r="BI22" s="232">
        <f>SUM(Tabla17[[#This Row],[ene-25]:[dic-25]])</f>
        <v>22271056</v>
      </c>
      <c r="BJ22" s="216">
        <f>SUMIFS(Banco[Monto],Banco[CtaCtbl],$C22,Banco[Periodo Contable],TEXT(BJ$3,"mmm-yyyy"))</f>
        <v>0</v>
      </c>
      <c r="BK22" s="216">
        <f>SUMIFS(Banco[Monto],Banco[CtaCtbl],$C22,Banco[Periodo Contable],TEXT(BK$3,"mmm-yyyy"))</f>
        <v>0</v>
      </c>
      <c r="BL22" s="216">
        <f>SUMIFS(Banco[Monto],Banco[CtaCtbl],$C22,Banco[Periodo Contable],TEXT(BL$3,"mmm-yyyy"))</f>
        <v>857907</v>
      </c>
      <c r="BM22" s="216">
        <f>SUMIFS(Banco[Monto],Banco[CtaCtbl],$C22,Banco[Periodo Contable],TEXT(BM$3,"mmm-yyyy"))</f>
        <v>0</v>
      </c>
      <c r="BN22" s="216">
        <f>SUMIFS(Banco[Monto],Banco[CtaCtbl],$C22,Banco[Periodo Contable],TEXT(BN$3,"mmm-yyyy"))</f>
        <v>0</v>
      </c>
      <c r="BO22" s="216">
        <f>SUMIFS(Banco[Monto],Banco[CtaCtbl],$C22,Banco[Periodo Contable],TEXT(BO$3,"mmm-yyyy"))</f>
        <v>0</v>
      </c>
      <c r="BP22" s="216">
        <f>SUMIFS(Banco[Monto],Banco[CtaCtbl],$C22,Banco[Periodo Contable],TEXT(BP$3,"mmm-yyyy"))</f>
        <v>0</v>
      </c>
      <c r="BQ22" s="216">
        <f>SUMIFS(Banco[Monto],Banco[CtaCtbl],$C22,Banco[Periodo Contable],TEXT(BQ$3,"mmm-yyyy"))</f>
        <v>0</v>
      </c>
      <c r="BR22" s="216">
        <f>SUMIFS(Banco[Monto],Banco[CtaCtbl],$C22,Banco[Periodo Contable],TEXT(BR$3,"mmm-yyyy"))</f>
        <v>0</v>
      </c>
      <c r="BS22" s="216">
        <f>SUMIFS(Banco[Monto],Banco[CtaCtbl],$C22,Banco[Periodo Contable],TEXT(BS$3,"mmm-yyyy"))</f>
        <v>0</v>
      </c>
      <c r="BT22" s="216">
        <f>SUMIFS(Banco[Monto],Banco[CtaCtbl],$C22,Banco[Periodo Contable],TEXT(BT$3,"mmm-yyyy"))</f>
        <v>0</v>
      </c>
      <c r="BU22" s="216">
        <f>SUMIFS(Banco[Monto],Banco[CtaCtbl],$C22,Banco[Periodo Contable],TEXT(BU$3,"mmm-yyyy"))</f>
        <v>0</v>
      </c>
      <c r="BV22" s="232">
        <f>SUM(Tabla17[[#This Row],[ene-26]:[dic-26]])</f>
        <v>857907</v>
      </c>
      <c r="BW22" s="216">
        <f>SUMIFS(Banco[Monto],Banco[CtaCtbl],$C22,Banco[Periodo Contable],TEXT(BW$3,"mmm-yyyy"))</f>
        <v>0</v>
      </c>
    </row>
    <row r="23" spans="1:75" s="295" customFormat="1" ht="21.6" outlineLevel="2">
      <c r="A23" s="36"/>
      <c r="B23" s="58"/>
      <c r="C23" s="233" t="str">
        <f>+Tabla17[[#This Row],[Cuenta]]&amp;" - "&amp;Tabla17[[#This Row],[Descripcion Cuenta]]</f>
        <v xml:space="preserve"> - </v>
      </c>
      <c r="D23" s="215"/>
      <c r="E23" s="216">
        <f>SUMIFS(Banco[Monto],Banco[CtaCtbl],$C23,Banco[Periodo Contable],TEXT(E$3,"mmm-yyyy"))</f>
        <v>0</v>
      </c>
      <c r="F23" s="216">
        <f>SUMIFS(Banco[Monto],Banco[CtaCtbl],$C23,Banco[Periodo Contable],TEXT(F$3,"mmm-yyyy"))</f>
        <v>0</v>
      </c>
      <c r="G23" s="216">
        <f>SUMIFS(Banco[Monto],Banco[CtaCtbl],$C23,Banco[Periodo Contable],TEXT(G$3,"mmm-yyyy"))</f>
        <v>0</v>
      </c>
      <c r="H23" s="216">
        <f>SUMIFS(Banco[Monto],Banco[CtaCtbl],$C23,Banco[Periodo Contable],TEXT(H$3,"mmm-yyyy"))</f>
        <v>0</v>
      </c>
      <c r="I23" s="216">
        <f>SUM(Tabla17[[#This Row],[sept-21]:[dic-21]])</f>
        <v>0</v>
      </c>
      <c r="J23" s="216">
        <f>SUMIFS(Banco[Monto],Banco[CtaCtbl],$C23,Banco[Periodo Contable],TEXT(J$3,"mmm-yyyy"))</f>
        <v>0</v>
      </c>
      <c r="K23" s="216">
        <f>SUMIFS(Banco[Monto],Banco[CtaCtbl],$C23,Banco[Periodo Contable],TEXT(K$3,"mmm-yyyy"))</f>
        <v>0</v>
      </c>
      <c r="L23" s="216">
        <f>SUMIFS(Banco[Monto],Banco[CtaCtbl],$C23,Banco[Periodo Contable],TEXT(L$3,"mmm-yyyy"))</f>
        <v>0</v>
      </c>
      <c r="M23" s="216">
        <f>SUMIFS(Banco[Monto],Banco[CtaCtbl],$C23,Banco[Periodo Contable],TEXT(M$3,"mmm-yyyy"))</f>
        <v>0</v>
      </c>
      <c r="N23" s="216">
        <f>SUMIFS(Banco[Monto],Banco[CtaCtbl],$C23,Banco[Periodo Contable],TEXT(N$3,"mmm-yyyy"))</f>
        <v>0</v>
      </c>
      <c r="O23" s="216">
        <f>SUMIFS(Banco[Monto],Banco[CtaCtbl],$C23,Banco[Periodo Contable],TEXT(O$3,"mmm-yyyy"))</f>
        <v>0</v>
      </c>
      <c r="P23" s="216">
        <f>SUMIFS(Banco[Monto],Banco[CtaCtbl],$C23,Banco[Periodo Contable],TEXT(P$3,"mmm-yyyy"))</f>
        <v>0</v>
      </c>
      <c r="Q23" s="216">
        <f>SUMIFS(Banco[Monto],Banco[CtaCtbl],$C23,Banco[Periodo Contable],TEXT(Q$3,"mmm-yyyy"))</f>
        <v>0</v>
      </c>
      <c r="R23" s="216">
        <f>SUMIFS(Banco[Monto],Banco[CtaCtbl],$C23,Banco[Periodo Contable],TEXT(R$3,"mmm-yyyy"))</f>
        <v>0</v>
      </c>
      <c r="S23" s="216">
        <f>SUMIFS(Banco[Monto],Banco[CtaCtbl],$C23,Banco[Periodo Contable],TEXT(S$3,"mmm-yyyy"))</f>
        <v>0</v>
      </c>
      <c r="T23" s="216">
        <f>SUMIFS(Banco[Monto],Banco[CtaCtbl],$C23,Banco[Periodo Contable],TEXT(T$3,"mmm-yyyy"))</f>
        <v>0</v>
      </c>
      <c r="U23" s="216">
        <f>SUMIFS(Banco[Monto],Banco[CtaCtbl],$C23,Banco[Periodo Contable],TEXT(U$3,"mmm-yyyy"))</f>
        <v>0</v>
      </c>
      <c r="V23" s="300">
        <f>SUM(Tabla17[[#This Row],[ene-22]:[dic-22]])</f>
        <v>0</v>
      </c>
      <c r="W23" s="216">
        <f>SUMIFS(Banco[Monto],Banco[CtaCtbl],$C23,Banco[Periodo Contable],TEXT(W$3,"mmm-yyyy"))</f>
        <v>0</v>
      </c>
      <c r="X23" s="216">
        <f>SUMIFS(Banco[Monto],Banco[CtaCtbl],$C23,Banco[Periodo Contable],TEXT(X$3,"mmm-yyyy"))</f>
        <v>0</v>
      </c>
      <c r="Y23" s="216">
        <f>SUMIFS(Banco[Monto],Banco[CtaCtbl],$C23,Banco[Periodo Contable],TEXT(Y$3,"mmm-yyyy"))</f>
        <v>0</v>
      </c>
      <c r="Z23" s="216">
        <f>SUMIFS(Banco[Monto],Banco[CtaCtbl],$C23,Banco[Periodo Contable],TEXT(Z$3,"mmm-yyyy"))</f>
        <v>0</v>
      </c>
      <c r="AA23" s="216">
        <f>SUMIFS(Banco[Monto],Banco[CtaCtbl],$C23,Banco[Periodo Contable],TEXT(AA$3,"mmm-yyyy"))</f>
        <v>0</v>
      </c>
      <c r="AB23" s="216">
        <f>SUMIFS(Banco[Monto],Banco[CtaCtbl],$C23,Banco[Periodo Contable],TEXT(AB$3,"mmm-yyyy"))</f>
        <v>0</v>
      </c>
      <c r="AC23" s="216">
        <f>SUMIFS(Banco[Monto],Banco[CtaCtbl],$C23,Banco[Periodo Contable],TEXT(AC$3,"mmm-yyyy"))</f>
        <v>0</v>
      </c>
      <c r="AD23" s="216">
        <f>SUMIFS(Banco[Monto],Banco[CtaCtbl],$C23,Banco[Periodo Contable],TEXT(AD$3,"mmm-yyyy"))</f>
        <v>0</v>
      </c>
      <c r="AE23" s="216">
        <f>SUMIFS(Banco[Monto],Banco[CtaCtbl],$C23,Banco[Periodo Contable],TEXT(AE$3,"mmm-yyyy"))</f>
        <v>0</v>
      </c>
      <c r="AF23" s="216">
        <f>SUMIFS(Banco[Monto],Banco[CtaCtbl],$C23,Banco[Periodo Contable],TEXT(AF$3,"mmm-yyyy"))</f>
        <v>0</v>
      </c>
      <c r="AG23" s="216">
        <f>SUMIFS(Banco[Monto],Banco[CtaCtbl],$C23,Banco[Periodo Contable],TEXT(AG$3,"mmm-yyyy"))</f>
        <v>0</v>
      </c>
      <c r="AH23" s="216">
        <f>SUMIFS(Banco[Monto],Banco[CtaCtbl],$C23,Banco[Periodo Contable],TEXT(AH$3,"mmm-yyyy"))</f>
        <v>0</v>
      </c>
      <c r="AI23" s="300">
        <f>SUM(Tabla17[[#This Row],[ene-23]:[dic-23]])</f>
        <v>0</v>
      </c>
      <c r="AJ23" s="216">
        <f>SUMIFS(Banco[Monto],Banco[CtaCtbl],$C23,Banco[Periodo Contable],TEXT(AJ$3,"mmm-yyyy"))</f>
        <v>0</v>
      </c>
      <c r="AK23" s="216">
        <f>SUMIFS(Banco[Monto],Banco[CtaCtbl],$C23,Banco[Periodo Contable],TEXT(AK$3,"mmm-yyyy"))</f>
        <v>0</v>
      </c>
      <c r="AL23" s="216">
        <f>SUMIFS(Banco[Monto],Banco[CtaCtbl],$C23,Banco[Periodo Contable],TEXT(AL$3,"mmm-yyyy"))</f>
        <v>0</v>
      </c>
      <c r="AM23" s="216">
        <f>SUMIFS(Banco[Monto],Banco[CtaCtbl],$C23,Banco[Periodo Contable],TEXT(AM$3,"mmm-yyyy"))</f>
        <v>0</v>
      </c>
      <c r="AN23" s="216">
        <f>SUMIFS(Banco[Monto],Banco[CtaCtbl],$C23,Banco[Periodo Contable],TEXT(AN$3,"mmm-yyyy"))</f>
        <v>0</v>
      </c>
      <c r="AO23" s="216">
        <f>SUMIFS(Banco[Monto],Banco[CtaCtbl],$C23,Banco[Periodo Contable],TEXT(AO$3,"mmm-yyyy"))</f>
        <v>0</v>
      </c>
      <c r="AP23" s="216">
        <f>SUMIFS(Banco[Monto],Banco[CtaCtbl],$C23,Banco[Periodo Contable],TEXT(AP$3,"mmm-yyyy"))</f>
        <v>0</v>
      </c>
      <c r="AQ23" s="216">
        <f>SUMIFS(Banco[Monto],Banco[CtaCtbl],$C23,Banco[Periodo Contable],TEXT(AQ$3,"mmm-yyyy"))</f>
        <v>0</v>
      </c>
      <c r="AR23" s="216">
        <f>SUMIFS(Banco[Monto],Banco[CtaCtbl],$C23,Banco[Periodo Contable],TEXT(AR$3,"mmm-yyyy"))</f>
        <v>0</v>
      </c>
      <c r="AS23" s="216">
        <f>SUMIFS(Banco[Monto],Banco[CtaCtbl],$C23,Banco[Periodo Contable],TEXT(AS$3,"mmm-yyyy"))</f>
        <v>0</v>
      </c>
      <c r="AT23" s="216">
        <f>SUMIFS(Banco[Monto],Banco[CtaCtbl],$C23,Banco[Periodo Contable],TEXT(AT$3,"mmm-yyyy"))</f>
        <v>0</v>
      </c>
      <c r="AU23" s="216">
        <f>SUMIFS(Banco[Monto],Banco[CtaCtbl],$C23,Banco[Periodo Contable],TEXT(AU$3,"mmm-yyyy"))</f>
        <v>0</v>
      </c>
      <c r="AV23" s="300">
        <f>SUM(Tabla17[[#This Row],[ene-24]:[dic-24]])</f>
        <v>0</v>
      </c>
      <c r="AW23" s="216">
        <f>SUMIFS(Banco[Monto],Banco[CtaCtbl],$C23,Banco[Periodo Contable],TEXT(AW$3,"mmm-yyyy"))</f>
        <v>0</v>
      </c>
      <c r="AX23" s="216">
        <f>SUMIFS(Banco[Monto],Banco[CtaCtbl],$C23,Banco[Periodo Contable],TEXT(AX$3,"mmm-yyyy"))</f>
        <v>0</v>
      </c>
      <c r="AY23" s="216">
        <f>SUMIFS(Banco[Monto],Banco[CtaCtbl],$C23,Banco[Periodo Contable],TEXT(AY$3,"mmm-yyyy"))</f>
        <v>0</v>
      </c>
      <c r="AZ23" s="216">
        <f>SUMIFS(Banco[Monto],Banco[CtaCtbl],$C23,Banco[Periodo Contable],TEXT(AZ$3,"mmm-yyyy"))</f>
        <v>0</v>
      </c>
      <c r="BA23" s="216">
        <f>SUMIFS(Banco[Monto],Banco[CtaCtbl],$C23,Banco[Periodo Contable],TEXT(BA$3,"mmm-yyyy"))</f>
        <v>0</v>
      </c>
      <c r="BB23" s="216">
        <f>SUMIFS(Banco[Monto],Banco[CtaCtbl],$C23,Banco[Periodo Contable],TEXT(BB$3,"mmm-yyyy"))</f>
        <v>0</v>
      </c>
      <c r="BC23" s="216">
        <f>SUMIFS(Banco[Monto],Banco[CtaCtbl],$C23,Banco[Periodo Contable],TEXT(BC$3,"mmm-yyyy"))</f>
        <v>0</v>
      </c>
      <c r="BD23" s="216">
        <f>SUMIFS(Banco[Monto],Banco[CtaCtbl],$C23,Banco[Periodo Contable],TEXT(BD$3,"mmm-yyyy"))</f>
        <v>0</v>
      </c>
      <c r="BE23" s="216">
        <f>SUMIFS(Banco[Monto],Banco[CtaCtbl],$C23,Banco[Periodo Contable],TEXT(BE$3,"mmm-yyyy"))</f>
        <v>0</v>
      </c>
      <c r="BF23" s="216">
        <f>SUMIFS(Banco[Monto],Banco[CtaCtbl],$C23,Banco[Periodo Contable],TEXT(BF$3,"mmm-yyyy"))</f>
        <v>0</v>
      </c>
      <c r="BG23" s="216">
        <f>SUMIFS(Banco[Monto],Banco[CtaCtbl],$C23,Banco[Periodo Contable],TEXT(BG$3,"mmm-yyyy"))</f>
        <v>0</v>
      </c>
      <c r="BH23" s="216">
        <f>SUMIFS(Banco[Monto],Banco[CtaCtbl],$C23,Banco[Periodo Contable],TEXT(BH$3,"mmm-yyyy"))</f>
        <v>0</v>
      </c>
      <c r="BI23" s="232">
        <f>SUM(Tabla17[[#This Row],[ene-25]:[dic-25]])</f>
        <v>0</v>
      </c>
      <c r="BJ23" s="216">
        <f>SUMIFS(Banco[Monto],Banco[CtaCtbl],$C23,Banco[Periodo Contable],TEXT(BJ$3,"mmm-yyyy"))</f>
        <v>0</v>
      </c>
      <c r="BK23" s="216">
        <f>SUMIFS(Banco[Monto],Banco[CtaCtbl],$C23,Banco[Periodo Contable],TEXT(BK$3,"mmm-yyyy"))</f>
        <v>0</v>
      </c>
      <c r="BL23" s="216">
        <f>SUMIFS(Banco[Monto],Banco[CtaCtbl],$C23,Banco[Periodo Contable],TEXT(BL$3,"mmm-yyyy"))</f>
        <v>0</v>
      </c>
      <c r="BM23" s="216">
        <f>SUMIFS(Banco[Monto],Banco[CtaCtbl],$C23,Banco[Periodo Contable],TEXT(BM$3,"mmm-yyyy"))</f>
        <v>0</v>
      </c>
      <c r="BN23" s="216">
        <f>SUMIFS(Banco[Monto],Banco[CtaCtbl],$C23,Banco[Periodo Contable],TEXT(BN$3,"mmm-yyyy"))</f>
        <v>0</v>
      </c>
      <c r="BO23" s="216">
        <f>SUMIFS(Banco[Monto],Banco[CtaCtbl],$C23,Banco[Periodo Contable],TEXT(BO$3,"mmm-yyyy"))</f>
        <v>0</v>
      </c>
      <c r="BP23" s="216">
        <f>SUMIFS(Banco[Monto],Banco[CtaCtbl],$C23,Banco[Periodo Contable],TEXT(BP$3,"mmm-yyyy"))</f>
        <v>0</v>
      </c>
      <c r="BQ23" s="216">
        <f>SUMIFS(Banco[Monto],Banco[CtaCtbl],$C23,Banco[Periodo Contable],TEXT(BQ$3,"mmm-yyyy"))</f>
        <v>0</v>
      </c>
      <c r="BR23" s="216">
        <f>SUMIFS(Banco[Monto],Banco[CtaCtbl],$C23,Banco[Periodo Contable],TEXT(BR$3,"mmm-yyyy"))</f>
        <v>0</v>
      </c>
      <c r="BS23" s="216">
        <f>SUMIFS(Banco[Monto],Banco[CtaCtbl],$C23,Banco[Periodo Contable],TEXT(BS$3,"mmm-yyyy"))</f>
        <v>0</v>
      </c>
      <c r="BT23" s="216">
        <f>SUMIFS(Banco[Monto],Banco[CtaCtbl],$C23,Banco[Periodo Contable],TEXT(BT$3,"mmm-yyyy"))</f>
        <v>0</v>
      </c>
      <c r="BU23" s="216">
        <f>SUMIFS(Banco[Monto],Banco[CtaCtbl],$C23,Banco[Periodo Contable],TEXT(BU$3,"mmm-yyyy"))</f>
        <v>0</v>
      </c>
      <c r="BV23" s="232">
        <f>SUM(Tabla17[[#This Row],[ene-26]:[dic-26]])</f>
        <v>0</v>
      </c>
      <c r="BW23" s="216">
        <f>SUMIFS(Banco[Monto],Banco[CtaCtbl],$C23,Banco[Periodo Contable],TEXT(BW$3,"mmm-yyyy"))</f>
        <v>0</v>
      </c>
    </row>
    <row r="24" spans="1:75" s="295" customFormat="1" ht="21.6" outlineLevel="2">
      <c r="A24" s="214"/>
      <c r="B24" s="58"/>
      <c r="C24" s="233" t="str">
        <f>+Tabla17[[#This Row],[Cuenta]]&amp;" - "&amp;Tabla17[[#This Row],[Descripcion Cuenta]]</f>
        <v xml:space="preserve"> - </v>
      </c>
      <c r="D24" s="215"/>
      <c r="E24" s="216">
        <f>SUMIFS(Banco[Monto],Banco[CtaCtbl],$C24,Banco[Periodo Contable],TEXT(E$3,"mmm-yyyy"))</f>
        <v>0</v>
      </c>
      <c r="F24" s="216">
        <f>SUMIFS(Banco[Monto],Banco[CtaCtbl],$C24,Banco[Periodo Contable],TEXT(F$3,"mmm-yyyy"))</f>
        <v>0</v>
      </c>
      <c r="G24" s="216">
        <f>SUMIFS(Banco[Monto],Banco[CtaCtbl],$C24,Banco[Periodo Contable],TEXT(G$3,"mmm-yyyy"))</f>
        <v>0</v>
      </c>
      <c r="H24" s="216">
        <f>SUMIFS(Banco[Monto],Banco[CtaCtbl],$C24,Banco[Periodo Contable],TEXT(H$3,"mmm-yyyy"))</f>
        <v>0</v>
      </c>
      <c r="I24" s="216">
        <f>SUM(Tabla17[[#This Row],[sept-21]:[dic-21]])</f>
        <v>0</v>
      </c>
      <c r="J24" s="216">
        <f>SUMIFS(Banco[Monto],Banco[CtaCtbl],$C24,Banco[Periodo Contable],TEXT(J$3,"mmm-yyyy"))</f>
        <v>0</v>
      </c>
      <c r="K24" s="216">
        <f>SUMIFS(Banco[Monto],Banco[CtaCtbl],$C24,Banco[Periodo Contable],TEXT(K$3,"mmm-yyyy"))</f>
        <v>0</v>
      </c>
      <c r="L24" s="216">
        <f>SUMIFS(Banco[Monto],Banco[CtaCtbl],$C24,Banco[Periodo Contable],TEXT(L$3,"mmm-yyyy"))</f>
        <v>0</v>
      </c>
      <c r="M24" s="216">
        <f>SUMIFS(Banco[Monto],Banco[CtaCtbl],$C24,Banco[Periodo Contable],TEXT(M$3,"mmm-yyyy"))</f>
        <v>0</v>
      </c>
      <c r="N24" s="216">
        <f>SUMIFS(Banco[Monto],Banco[CtaCtbl],$C24,Banco[Periodo Contable],TEXT(N$3,"mmm-yyyy"))</f>
        <v>0</v>
      </c>
      <c r="O24" s="216">
        <f>SUMIFS(Banco[Monto],Banco[CtaCtbl],$C24,Banco[Periodo Contable],TEXT(O$3,"mmm-yyyy"))</f>
        <v>0</v>
      </c>
      <c r="P24" s="216">
        <f>SUMIFS(Banco[Monto],Banco[CtaCtbl],$C24,Banco[Periodo Contable],TEXT(P$3,"mmm-yyyy"))</f>
        <v>0</v>
      </c>
      <c r="Q24" s="216">
        <f>SUMIFS(Banco[Monto],Banco[CtaCtbl],$C24,Banco[Periodo Contable],TEXT(Q$3,"mmm-yyyy"))</f>
        <v>0</v>
      </c>
      <c r="R24" s="216">
        <f>SUMIFS(Banco[Monto],Banco[CtaCtbl],$C24,Banco[Periodo Contable],TEXT(R$3,"mmm-yyyy"))</f>
        <v>0</v>
      </c>
      <c r="S24" s="216">
        <f>SUMIFS(Banco[Monto],Banco[CtaCtbl],$C24,Banco[Periodo Contable],TEXT(S$3,"mmm-yyyy"))</f>
        <v>0</v>
      </c>
      <c r="T24" s="216">
        <f>SUMIFS(Banco[Monto],Banco[CtaCtbl],$C24,Banco[Periodo Contable],TEXT(T$3,"mmm-yyyy"))</f>
        <v>0</v>
      </c>
      <c r="U24" s="216">
        <f>SUMIFS(Banco[Monto],Banco[CtaCtbl],$C24,Banco[Periodo Contable],TEXT(U$3,"mmm-yyyy"))</f>
        <v>0</v>
      </c>
      <c r="V24" s="300">
        <f>SUM(Tabla17[[#This Row],[ene-22]:[dic-22]])</f>
        <v>0</v>
      </c>
      <c r="W24" s="216">
        <f>SUMIFS(Banco[Monto],Banco[CtaCtbl],$C24,Banco[Periodo Contable],TEXT(W$3,"mmm-yyyy"))</f>
        <v>0</v>
      </c>
      <c r="X24" s="216">
        <f>SUMIFS(Banco[Monto],Banco[CtaCtbl],$C24,Banco[Periodo Contable],TEXT(X$3,"mmm-yyyy"))</f>
        <v>0</v>
      </c>
      <c r="Y24" s="216">
        <f>SUMIFS(Banco[Monto],Banco[CtaCtbl],$C24,Banco[Periodo Contable],TEXT(Y$3,"mmm-yyyy"))</f>
        <v>0</v>
      </c>
      <c r="Z24" s="216">
        <f>SUMIFS(Banco[Monto],Banco[CtaCtbl],$C24,Banco[Periodo Contable],TEXT(Z$3,"mmm-yyyy"))</f>
        <v>0</v>
      </c>
      <c r="AA24" s="216">
        <f>SUMIFS(Banco[Monto],Banco[CtaCtbl],$C24,Banco[Periodo Contable],TEXT(AA$3,"mmm-yyyy"))</f>
        <v>0</v>
      </c>
      <c r="AB24" s="216">
        <f>SUMIFS(Banco[Monto],Banco[CtaCtbl],$C24,Banco[Periodo Contable],TEXT(AB$3,"mmm-yyyy"))</f>
        <v>0</v>
      </c>
      <c r="AC24" s="216">
        <f>SUMIFS(Banco[Monto],Banco[CtaCtbl],$C24,Banco[Periodo Contable],TEXT(AC$3,"mmm-yyyy"))</f>
        <v>0</v>
      </c>
      <c r="AD24" s="216">
        <f>SUMIFS(Banco[Monto],Banco[CtaCtbl],$C24,Banco[Periodo Contable],TEXT(AD$3,"mmm-yyyy"))</f>
        <v>0</v>
      </c>
      <c r="AE24" s="216">
        <f>SUMIFS(Banco[Monto],Banco[CtaCtbl],$C24,Banco[Periodo Contable],TEXT(AE$3,"mmm-yyyy"))</f>
        <v>0</v>
      </c>
      <c r="AF24" s="216">
        <f>SUMIFS(Banco[Monto],Banco[CtaCtbl],$C24,Banco[Periodo Contable],TEXT(AF$3,"mmm-yyyy"))</f>
        <v>0</v>
      </c>
      <c r="AG24" s="216">
        <f>SUMIFS(Banco[Monto],Banco[CtaCtbl],$C24,Banco[Periodo Contable],TEXT(AG$3,"mmm-yyyy"))</f>
        <v>0</v>
      </c>
      <c r="AH24" s="216">
        <f>SUMIFS(Banco[Monto],Banco[CtaCtbl],$C24,Banco[Periodo Contable],TEXT(AH$3,"mmm-yyyy"))</f>
        <v>0</v>
      </c>
      <c r="AI24" s="300">
        <f>SUM(Tabla17[[#This Row],[ene-23]:[dic-23]])</f>
        <v>0</v>
      </c>
      <c r="AJ24" s="216">
        <f>SUMIFS(Banco[Monto],Banco[CtaCtbl],$C24,Banco[Periodo Contable],TEXT(AJ$3,"mmm-yyyy"))</f>
        <v>0</v>
      </c>
      <c r="AK24" s="216">
        <f>SUMIFS(Banco[Monto],Banco[CtaCtbl],$C24,Banco[Periodo Contable],TEXT(AK$3,"mmm-yyyy"))</f>
        <v>0</v>
      </c>
      <c r="AL24" s="216">
        <f>SUMIFS(Banco[Monto],Banco[CtaCtbl],$C24,Banco[Periodo Contable],TEXT(AL$3,"mmm-yyyy"))</f>
        <v>0</v>
      </c>
      <c r="AM24" s="216">
        <f>SUMIFS(Banco[Monto],Banco[CtaCtbl],$C24,Banco[Periodo Contable],TEXT(AM$3,"mmm-yyyy"))</f>
        <v>0</v>
      </c>
      <c r="AN24" s="216">
        <f>SUMIFS(Banco[Monto],Banco[CtaCtbl],$C24,Banco[Periodo Contable],TEXT(AN$3,"mmm-yyyy"))</f>
        <v>0</v>
      </c>
      <c r="AO24" s="216">
        <f>SUMIFS(Banco[Monto],Banco[CtaCtbl],$C24,Banco[Periodo Contable],TEXT(AO$3,"mmm-yyyy"))</f>
        <v>0</v>
      </c>
      <c r="AP24" s="216">
        <f>SUMIFS(Banco[Monto],Banco[CtaCtbl],$C24,Banco[Periodo Contable],TEXT(AP$3,"mmm-yyyy"))</f>
        <v>0</v>
      </c>
      <c r="AQ24" s="216">
        <f>SUMIFS(Banco[Monto],Banco[CtaCtbl],$C24,Banco[Periodo Contable],TEXT(AQ$3,"mmm-yyyy"))</f>
        <v>0</v>
      </c>
      <c r="AR24" s="216">
        <f>SUMIFS(Banco[Monto],Banco[CtaCtbl],$C24,Banco[Periodo Contable],TEXT(AR$3,"mmm-yyyy"))</f>
        <v>0</v>
      </c>
      <c r="AS24" s="216">
        <f>SUMIFS(Banco[Monto],Banco[CtaCtbl],$C24,Banco[Periodo Contable],TEXT(AS$3,"mmm-yyyy"))</f>
        <v>0</v>
      </c>
      <c r="AT24" s="216">
        <f>SUMIFS(Banco[Monto],Banco[CtaCtbl],$C24,Banco[Periodo Contable],TEXT(AT$3,"mmm-yyyy"))</f>
        <v>0</v>
      </c>
      <c r="AU24" s="216">
        <f>SUMIFS(Banco[Monto],Banco[CtaCtbl],$C24,Banco[Periodo Contable],TEXT(AU$3,"mmm-yyyy"))</f>
        <v>0</v>
      </c>
      <c r="AV24" s="300">
        <f>SUM(Tabla17[[#This Row],[ene-24]:[dic-24]])</f>
        <v>0</v>
      </c>
      <c r="AW24" s="216">
        <f>SUMIFS(Banco[Monto],Banco[CtaCtbl],$C24,Banco[Periodo Contable],TEXT(AW$3,"mmm-yyyy"))</f>
        <v>0</v>
      </c>
      <c r="AX24" s="216">
        <f>SUMIFS(Banco[Monto],Banco[CtaCtbl],$C24,Banco[Periodo Contable],TEXT(AX$3,"mmm-yyyy"))</f>
        <v>0</v>
      </c>
      <c r="AY24" s="216">
        <f>SUMIFS(Banco[Monto],Banco[CtaCtbl],$C24,Banco[Periodo Contable],TEXT(AY$3,"mmm-yyyy"))</f>
        <v>0</v>
      </c>
      <c r="AZ24" s="216">
        <f>SUMIFS(Banco[Monto],Banco[CtaCtbl],$C24,Banco[Periodo Contable],TEXT(AZ$3,"mmm-yyyy"))</f>
        <v>0</v>
      </c>
      <c r="BA24" s="216">
        <f>SUMIFS(Banco[Monto],Banco[CtaCtbl],$C24,Banco[Periodo Contable],TEXT(BA$3,"mmm-yyyy"))</f>
        <v>0</v>
      </c>
      <c r="BB24" s="216">
        <f>SUMIFS(Banco[Monto],Banco[CtaCtbl],$C24,Banco[Periodo Contable],TEXT(BB$3,"mmm-yyyy"))</f>
        <v>0</v>
      </c>
      <c r="BC24" s="216">
        <f>SUMIFS(Banco[Monto],Banco[CtaCtbl],$C24,Banco[Periodo Contable],TEXT(BC$3,"mmm-yyyy"))</f>
        <v>0</v>
      </c>
      <c r="BD24" s="216">
        <f>SUMIFS(Banco[Monto],Banco[CtaCtbl],$C24,Banco[Periodo Contable],TEXT(BD$3,"mmm-yyyy"))</f>
        <v>0</v>
      </c>
      <c r="BE24" s="216">
        <f>SUMIFS(Banco[Monto],Banco[CtaCtbl],$C24,Banco[Periodo Contable],TEXT(BE$3,"mmm-yyyy"))</f>
        <v>0</v>
      </c>
      <c r="BF24" s="216">
        <f>SUMIFS(Banco[Monto],Banco[CtaCtbl],$C24,Banco[Periodo Contable],TEXT(BF$3,"mmm-yyyy"))</f>
        <v>0</v>
      </c>
      <c r="BG24" s="216">
        <f>SUMIFS(Banco[Monto],Banco[CtaCtbl],$C24,Banco[Periodo Contable],TEXT(BG$3,"mmm-yyyy"))</f>
        <v>0</v>
      </c>
      <c r="BH24" s="216">
        <f>SUMIFS(Banco[Monto],Banco[CtaCtbl],$C24,Banco[Periodo Contable],TEXT(BH$3,"mmm-yyyy"))</f>
        <v>0</v>
      </c>
      <c r="BI24" s="232">
        <f>SUM(Tabla17[[#This Row],[ene-25]:[dic-25]])</f>
        <v>0</v>
      </c>
      <c r="BJ24" s="216">
        <f>SUMIFS(Banco[Monto],Banco[CtaCtbl],$C24,Banco[Periodo Contable],TEXT(BJ$3,"mmm-yyyy"))</f>
        <v>0</v>
      </c>
      <c r="BK24" s="216">
        <f>SUMIFS(Banco[Monto],Banco[CtaCtbl],$C24,Banco[Periodo Contable],TEXT(BK$3,"mmm-yyyy"))</f>
        <v>0</v>
      </c>
      <c r="BL24" s="216">
        <f>SUMIFS(Banco[Monto],Banco[CtaCtbl],$C24,Banco[Periodo Contable],TEXT(BL$3,"mmm-yyyy"))</f>
        <v>0</v>
      </c>
      <c r="BM24" s="216">
        <f>SUMIFS(Banco[Monto],Banco[CtaCtbl],$C24,Banco[Periodo Contable],TEXT(BM$3,"mmm-yyyy"))</f>
        <v>0</v>
      </c>
      <c r="BN24" s="216">
        <f>SUMIFS(Banco[Monto],Banco[CtaCtbl],$C24,Banco[Periodo Contable],TEXT(BN$3,"mmm-yyyy"))</f>
        <v>0</v>
      </c>
      <c r="BO24" s="216">
        <f>SUMIFS(Banco[Monto],Banco[CtaCtbl],$C24,Banco[Periodo Contable],TEXT(BO$3,"mmm-yyyy"))</f>
        <v>0</v>
      </c>
      <c r="BP24" s="216">
        <f>SUMIFS(Banco[Monto],Banco[CtaCtbl],$C24,Banco[Periodo Contable],TEXT(BP$3,"mmm-yyyy"))</f>
        <v>0</v>
      </c>
      <c r="BQ24" s="216">
        <f>SUMIFS(Banco[Monto],Banco[CtaCtbl],$C24,Banco[Periodo Contable],TEXT(BQ$3,"mmm-yyyy"))</f>
        <v>0</v>
      </c>
      <c r="BR24" s="216">
        <f>SUMIFS(Banco[Monto],Banco[CtaCtbl],$C24,Banco[Periodo Contable],TEXT(BR$3,"mmm-yyyy"))</f>
        <v>0</v>
      </c>
      <c r="BS24" s="216">
        <f>SUMIFS(Banco[Monto],Banco[CtaCtbl],$C24,Banco[Periodo Contable],TEXT(BS$3,"mmm-yyyy"))</f>
        <v>0</v>
      </c>
      <c r="BT24" s="216">
        <f>SUMIFS(Banco[Monto],Banco[CtaCtbl],$C24,Banco[Periodo Contable],TEXT(BT$3,"mmm-yyyy"))</f>
        <v>0</v>
      </c>
      <c r="BU24" s="216">
        <f>SUMIFS(Banco[Monto],Banco[CtaCtbl],$C24,Banco[Periodo Contable],TEXT(BU$3,"mmm-yyyy"))</f>
        <v>0</v>
      </c>
      <c r="BV24" s="232">
        <f>SUM(Tabla17[[#This Row],[ene-26]:[dic-26]])</f>
        <v>0</v>
      </c>
      <c r="BW24" s="216">
        <f>SUMIFS(Banco[Monto],Banco[CtaCtbl],$C24,Banco[Periodo Contable],TEXT(BW$3,"mmm-yyyy"))</f>
        <v>0</v>
      </c>
    </row>
    <row r="25" spans="1:75" ht="21.6">
      <c r="A25" s="29">
        <v>2</v>
      </c>
      <c r="B25" s="13" t="s">
        <v>281</v>
      </c>
      <c r="C25" s="13" t="str">
        <f>+Tabla17[[#This Row],[Cuenta]]&amp;" - "&amp;Tabla17[[#This Row],[Descripcion Cuenta]]</f>
        <v>2 - Egresos</v>
      </c>
      <c r="D25" s="35"/>
      <c r="E25" s="42">
        <f>SUBTOTAL(9,E26:E83)</f>
        <v>0</v>
      </c>
      <c r="F25" s="42">
        <f>SUBTOTAL(9,F26:F83)</f>
        <v>0</v>
      </c>
      <c r="G25" s="42">
        <f>SUBTOTAL(9,G26:G83)</f>
        <v>-723071</v>
      </c>
      <c r="H25" s="42">
        <f>SUBTOTAL(9,H26:H83)</f>
        <v>-113400</v>
      </c>
      <c r="I25" s="42">
        <f>SUM(Tabla17[[#This Row],[sept-21]:[dic-21]])</f>
        <v>-836471</v>
      </c>
      <c r="J25" s="42">
        <f t="shared" ref="J25:AW25" si="71">SUBTOTAL(9,J26:J83)</f>
        <v>-554937</v>
      </c>
      <c r="K25" s="42">
        <f t="shared" si="71"/>
        <v>-208149</v>
      </c>
      <c r="L25" s="42">
        <f t="shared" si="71"/>
        <v>-2125916</v>
      </c>
      <c r="M25" s="42">
        <f t="shared" si="71"/>
        <v>-3976249</v>
      </c>
      <c r="N25" s="42">
        <f t="shared" si="71"/>
        <v>-680172</v>
      </c>
      <c r="O25" s="42">
        <f t="shared" si="71"/>
        <v>-109500000</v>
      </c>
      <c r="P25" s="42">
        <f t="shared" si="71"/>
        <v>0</v>
      </c>
      <c r="Q25" s="42">
        <f t="shared" si="71"/>
        <v>-510630</v>
      </c>
      <c r="R25" s="42">
        <f t="shared" si="71"/>
        <v>-5375701</v>
      </c>
      <c r="S25" s="42">
        <f t="shared" si="71"/>
        <v>0</v>
      </c>
      <c r="T25" s="42">
        <f t="shared" si="71"/>
        <v>-449400</v>
      </c>
      <c r="U25" s="42">
        <f t="shared" si="71"/>
        <v>-344041</v>
      </c>
      <c r="V25" s="42">
        <f t="shared" si="71"/>
        <v>-123725195</v>
      </c>
      <c r="W25" s="42">
        <f t="shared" si="71"/>
        <v>0</v>
      </c>
      <c r="X25" s="42">
        <f t="shared" si="71"/>
        <v>-218440</v>
      </c>
      <c r="Y25" s="42">
        <f t="shared" si="71"/>
        <v>0</v>
      </c>
      <c r="Z25" s="42">
        <f t="shared" si="71"/>
        <v>-613920</v>
      </c>
      <c r="AA25" s="42">
        <f t="shared" si="71"/>
        <v>-342175</v>
      </c>
      <c r="AB25" s="42">
        <f t="shared" si="71"/>
        <v>0</v>
      </c>
      <c r="AC25" s="42">
        <f t="shared" si="71"/>
        <v>-319160</v>
      </c>
      <c r="AD25" s="42">
        <f t="shared" si="71"/>
        <v>-1859252</v>
      </c>
      <c r="AE25" s="42">
        <f t="shared" si="71"/>
        <v>-2167312</v>
      </c>
      <c r="AF25" s="42">
        <f t="shared" si="71"/>
        <v>-669938</v>
      </c>
      <c r="AG25" s="42">
        <f t="shared" si="71"/>
        <v>0</v>
      </c>
      <c r="AH25" s="42">
        <f t="shared" si="71"/>
        <v>0</v>
      </c>
      <c r="AI25" s="42">
        <f t="shared" si="71"/>
        <v>-6190197</v>
      </c>
      <c r="AJ25" s="42">
        <f t="shared" si="71"/>
        <v>-328600</v>
      </c>
      <c r="AK25" s="42">
        <f t="shared" si="71"/>
        <v>0</v>
      </c>
      <c r="AL25" s="42">
        <f t="shared" si="71"/>
        <v>-328720</v>
      </c>
      <c r="AM25" s="42">
        <f t="shared" si="71"/>
        <v>0</v>
      </c>
      <c r="AN25" s="42">
        <f t="shared" si="71"/>
        <v>-750850</v>
      </c>
      <c r="AO25" s="42">
        <f t="shared" si="71"/>
        <v>-1177520</v>
      </c>
      <c r="AP25" s="42">
        <f t="shared" si="71"/>
        <v>0</v>
      </c>
      <c r="AQ25" s="42">
        <f t="shared" si="71"/>
        <v>0</v>
      </c>
      <c r="AR25" s="42">
        <f t="shared" si="71"/>
        <v>-435651</v>
      </c>
      <c r="AS25" s="42">
        <f t="shared" si="71"/>
        <v>-3964304</v>
      </c>
      <c r="AT25" s="42">
        <f t="shared" si="71"/>
        <v>-636636</v>
      </c>
      <c r="AU25" s="42">
        <f t="shared" si="71"/>
        <v>-941363</v>
      </c>
      <c r="AV25" s="42">
        <f t="shared" si="71"/>
        <v>-8563644</v>
      </c>
      <c r="AW25" s="42">
        <f t="shared" si="71"/>
        <v>-444924</v>
      </c>
      <c r="AX25" s="42">
        <f t="shared" ref="AX25:BH25" si="72">SUBTOTAL(9,AX26:AX83)</f>
        <v>-5000000</v>
      </c>
      <c r="AY25" s="42">
        <f t="shared" si="72"/>
        <v>0</v>
      </c>
      <c r="AZ25" s="42">
        <f t="shared" si="72"/>
        <v>-10051584</v>
      </c>
      <c r="BA25" s="42">
        <f t="shared" si="72"/>
        <v>-88209</v>
      </c>
      <c r="BB25" s="42">
        <f t="shared" si="72"/>
        <v>-628392682</v>
      </c>
      <c r="BC25" s="42">
        <f t="shared" si="72"/>
        <v>-26776019</v>
      </c>
      <c r="BD25" s="42">
        <f t="shared" si="72"/>
        <v>-1851614</v>
      </c>
      <c r="BE25" s="42">
        <f t="shared" si="72"/>
        <v>0</v>
      </c>
      <c r="BF25" s="42">
        <f t="shared" si="72"/>
        <v>7548469</v>
      </c>
      <c r="BG25" s="42">
        <f t="shared" si="72"/>
        <v>-213446</v>
      </c>
      <c r="BH25" s="42">
        <f t="shared" si="72"/>
        <v>-18397100</v>
      </c>
      <c r="BI25" s="42">
        <f>SUBTOTAL(9,BI26:BI83)</f>
        <v>-683667109</v>
      </c>
      <c r="BJ25" s="42">
        <f t="shared" ref="BJ25" si="73">SUBTOTAL(9,BJ26:BJ83)</f>
        <v>0</v>
      </c>
      <c r="BK25" s="42">
        <f t="shared" ref="BK25" si="74">SUBTOTAL(9,BK26:BK83)</f>
        <v>0</v>
      </c>
      <c r="BL25" s="42">
        <f t="shared" ref="BL25" si="75">SUBTOTAL(9,BL26:BL83)</f>
        <v>-203115</v>
      </c>
      <c r="BM25" s="42">
        <f t="shared" ref="BM25" si="76">SUBTOTAL(9,BM26:BM83)</f>
        <v>0</v>
      </c>
      <c r="BN25" s="42">
        <f t="shared" ref="BN25" si="77">SUBTOTAL(9,BN26:BN83)</f>
        <v>0</v>
      </c>
      <c r="BO25" s="42">
        <f t="shared" ref="BO25" si="78">SUBTOTAL(9,BO26:BO83)</f>
        <v>0</v>
      </c>
      <c r="BP25" s="42">
        <f t="shared" ref="BP25" si="79">SUBTOTAL(9,BP26:BP83)</f>
        <v>0</v>
      </c>
      <c r="BQ25" s="42">
        <f t="shared" ref="BQ25" si="80">SUBTOTAL(9,BQ26:BQ83)</f>
        <v>0</v>
      </c>
      <c r="BR25" s="42">
        <f t="shared" ref="BR25" si="81">SUBTOTAL(9,BR26:BR83)</f>
        <v>0</v>
      </c>
      <c r="BS25" s="42">
        <f t="shared" ref="BS25" si="82">SUBTOTAL(9,BS26:BS83)</f>
        <v>0</v>
      </c>
      <c r="BT25" s="42">
        <f t="shared" ref="BT25" si="83">SUBTOTAL(9,BT26:BT83)</f>
        <v>0</v>
      </c>
      <c r="BU25" s="42">
        <f t="shared" ref="BU25" si="84">SUBTOTAL(9,BU26:BU83)</f>
        <v>0</v>
      </c>
      <c r="BV25" s="42">
        <f>SUBTOTAL(9,BV26:BV83)</f>
        <v>-203115</v>
      </c>
      <c r="BW25" s="42">
        <f>SUBTOTAL(9,BW26:BW83)</f>
        <v>0</v>
      </c>
    </row>
    <row r="26" spans="1:75" ht="21.6" outlineLevel="1">
      <c r="A26" s="336" t="s">
        <v>282</v>
      </c>
      <c r="B26" s="337" t="s">
        <v>283</v>
      </c>
      <c r="C26" s="338" t="str">
        <f>+Tabla17[[#This Row],[Cuenta]]&amp;" - "&amp;Tabla17[[#This Row],[Descripcion Cuenta]]</f>
        <v>2.01 - Gasto Fijo</v>
      </c>
      <c r="D26" s="339"/>
      <c r="E26" s="340">
        <f>SUBTOTAL(9,E27:E66)</f>
        <v>0</v>
      </c>
      <c r="F26" s="340">
        <f t="shared" ref="F26:BW26" si="85">SUBTOTAL(9,F27:F66)</f>
        <v>0</v>
      </c>
      <c r="G26" s="340">
        <f t="shared" si="85"/>
        <v>-723071</v>
      </c>
      <c r="H26" s="340">
        <f t="shared" si="85"/>
        <v>-113400</v>
      </c>
      <c r="I26" s="340">
        <f>SUM(Tabla17[[#This Row],[sept-21]:[dic-21]])</f>
        <v>-836471</v>
      </c>
      <c r="J26" s="340">
        <f t="shared" si="85"/>
        <v>-554937</v>
      </c>
      <c r="K26" s="340">
        <f t="shared" si="85"/>
        <v>-208149</v>
      </c>
      <c r="L26" s="340">
        <f t="shared" si="85"/>
        <v>-2110100</v>
      </c>
      <c r="M26" s="340">
        <f t="shared" si="85"/>
        <v>-3960643</v>
      </c>
      <c r="N26" s="340">
        <f t="shared" si="85"/>
        <v>-680172</v>
      </c>
      <c r="O26" s="340">
        <f t="shared" si="85"/>
        <v>0</v>
      </c>
      <c r="P26" s="340">
        <f t="shared" si="85"/>
        <v>0</v>
      </c>
      <c r="Q26" s="340">
        <f t="shared" si="85"/>
        <v>-510630</v>
      </c>
      <c r="R26" s="340">
        <f t="shared" si="85"/>
        <v>0</v>
      </c>
      <c r="S26" s="340">
        <f t="shared" si="85"/>
        <v>0</v>
      </c>
      <c r="T26" s="340">
        <f t="shared" si="85"/>
        <v>-449400</v>
      </c>
      <c r="U26" s="340">
        <f t="shared" si="85"/>
        <v>-344041</v>
      </c>
      <c r="V26" s="340">
        <f t="shared" si="85"/>
        <v>-8818072</v>
      </c>
      <c r="W26" s="340">
        <f t="shared" si="85"/>
        <v>0</v>
      </c>
      <c r="X26" s="340">
        <f t="shared" si="85"/>
        <v>-218440</v>
      </c>
      <c r="Y26" s="340">
        <f t="shared" si="85"/>
        <v>0</v>
      </c>
      <c r="Z26" s="340">
        <f t="shared" si="85"/>
        <v>-613920</v>
      </c>
      <c r="AA26" s="340">
        <f t="shared" si="85"/>
        <v>-342175</v>
      </c>
      <c r="AB26" s="340">
        <f t="shared" si="85"/>
        <v>0</v>
      </c>
      <c r="AC26" s="340">
        <f t="shared" si="85"/>
        <v>-319160</v>
      </c>
      <c r="AD26" s="340">
        <f t="shared" si="85"/>
        <v>0</v>
      </c>
      <c r="AE26" s="340">
        <f t="shared" si="85"/>
        <v>-319160</v>
      </c>
      <c r="AF26" s="340">
        <f t="shared" si="85"/>
        <v>-392160</v>
      </c>
      <c r="AG26" s="340">
        <f t="shared" si="85"/>
        <v>0</v>
      </c>
      <c r="AH26" s="340">
        <f t="shared" si="85"/>
        <v>0</v>
      </c>
      <c r="AI26" s="340">
        <f t="shared" si="85"/>
        <v>-2205015</v>
      </c>
      <c r="AJ26" s="340">
        <f t="shared" si="85"/>
        <v>-328600</v>
      </c>
      <c r="AK26" s="340">
        <f t="shared" si="85"/>
        <v>0</v>
      </c>
      <c r="AL26" s="340">
        <f t="shared" si="85"/>
        <v>-328720</v>
      </c>
      <c r="AM26" s="340">
        <f t="shared" si="85"/>
        <v>0</v>
      </c>
      <c r="AN26" s="340">
        <f t="shared" si="85"/>
        <v>-750850</v>
      </c>
      <c r="AO26" s="340">
        <f t="shared" si="85"/>
        <v>-484720</v>
      </c>
      <c r="AP26" s="340">
        <f t="shared" si="85"/>
        <v>0</v>
      </c>
      <c r="AQ26" s="340">
        <f t="shared" si="85"/>
        <v>0</v>
      </c>
      <c r="AR26" s="340">
        <f t="shared" si="85"/>
        <v>-435651</v>
      </c>
      <c r="AS26" s="340">
        <f t="shared" si="85"/>
        <v>-6284</v>
      </c>
      <c r="AT26" s="340">
        <f t="shared" si="85"/>
        <v>-636636</v>
      </c>
      <c r="AU26" s="340">
        <f>SUBTOTAL(9,AU27:AU66)</f>
        <v>-721979</v>
      </c>
      <c r="AV26" s="340">
        <f t="shared" si="85"/>
        <v>-3693440</v>
      </c>
      <c r="AW26" s="340">
        <f t="shared" si="85"/>
        <v>-444924</v>
      </c>
      <c r="AX26" s="340">
        <f t="shared" ref="AX26:BH26" si="86">SUBTOTAL(9,AX27:AX66)</f>
        <v>-5000000</v>
      </c>
      <c r="AY26" s="340">
        <f t="shared" si="86"/>
        <v>0</v>
      </c>
      <c r="AZ26" s="340">
        <f t="shared" si="86"/>
        <v>-10051584</v>
      </c>
      <c r="BA26" s="340">
        <f t="shared" si="86"/>
        <v>-88209</v>
      </c>
      <c r="BB26" s="340">
        <f t="shared" si="86"/>
        <v>-222462</v>
      </c>
      <c r="BC26" s="340">
        <f t="shared" si="86"/>
        <v>-3537</v>
      </c>
      <c r="BD26" s="340">
        <f t="shared" si="86"/>
        <v>-713838</v>
      </c>
      <c r="BE26" s="340">
        <f t="shared" si="86"/>
        <v>0</v>
      </c>
      <c r="BF26" s="340">
        <f t="shared" si="86"/>
        <v>7548469</v>
      </c>
      <c r="BG26" s="340">
        <f t="shared" ref="BG26" si="87">SUBTOTAL(9,BG27:BG66)</f>
        <v>-6294</v>
      </c>
      <c r="BH26" s="340">
        <f t="shared" si="86"/>
        <v>-1400000</v>
      </c>
      <c r="BI26" s="340">
        <f t="shared" si="85"/>
        <v>-10382379</v>
      </c>
      <c r="BJ26" s="340">
        <f t="shared" si="85"/>
        <v>0</v>
      </c>
      <c r="BK26" s="340">
        <f t="shared" si="85"/>
        <v>0</v>
      </c>
      <c r="BL26" s="340">
        <f t="shared" si="85"/>
        <v>-203115</v>
      </c>
      <c r="BM26" s="340">
        <f t="shared" si="85"/>
        <v>0</v>
      </c>
      <c r="BN26" s="340">
        <f t="shared" si="85"/>
        <v>0</v>
      </c>
      <c r="BO26" s="340">
        <f t="shared" si="85"/>
        <v>0</v>
      </c>
      <c r="BP26" s="340">
        <f t="shared" si="85"/>
        <v>0</v>
      </c>
      <c r="BQ26" s="340">
        <f t="shared" si="85"/>
        <v>0</v>
      </c>
      <c r="BR26" s="340">
        <f t="shared" si="85"/>
        <v>0</v>
      </c>
      <c r="BS26" s="340">
        <f t="shared" si="85"/>
        <v>0</v>
      </c>
      <c r="BT26" s="340">
        <f t="shared" si="85"/>
        <v>0</v>
      </c>
      <c r="BU26" s="340">
        <f t="shared" si="85"/>
        <v>0</v>
      </c>
      <c r="BV26" s="340">
        <f t="shared" ref="BV26" si="88">SUBTOTAL(9,BV27:BV66)</f>
        <v>-203115</v>
      </c>
      <c r="BW26" s="340">
        <f t="shared" si="85"/>
        <v>0</v>
      </c>
    </row>
    <row r="27" spans="1:75" s="77" customFormat="1" ht="21.6" outlineLevel="2">
      <c r="A27" s="38" t="s">
        <v>284</v>
      </c>
      <c r="B27" s="18" t="s">
        <v>285</v>
      </c>
      <c r="C27" s="19" t="str">
        <f>+Tabla17[[#This Row],[Cuenta]]&amp;" - "&amp;Tabla17[[#This Row],[Descripcion Cuenta]]</f>
        <v>2.01.01 - Asesorias</v>
      </c>
      <c r="D27" s="39"/>
      <c r="E27" s="44">
        <f>SUBTOTAL(9,E28:E33)</f>
        <v>0</v>
      </c>
      <c r="F27" s="44">
        <f t="shared" ref="F27:BW27" si="89">SUBTOTAL(9,F28:F33)</f>
        <v>0</v>
      </c>
      <c r="G27" s="44">
        <f t="shared" si="89"/>
        <v>-108500</v>
      </c>
      <c r="H27" s="44">
        <f t="shared" si="89"/>
        <v>-113400</v>
      </c>
      <c r="I27" s="44">
        <f>SUM(Tabla17[[#This Row],[sept-21]:[dic-21]])</f>
        <v>-221900</v>
      </c>
      <c r="J27" s="44">
        <f t="shared" si="89"/>
        <v>-121100</v>
      </c>
      <c r="K27" s="44">
        <f t="shared" si="89"/>
        <v>-88200</v>
      </c>
      <c r="L27" s="44">
        <f t="shared" si="89"/>
        <v>-2107800</v>
      </c>
      <c r="M27" s="44">
        <f t="shared" si="89"/>
        <v>-3221600</v>
      </c>
      <c r="N27" s="44">
        <f t="shared" si="89"/>
        <v>-299600</v>
      </c>
      <c r="O27" s="44">
        <f t="shared" si="89"/>
        <v>0</v>
      </c>
      <c r="P27" s="44">
        <f t="shared" si="89"/>
        <v>0</v>
      </c>
      <c r="Q27" s="44">
        <f t="shared" si="89"/>
        <v>-449400</v>
      </c>
      <c r="R27" s="44">
        <f t="shared" si="89"/>
        <v>0</v>
      </c>
      <c r="S27" s="44">
        <f t="shared" si="89"/>
        <v>0</v>
      </c>
      <c r="T27" s="44">
        <f t="shared" si="89"/>
        <v>-449400</v>
      </c>
      <c r="U27" s="44">
        <f t="shared" si="89"/>
        <v>0</v>
      </c>
      <c r="V27" s="44">
        <f t="shared" si="89"/>
        <v>-6737100</v>
      </c>
      <c r="W27" s="44">
        <f t="shared" si="89"/>
        <v>0</v>
      </c>
      <c r="X27" s="44">
        <f t="shared" si="89"/>
        <v>-218440</v>
      </c>
      <c r="Y27" s="44">
        <f t="shared" si="89"/>
        <v>0</v>
      </c>
      <c r="Z27" s="44">
        <f t="shared" si="89"/>
        <v>-448920</v>
      </c>
      <c r="AA27" s="44">
        <f t="shared" si="89"/>
        <v>-161160</v>
      </c>
      <c r="AB27" s="44">
        <f t="shared" si="89"/>
        <v>0</v>
      </c>
      <c r="AC27" s="44">
        <f t="shared" si="89"/>
        <v>-319160</v>
      </c>
      <c r="AD27" s="44">
        <f t="shared" si="89"/>
        <v>0</v>
      </c>
      <c r="AE27" s="44">
        <f t="shared" si="89"/>
        <v>-319160</v>
      </c>
      <c r="AF27" s="44">
        <f t="shared" si="89"/>
        <v>-319160</v>
      </c>
      <c r="AG27" s="44">
        <f t="shared" si="89"/>
        <v>0</v>
      </c>
      <c r="AH27" s="44">
        <f t="shared" si="89"/>
        <v>0</v>
      </c>
      <c r="AI27" s="44">
        <f t="shared" si="89"/>
        <v>-1786000</v>
      </c>
      <c r="AJ27" s="44">
        <f t="shared" si="89"/>
        <v>-328600</v>
      </c>
      <c r="AK27" s="44">
        <f t="shared" si="89"/>
        <v>0</v>
      </c>
      <c r="AL27" s="44">
        <f t="shared" si="89"/>
        <v>-328720</v>
      </c>
      <c r="AM27" s="44">
        <f t="shared" si="89"/>
        <v>0</v>
      </c>
      <c r="AN27" s="44">
        <f t="shared" si="89"/>
        <v>-163340</v>
      </c>
      <c r="AO27" s="44">
        <f t="shared" si="89"/>
        <v>-484720</v>
      </c>
      <c r="AP27" s="44">
        <f t="shared" si="89"/>
        <v>0</v>
      </c>
      <c r="AQ27" s="44">
        <f t="shared" si="89"/>
        <v>0</v>
      </c>
      <c r="AR27" s="44">
        <f t="shared" si="89"/>
        <v>-320380</v>
      </c>
      <c r="AS27" s="44">
        <f t="shared" si="89"/>
        <v>0</v>
      </c>
      <c r="AT27" s="44">
        <f t="shared" si="89"/>
        <v>-542844</v>
      </c>
      <c r="AU27" s="44">
        <f>SUBTOTAL(9,AU28:AU33)</f>
        <v>0</v>
      </c>
      <c r="AV27" s="44">
        <f t="shared" si="89"/>
        <v>-2168604</v>
      </c>
      <c r="AW27" s="44">
        <f>SUBTOTAL(9,AW28:AW33)</f>
        <v>-444924</v>
      </c>
      <c r="AX27" s="44">
        <f t="shared" ref="AX27:BH27" si="90">SUBTOTAL(9,AX28:AX33)</f>
        <v>-5000000</v>
      </c>
      <c r="AY27" s="44">
        <f t="shared" si="90"/>
        <v>0</v>
      </c>
      <c r="AZ27" s="44">
        <f t="shared" si="90"/>
        <v>-7617386</v>
      </c>
      <c r="BA27" s="44">
        <f t="shared" si="90"/>
        <v>0</v>
      </c>
      <c r="BB27" s="44">
        <f t="shared" si="90"/>
        <v>-222462</v>
      </c>
      <c r="BC27" s="44">
        <f t="shared" si="90"/>
        <v>0</v>
      </c>
      <c r="BD27" s="44">
        <f t="shared" si="90"/>
        <v>-700000</v>
      </c>
      <c r="BE27" s="44">
        <f t="shared" si="90"/>
        <v>0</v>
      </c>
      <c r="BF27" s="44">
        <f t="shared" si="90"/>
        <v>7708545</v>
      </c>
      <c r="BG27" s="44">
        <f t="shared" si="90"/>
        <v>0</v>
      </c>
      <c r="BH27" s="44">
        <f t="shared" si="90"/>
        <v>-1400000</v>
      </c>
      <c r="BI27" s="44">
        <f t="shared" si="89"/>
        <v>-7676227</v>
      </c>
      <c r="BJ27" s="44">
        <f t="shared" ref="BJ27" si="91">SUBTOTAL(9,BJ28:BJ33)</f>
        <v>0</v>
      </c>
      <c r="BK27" s="44">
        <f t="shared" ref="BK27" si="92">SUBTOTAL(9,BK28:BK33)</f>
        <v>0</v>
      </c>
      <c r="BL27" s="44">
        <f t="shared" ref="BL27" si="93">SUBTOTAL(9,BL28:BL33)</f>
        <v>0</v>
      </c>
      <c r="BM27" s="44">
        <f t="shared" ref="BM27" si="94">SUBTOTAL(9,BM28:BM33)</f>
        <v>0</v>
      </c>
      <c r="BN27" s="44">
        <f t="shared" ref="BN27" si="95">SUBTOTAL(9,BN28:BN33)</f>
        <v>0</v>
      </c>
      <c r="BO27" s="44">
        <f t="shared" ref="BO27" si="96">SUBTOTAL(9,BO28:BO33)</f>
        <v>0</v>
      </c>
      <c r="BP27" s="44">
        <f t="shared" ref="BP27" si="97">SUBTOTAL(9,BP28:BP33)</f>
        <v>0</v>
      </c>
      <c r="BQ27" s="44">
        <f t="shared" ref="BQ27" si="98">SUBTOTAL(9,BQ28:BQ33)</f>
        <v>0</v>
      </c>
      <c r="BR27" s="44">
        <f t="shared" ref="BR27" si="99">SUBTOTAL(9,BR28:BR33)</f>
        <v>0</v>
      </c>
      <c r="BS27" s="44">
        <f t="shared" ref="BS27" si="100">SUBTOTAL(9,BS28:BS33)</f>
        <v>0</v>
      </c>
      <c r="BT27" s="44">
        <f t="shared" ref="BT27" si="101">SUBTOTAL(9,BT28:BT33)</f>
        <v>0</v>
      </c>
      <c r="BU27" s="44">
        <f t="shared" ref="BU27:BV27" si="102">SUBTOTAL(9,BU28:BU33)</f>
        <v>0</v>
      </c>
      <c r="BV27" s="44">
        <f t="shared" si="102"/>
        <v>0</v>
      </c>
      <c r="BW27" s="44">
        <f t="shared" si="89"/>
        <v>0</v>
      </c>
    </row>
    <row r="28" spans="1:75" ht="21" outlineLevel="2">
      <c r="A28" s="40" t="s">
        <v>286</v>
      </c>
      <c r="B28" s="20" t="s">
        <v>287</v>
      </c>
      <c r="C28" s="21" t="str">
        <f>+Tabla17[[#This Row],[Cuenta]]&amp;" - "&amp;Tabla17[[#This Row],[Descripcion Cuenta]]</f>
        <v>2.01.01.01 - Legales</v>
      </c>
      <c r="D28" s="41"/>
      <c r="E28" s="43">
        <f>SUBTOTAL(9,E29:E30)</f>
        <v>0</v>
      </c>
      <c r="F28" s="43">
        <f t="shared" ref="F28:BW28" si="103">SUBTOTAL(9,F29:F30)</f>
        <v>0</v>
      </c>
      <c r="G28" s="43">
        <f t="shared" si="103"/>
        <v>-108500</v>
      </c>
      <c r="H28" s="43">
        <f t="shared" si="103"/>
        <v>-113400</v>
      </c>
      <c r="I28" s="43">
        <f>SUM(Tabla17[[#This Row],[sept-21]:[dic-21]])</f>
        <v>-221900</v>
      </c>
      <c r="J28" s="43">
        <f t="shared" si="103"/>
        <v>-121100</v>
      </c>
      <c r="K28" s="43">
        <f t="shared" si="103"/>
        <v>-88200</v>
      </c>
      <c r="L28" s="43">
        <f t="shared" si="103"/>
        <v>-2107800</v>
      </c>
      <c r="M28" s="43">
        <f t="shared" si="103"/>
        <v>-3221600</v>
      </c>
      <c r="N28" s="43">
        <f t="shared" si="103"/>
        <v>-299600</v>
      </c>
      <c r="O28" s="43">
        <f t="shared" si="103"/>
        <v>0</v>
      </c>
      <c r="P28" s="43">
        <f t="shared" si="103"/>
        <v>0</v>
      </c>
      <c r="Q28" s="43">
        <f t="shared" si="103"/>
        <v>-449400</v>
      </c>
      <c r="R28" s="43">
        <f t="shared" si="103"/>
        <v>0</v>
      </c>
      <c r="S28" s="43">
        <f t="shared" si="103"/>
        <v>0</v>
      </c>
      <c r="T28" s="43">
        <f t="shared" si="103"/>
        <v>-449400</v>
      </c>
      <c r="U28" s="43">
        <f t="shared" si="103"/>
        <v>0</v>
      </c>
      <c r="V28" s="43">
        <f t="shared" si="103"/>
        <v>-6737100</v>
      </c>
      <c r="W28" s="43">
        <f t="shared" si="103"/>
        <v>0</v>
      </c>
      <c r="X28" s="43">
        <f t="shared" si="103"/>
        <v>-218440</v>
      </c>
      <c r="Y28" s="43">
        <f t="shared" si="103"/>
        <v>0</v>
      </c>
      <c r="Z28" s="43">
        <f t="shared" si="103"/>
        <v>-448920</v>
      </c>
      <c r="AA28" s="43">
        <f t="shared" si="103"/>
        <v>-161160</v>
      </c>
      <c r="AB28" s="43">
        <f t="shared" si="103"/>
        <v>0</v>
      </c>
      <c r="AC28" s="43">
        <f t="shared" si="103"/>
        <v>-319160</v>
      </c>
      <c r="AD28" s="43">
        <f t="shared" si="103"/>
        <v>0</v>
      </c>
      <c r="AE28" s="43">
        <f t="shared" si="103"/>
        <v>-319160</v>
      </c>
      <c r="AF28" s="43">
        <f t="shared" si="103"/>
        <v>-319160</v>
      </c>
      <c r="AG28" s="43">
        <f t="shared" si="103"/>
        <v>0</v>
      </c>
      <c r="AH28" s="43">
        <f t="shared" si="103"/>
        <v>0</v>
      </c>
      <c r="AI28" s="43">
        <f t="shared" si="103"/>
        <v>-1786000</v>
      </c>
      <c r="AJ28" s="43">
        <f t="shared" si="103"/>
        <v>-328600</v>
      </c>
      <c r="AK28" s="43">
        <f t="shared" si="103"/>
        <v>0</v>
      </c>
      <c r="AL28" s="43">
        <f t="shared" si="103"/>
        <v>-328720</v>
      </c>
      <c r="AM28" s="43">
        <f t="shared" si="103"/>
        <v>0</v>
      </c>
      <c r="AN28" s="43">
        <f t="shared" si="103"/>
        <v>-163340</v>
      </c>
      <c r="AO28" s="43">
        <f t="shared" si="103"/>
        <v>-484720</v>
      </c>
      <c r="AP28" s="43">
        <f t="shared" si="103"/>
        <v>0</v>
      </c>
      <c r="AQ28" s="43">
        <f t="shared" si="103"/>
        <v>0</v>
      </c>
      <c r="AR28" s="43">
        <f t="shared" si="103"/>
        <v>-320380</v>
      </c>
      <c r="AS28" s="43">
        <f t="shared" si="103"/>
        <v>0</v>
      </c>
      <c r="AT28" s="43">
        <f t="shared" si="103"/>
        <v>-542844</v>
      </c>
      <c r="AU28" s="43">
        <f>SUBTOTAL(9,AU29:AU30)</f>
        <v>0</v>
      </c>
      <c r="AV28" s="43">
        <f t="shared" si="103"/>
        <v>-2168604</v>
      </c>
      <c r="AW28" s="43">
        <f t="shared" si="103"/>
        <v>-444924</v>
      </c>
      <c r="AX28" s="43">
        <f t="shared" ref="AX28:BH28" si="104">SUBTOTAL(9,AX29:AX30)</f>
        <v>-5000000</v>
      </c>
      <c r="AY28" s="43">
        <f t="shared" si="104"/>
        <v>0</v>
      </c>
      <c r="AZ28" s="43">
        <f t="shared" si="104"/>
        <v>-7617386</v>
      </c>
      <c r="BA28" s="43">
        <f t="shared" si="104"/>
        <v>0</v>
      </c>
      <c r="BB28" s="43">
        <f t="shared" si="104"/>
        <v>-222462</v>
      </c>
      <c r="BC28" s="43">
        <f t="shared" si="104"/>
        <v>0</v>
      </c>
      <c r="BD28" s="43">
        <f t="shared" si="104"/>
        <v>-700000</v>
      </c>
      <c r="BE28" s="43">
        <f t="shared" si="104"/>
        <v>0</v>
      </c>
      <c r="BF28" s="43">
        <f t="shared" si="104"/>
        <v>-700000</v>
      </c>
      <c r="BG28" s="43">
        <f t="shared" ref="BG28" si="105">SUBTOTAL(9,BG29:BG30)</f>
        <v>0</v>
      </c>
      <c r="BH28" s="43">
        <f t="shared" si="104"/>
        <v>-1400000</v>
      </c>
      <c r="BI28" s="43">
        <f t="shared" si="103"/>
        <v>-16084772</v>
      </c>
      <c r="BJ28" s="43">
        <f t="shared" si="103"/>
        <v>0</v>
      </c>
      <c r="BK28" s="43">
        <f t="shared" si="103"/>
        <v>0</v>
      </c>
      <c r="BL28" s="43">
        <f t="shared" si="103"/>
        <v>0</v>
      </c>
      <c r="BM28" s="43">
        <f t="shared" si="103"/>
        <v>0</v>
      </c>
      <c r="BN28" s="43">
        <f t="shared" si="103"/>
        <v>0</v>
      </c>
      <c r="BO28" s="43">
        <f t="shared" si="103"/>
        <v>0</v>
      </c>
      <c r="BP28" s="43">
        <f t="shared" si="103"/>
        <v>0</v>
      </c>
      <c r="BQ28" s="43">
        <f t="shared" si="103"/>
        <v>0</v>
      </c>
      <c r="BR28" s="43">
        <f t="shared" si="103"/>
        <v>0</v>
      </c>
      <c r="BS28" s="43">
        <f t="shared" si="103"/>
        <v>0</v>
      </c>
      <c r="BT28" s="43">
        <f t="shared" si="103"/>
        <v>0</v>
      </c>
      <c r="BU28" s="43">
        <f t="shared" si="103"/>
        <v>0</v>
      </c>
      <c r="BV28" s="43">
        <f t="shared" ref="BV28" si="106">SUBTOTAL(9,BV29:BV30)</f>
        <v>0</v>
      </c>
      <c r="BW28" s="43">
        <f t="shared" si="103"/>
        <v>0</v>
      </c>
    </row>
    <row r="29" spans="1:75" s="296" customFormat="1" ht="21.6" outlineLevel="6">
      <c r="A29" s="304" t="s">
        <v>288</v>
      </c>
      <c r="B29" s="305" t="s">
        <v>289</v>
      </c>
      <c r="C29" s="306" t="str">
        <f>+Tabla17[[#This Row],[Cuenta]]&amp;" - "&amp;Tabla17[[#This Row],[Descripcion Cuenta]]</f>
        <v>2.01.01.01.1 - Asesoria Legal - Convenio Fijo Mensual</v>
      </c>
      <c r="D29" s="307"/>
      <c r="E29" s="308">
        <f>SUMIFS(Banco[Monto],Banco[CtaCtbl],$C29,Banco[Periodo Contable],TEXT(E$3,"mmm-yyyy"))</f>
        <v>0</v>
      </c>
      <c r="F29" s="309">
        <f>SUMIFS(Banco[Monto],Banco[CtaCtbl],$C29,Banco[Periodo Contable],TEXT(F$3,"mmm-yyyy"))</f>
        <v>0</v>
      </c>
      <c r="G29" s="308">
        <f>SUMIFS(Banco[Monto],Banco[CtaCtbl],$C29,Banco[Periodo Contable],TEXT(G$3,"mmm-yyyy"))</f>
        <v>-108500</v>
      </c>
      <c r="H29" s="308">
        <f>SUMIFS(Banco[Monto],Banco[CtaCtbl],$C29,Banco[Periodo Contable],TEXT(H$3,"mmm-yyyy"))</f>
        <v>-113400</v>
      </c>
      <c r="I29" s="308">
        <f>SUM(Tabla17[[#This Row],[sept-21]:[dic-21]])</f>
        <v>-221900</v>
      </c>
      <c r="J29" s="308">
        <f>SUMIFS(Banco[Monto],Banco[CtaCtbl],$C29,Banco[Periodo Contable],TEXT(J$3,"mmm-yyyy"))</f>
        <v>-121100</v>
      </c>
      <c r="K29" s="308">
        <f>SUMIFS(Banco[Monto],Banco[CtaCtbl],$C29,Banco[Periodo Contable],TEXT(K$3,"mmm-yyyy"))</f>
        <v>-88200</v>
      </c>
      <c r="L29" s="308">
        <f>SUMIFS(Banco[Monto],Banco[CtaCtbl],$C29,Banco[Periodo Contable],TEXT(L$3,"mmm-yyyy"))</f>
        <v>-107800</v>
      </c>
      <c r="M29" s="308">
        <f>SUMIFS(Banco[Monto],Banco[CtaCtbl],$C29,Banco[Periodo Contable],TEXT(M$3,"mmm-yyyy"))</f>
        <v>-149800</v>
      </c>
      <c r="N29" s="308">
        <f>SUMIFS(Banco[Monto],Banco[CtaCtbl],$C29,Banco[Periodo Contable],TEXT(N$3,"mmm-yyyy"))</f>
        <v>-299600</v>
      </c>
      <c r="O29" s="308">
        <f>SUMIFS(Banco[Monto],Banco[CtaCtbl],$C29,Banco[Periodo Contable],TEXT(O$3,"mmm-yyyy"))</f>
        <v>0</v>
      </c>
      <c r="P29" s="308">
        <f>SUMIFS(Banco[Monto],Banco[CtaCtbl],$C29,Banco[Periodo Contable],TEXT(P$3,"mmm-yyyy"))</f>
        <v>0</v>
      </c>
      <c r="Q29" s="308">
        <f>SUMIFS(Banco[Monto],Banco[CtaCtbl],$C29,Banco[Periodo Contable],TEXT(Q$3,"mmm-yyyy"))</f>
        <v>-449400</v>
      </c>
      <c r="R29" s="308">
        <f>SUMIFS(Banco[Monto],Banco[CtaCtbl],$C29,Banco[Periodo Contable],TEXT(R$3,"mmm-yyyy"))</f>
        <v>0</v>
      </c>
      <c r="S29" s="308">
        <f>SUMIFS(Banco[Monto],Banco[CtaCtbl],$C29,Banco[Periodo Contable],TEXT(S$3,"mmm-yyyy"))</f>
        <v>0</v>
      </c>
      <c r="T29" s="308">
        <f>SUMIFS(Banco[Monto],Banco[CtaCtbl],$C29,Banco[Periodo Contable],TEXT(T$3,"mmm-yyyy"))</f>
        <v>-449400</v>
      </c>
      <c r="U29" s="308">
        <f>SUMIFS(Banco[Monto],Banco[CtaCtbl],$C29,Banco[Periodo Contable],TEXT(U$3,"mmm-yyyy"))</f>
        <v>0</v>
      </c>
      <c r="V29" s="310">
        <f>SUM(Tabla17[[#This Row],[ene-22]:[dic-22]])</f>
        <v>-1665300</v>
      </c>
      <c r="W29" s="308">
        <f>SUMIFS(Banco[Monto],Banco[CtaCtbl],$C29,Banco[Periodo Contable],TEXT(W$3,"mmm-yyyy"))</f>
        <v>0</v>
      </c>
      <c r="X29" s="308">
        <f>SUMIFS(Banco[Monto],Banco[CtaCtbl],$C29,Banco[Periodo Contable],TEXT(X$3,"mmm-yyyy"))</f>
        <v>-218440</v>
      </c>
      <c r="Y29" s="308">
        <f>SUMIFS(Banco[Monto],Banco[CtaCtbl],$C29,Banco[Periodo Contable],TEXT(Y$3,"mmm-yyyy"))</f>
        <v>0</v>
      </c>
      <c r="Z29" s="308">
        <f>SUMIFS(Banco[Monto],Banco[CtaCtbl],$C29,Banco[Periodo Contable],TEXT(Z$3,"mmm-yyyy"))</f>
        <v>-448920</v>
      </c>
      <c r="AA29" s="308">
        <f>SUMIFS(Banco[Monto],Banco[CtaCtbl],$C29,Banco[Periodo Contable],TEXT(AA$3,"mmm-yyyy"))</f>
        <v>-161160</v>
      </c>
      <c r="AB29" s="308">
        <f>SUMIFS(Banco[Monto],Banco[CtaCtbl],$C29,Banco[Periodo Contable],TEXT(AB$3,"mmm-yyyy"))</f>
        <v>0</v>
      </c>
      <c r="AC29" s="308">
        <f>SUMIFS(Banco[Monto],Banco[CtaCtbl],$C29,Banco[Periodo Contable],TEXT(AC$3,"mmm-yyyy"))</f>
        <v>-319160</v>
      </c>
      <c r="AD29" s="308">
        <f>SUMIFS(Banco[Monto],Banco[CtaCtbl],$C29,Banco[Periodo Contable],TEXT(AD$3,"mmm-yyyy"))</f>
        <v>0</v>
      </c>
      <c r="AE29" s="308">
        <f>SUMIFS(Banco[Monto],Banco[CtaCtbl],$C29,Banco[Periodo Contable],TEXT(AE$3,"mmm-yyyy"))</f>
        <v>-319160</v>
      </c>
      <c r="AF29" s="308">
        <f>SUMIFS(Banco[Monto],Banco[CtaCtbl],$C29,Banco[Periodo Contable],TEXT(AF$3,"mmm-yyyy"))</f>
        <v>-319160</v>
      </c>
      <c r="AG29" s="308">
        <f>SUMIFS(Banco[Monto],Banco[CtaCtbl],$C29,Banco[Periodo Contable],TEXT(AG$3,"mmm-yyyy"))</f>
        <v>0</v>
      </c>
      <c r="AH29" s="308">
        <f>SUMIFS(Banco[Monto],Banco[CtaCtbl],$C29,Banco[Periodo Contable],TEXT(AH$3,"mmm-yyyy"))</f>
        <v>0</v>
      </c>
      <c r="AI29" s="310">
        <f>SUM(Tabla17[[#This Row],[ene-23]:[dic-23]])</f>
        <v>-1786000</v>
      </c>
      <c r="AJ29" s="308">
        <f>SUMIFS(Banco[Monto],Banco[CtaCtbl],$C29,Banco[Periodo Contable],TEXT(AJ$3,"mmm-yyyy"))</f>
        <v>-328600</v>
      </c>
      <c r="AK29" s="308">
        <f>SUMIFS(Banco[Monto],Banco[CtaCtbl],$C29,Banco[Periodo Contable],TEXT(AK$3,"mmm-yyyy"))</f>
        <v>0</v>
      </c>
      <c r="AL29" s="308">
        <f>SUMIFS(Banco[Monto],Banco[CtaCtbl],$C29,Banco[Periodo Contable],TEXT(AL$3,"mmm-yyyy"))</f>
        <v>-328720</v>
      </c>
      <c r="AM29" s="308">
        <f>SUMIFS(Banco[Monto],Banco[CtaCtbl],$C29,Banco[Periodo Contable],TEXT(AM$3,"mmm-yyyy"))</f>
        <v>0</v>
      </c>
      <c r="AN29" s="308">
        <f>SUMIFS(Banco[Monto],Banco[CtaCtbl],$C29,Banco[Periodo Contable],TEXT(AN$3,"mmm-yyyy"))</f>
        <v>-163340</v>
      </c>
      <c r="AO29" s="308">
        <f>SUMIFS(Banco[Monto],Banco[CtaCtbl],$C29,Banco[Periodo Contable],TEXT(AO$3,"mmm-yyyy"))</f>
        <v>-484720</v>
      </c>
      <c r="AP29" s="308">
        <f>SUMIFS(Banco[Monto],Banco[CtaCtbl],$C29,Banco[Periodo Contable],TEXT(AP$3,"mmm-yyyy"))</f>
        <v>0</v>
      </c>
      <c r="AQ29" s="308">
        <f>SUMIFS(Banco[Monto],Banco[CtaCtbl],$C29,Banco[Periodo Contable],TEXT(AQ$3,"mmm-yyyy"))</f>
        <v>0</v>
      </c>
      <c r="AR29" s="308">
        <f>SUMIFS(Banco[Monto],Banco[CtaCtbl],$C29,Banco[Periodo Contable],TEXT(AR$3,"mmm-yyyy"))</f>
        <v>-320380</v>
      </c>
      <c r="AS29" s="308">
        <f>SUMIFS(Banco[Monto],Banco[CtaCtbl],$C29,Banco[Periodo Contable],TEXT(AS$3,"mmm-yyyy"))</f>
        <v>0</v>
      </c>
      <c r="AT29" s="308">
        <f>SUMIFS(Banco[Monto],Banco[CtaCtbl],$C29,Banco[Periodo Contable],TEXT(AT$3,"mmm-yyyy"))</f>
        <v>-542844</v>
      </c>
      <c r="AU29" s="308">
        <f>SUMIFS(Banco[Monto],Banco[CtaCtbl],$C29,Banco[Periodo Contable],TEXT(AU$3,"mmm-yyyy"))</f>
        <v>0</v>
      </c>
      <c r="AV29" s="310">
        <f>SUM(Tabla17[[#This Row],[ene-24]:[dic-24]])</f>
        <v>-2168604</v>
      </c>
      <c r="AW29" s="308">
        <f>SUMIFS(Banco[Monto],Banco[CtaCtbl],$C29,Banco[Periodo Contable],TEXT(AW$3,"mmm-yyyy"))</f>
        <v>-444924</v>
      </c>
      <c r="AX29" s="308">
        <f>SUMIFS(Banco[Monto],Banco[CtaCtbl],$C29,Banco[Periodo Contable],TEXT(AX$3,"mmm-yyyy"))</f>
        <v>0</v>
      </c>
      <c r="AY29" s="308">
        <f>SUMIFS(Banco[Monto],Banco[CtaCtbl],$C29,Banco[Periodo Contable],TEXT(AY$3,"mmm-yyyy"))</f>
        <v>0</v>
      </c>
      <c r="AZ29" s="308">
        <f>SUMIFS(Banco[Monto],Banco[CtaCtbl],$C29,Banco[Periodo Contable],TEXT(AZ$3,"mmm-yyyy"))</f>
        <v>-667386</v>
      </c>
      <c r="BA29" s="308">
        <f>SUMIFS(Banco[Monto],Banco[CtaCtbl],$C29,Banco[Periodo Contable],TEXT(BA$3,"mmm-yyyy"))</f>
        <v>0</v>
      </c>
      <c r="BB29" s="308">
        <f>SUMIFS(Banco[Monto],Banco[CtaCtbl],$C29,Banco[Periodo Contable],TEXT(BB$3,"mmm-yyyy"))</f>
        <v>-222462</v>
      </c>
      <c r="BC29" s="308">
        <f>SUMIFS(Banco[Monto],Banco[CtaCtbl],$C29,Banco[Periodo Contable],TEXT(BC$3,"mmm-yyyy"))</f>
        <v>0</v>
      </c>
      <c r="BD29" s="308">
        <f>SUMIFS(Banco[Monto],Banco[CtaCtbl],$C29,Banco[Periodo Contable],TEXT(BD$3,"mmm-yyyy"))</f>
        <v>-700000</v>
      </c>
      <c r="BE29" s="308">
        <f>SUMIFS(Banco[Monto],Banco[CtaCtbl],$C29,Banco[Periodo Contable],TEXT(BE$3,"mmm-yyyy"))</f>
        <v>0</v>
      </c>
      <c r="BF29" s="308">
        <f>SUMIFS(Banco[Monto],Banco[CtaCtbl],$C29,Banco[Periodo Contable],TEXT(BF$3,"mmm-yyyy"))</f>
        <v>-700000</v>
      </c>
      <c r="BG29" s="308">
        <f>SUMIFS(Banco[Monto],Banco[CtaCtbl],$C29,Banco[Periodo Contable],TEXT(BG$3,"mmm-yyyy"))</f>
        <v>0</v>
      </c>
      <c r="BH29" s="308">
        <f>SUMIFS(Banco[Monto],Banco[CtaCtbl],$C29,Banco[Periodo Contable],TEXT(BH$3,"mmm-yyyy"))</f>
        <v>-1400000</v>
      </c>
      <c r="BI29" s="232">
        <f>SUM(Tabla17[[#This Row],[ene-25]:[dic-25]])</f>
        <v>-4134772</v>
      </c>
      <c r="BJ29" s="308">
        <f>SUMIFS(Banco[Monto],Banco[CtaCtbl],$C29,Banco[Periodo Contable],TEXT(BJ$3,"mmm-yyyy"))</f>
        <v>0</v>
      </c>
      <c r="BK29" s="308">
        <f>SUMIFS(Banco[Monto],Banco[CtaCtbl],$C29,Banco[Periodo Contable],TEXT(BK$3,"mmm-yyyy"))</f>
        <v>0</v>
      </c>
      <c r="BL29" s="308">
        <f>SUMIFS(Banco[Monto],Banco[CtaCtbl],$C29,Banco[Periodo Contable],TEXT(BL$3,"mmm-yyyy"))</f>
        <v>0</v>
      </c>
      <c r="BM29" s="308">
        <f>SUMIFS(Banco[Monto],Banco[CtaCtbl],$C29,Banco[Periodo Contable],TEXT(BM$3,"mmm-yyyy"))</f>
        <v>0</v>
      </c>
      <c r="BN29" s="308">
        <f>SUMIFS(Banco[Monto],Banco[CtaCtbl],$C29,Banco[Periodo Contable],TEXT(BN$3,"mmm-yyyy"))</f>
        <v>0</v>
      </c>
      <c r="BO29" s="308">
        <f>SUMIFS(Banco[Monto],Banco[CtaCtbl],$C29,Banco[Periodo Contable],TEXT(BO$3,"mmm-yyyy"))</f>
        <v>0</v>
      </c>
      <c r="BP29" s="308">
        <f>SUMIFS(Banco[Monto],Banco[CtaCtbl],$C29,Banco[Periodo Contable],TEXT(BP$3,"mmm-yyyy"))</f>
        <v>0</v>
      </c>
      <c r="BQ29" s="308">
        <f>SUMIFS(Banco[Monto],Banco[CtaCtbl],$C29,Banco[Periodo Contable],TEXT(BQ$3,"mmm-yyyy"))</f>
        <v>0</v>
      </c>
      <c r="BR29" s="308">
        <f>SUMIFS(Banco[Monto],Banco[CtaCtbl],$C29,Banco[Periodo Contable],TEXT(BR$3,"mmm-yyyy"))</f>
        <v>0</v>
      </c>
      <c r="BS29" s="308">
        <f>SUMIFS(Banco[Monto],Banco[CtaCtbl],$C29,Banco[Periodo Contable],TEXT(BS$3,"mmm-yyyy"))</f>
        <v>0</v>
      </c>
      <c r="BT29" s="308">
        <f>SUMIFS(Banco[Monto],Banco[CtaCtbl],$C29,Banco[Periodo Contable],TEXT(BT$3,"mmm-yyyy"))</f>
        <v>0</v>
      </c>
      <c r="BU29" s="308">
        <f>SUMIFS(Banco[Monto],Banco[CtaCtbl],$C29,Banco[Periodo Contable],TEXT(BU$3,"mmm-yyyy"))</f>
        <v>0</v>
      </c>
      <c r="BV29" s="232">
        <f>SUM(Tabla17[[#This Row],[ene-26]:[dic-26]])</f>
        <v>0</v>
      </c>
      <c r="BW29" s="308">
        <f>SUMIFS(Banco[Monto],Banco[CtaCtbl],$C29,Banco[Periodo Contable],TEXT(BW$3,"mmm-yyyy"))</f>
        <v>0</v>
      </c>
    </row>
    <row r="30" spans="1:75" s="296" customFormat="1" ht="21.6" outlineLevel="6">
      <c r="A30" s="304" t="s">
        <v>290</v>
      </c>
      <c r="B30" s="305" t="s">
        <v>291</v>
      </c>
      <c r="C30" s="306" t="str">
        <f>+Tabla17[[#This Row],[Cuenta]]&amp;" - "&amp;Tabla17[[#This Row],[Descripcion Cuenta]]</f>
        <v>2.01.01.01.2 - Asesoria Legal - Proyectos Negociacion</v>
      </c>
      <c r="D30" s="307"/>
      <c r="E30" s="308">
        <f>SUMIFS(Banco[Monto],Banco[CtaCtbl],$C30,Banco[Periodo Contable],TEXT(E$3,"mmm-yyyy"))</f>
        <v>0</v>
      </c>
      <c r="F30" s="309">
        <f>SUMIFS(Banco[Monto],Banco[CtaCtbl],$C30,Banco[Periodo Contable],TEXT(F$3,"mmm-yyyy"))</f>
        <v>0</v>
      </c>
      <c r="G30" s="308">
        <f>SUMIFS(Banco[Monto],Banco[CtaCtbl],$C30,Banco[Periodo Contable],TEXT(G$3,"mmm-yyyy"))</f>
        <v>0</v>
      </c>
      <c r="H30" s="308">
        <f>SUMIFS(Banco[Monto],Banco[CtaCtbl],$C30,Banco[Periodo Contable],TEXT(H$3,"mmm-yyyy"))</f>
        <v>0</v>
      </c>
      <c r="I30" s="308">
        <f>SUM(Tabla17[[#This Row],[sept-21]:[dic-21]])</f>
        <v>0</v>
      </c>
      <c r="J30" s="308">
        <f>SUMIFS(Banco[Monto],Banco[CtaCtbl],$C30,Banco[Periodo Contable],TEXT(J$3,"mmm-yyyy"))</f>
        <v>0</v>
      </c>
      <c r="K30" s="308">
        <f>SUMIFS(Banco[Monto],Banco[CtaCtbl],$C30,Banco[Periodo Contable],TEXT(K$3,"mmm-yyyy"))</f>
        <v>0</v>
      </c>
      <c r="L30" s="308">
        <f>SUMIFS(Banco[Monto],Banco[CtaCtbl],$C30,Banco[Periodo Contable],TEXT(L$3,"mmm-yyyy"))</f>
        <v>-2000000</v>
      </c>
      <c r="M30" s="308">
        <f>SUMIFS(Banco[Monto],Banco[CtaCtbl],$C30,Banco[Periodo Contable],TEXT(M$3,"mmm-yyyy"))</f>
        <v>-3071800</v>
      </c>
      <c r="N30" s="308">
        <f>SUMIFS(Banco[Monto],Banco[CtaCtbl],$C30,Banco[Periodo Contable],TEXT(N$3,"mmm-yyyy"))</f>
        <v>0</v>
      </c>
      <c r="O30" s="308">
        <f>SUMIFS(Banco[Monto],Banco[CtaCtbl],$C30,Banco[Periodo Contable],TEXT(O$3,"mmm-yyyy"))</f>
        <v>0</v>
      </c>
      <c r="P30" s="308">
        <f>SUMIFS(Banco[Monto],Banco[CtaCtbl],$C30,Banco[Periodo Contable],TEXT(P$3,"mmm-yyyy"))</f>
        <v>0</v>
      </c>
      <c r="Q30" s="308">
        <f>SUMIFS(Banco[Monto],Banco[CtaCtbl],$C30,Banco[Periodo Contable],TEXT(Q$3,"mmm-yyyy"))</f>
        <v>0</v>
      </c>
      <c r="R30" s="308">
        <f>SUMIFS(Banco[Monto],Banco[CtaCtbl],$C30,Banco[Periodo Contable],TEXT(R$3,"mmm-yyyy"))</f>
        <v>0</v>
      </c>
      <c r="S30" s="308">
        <f>SUMIFS(Banco[Monto],Banco[CtaCtbl],$C30,Banco[Periodo Contable],TEXT(S$3,"mmm-yyyy"))</f>
        <v>0</v>
      </c>
      <c r="T30" s="308">
        <f>SUMIFS(Banco[Monto],Banco[CtaCtbl],$C30,Banco[Periodo Contable],TEXT(T$3,"mmm-yyyy"))</f>
        <v>0</v>
      </c>
      <c r="U30" s="308">
        <f>SUMIFS(Banco[Monto],Banco[CtaCtbl],$C30,Banco[Periodo Contable],TEXT(U$3,"mmm-yyyy"))</f>
        <v>0</v>
      </c>
      <c r="V30" s="310">
        <f>SUM(Tabla17[[#This Row],[ene-22]:[dic-22]])</f>
        <v>-5071800</v>
      </c>
      <c r="W30" s="308">
        <f>SUMIFS(Banco[Monto],Banco[CtaCtbl],$C30,Banco[Periodo Contable],TEXT(W$3,"mmm-yyyy"))</f>
        <v>0</v>
      </c>
      <c r="X30" s="308">
        <f>SUMIFS(Banco[Monto],Banco[CtaCtbl],$C30,Banco[Periodo Contable],TEXT(X$3,"mmm-yyyy"))</f>
        <v>0</v>
      </c>
      <c r="Y30" s="308">
        <f>SUMIFS(Banco[Monto],Banco[CtaCtbl],$C30,Banco[Periodo Contable],TEXT(Y$3,"mmm-yyyy"))</f>
        <v>0</v>
      </c>
      <c r="Z30" s="308">
        <f>SUMIFS(Banco[Monto],Banco[CtaCtbl],$C30,Banco[Periodo Contable],TEXT(Z$3,"mmm-yyyy"))</f>
        <v>0</v>
      </c>
      <c r="AA30" s="308">
        <f>SUMIFS(Banco[Monto],Banco[CtaCtbl],$C30,Banco[Periodo Contable],TEXT(AA$3,"mmm-yyyy"))</f>
        <v>0</v>
      </c>
      <c r="AB30" s="308">
        <f>SUMIFS(Banco[Monto],Banco[CtaCtbl],$C30,Banco[Periodo Contable],TEXT(AB$3,"mmm-yyyy"))</f>
        <v>0</v>
      </c>
      <c r="AC30" s="308">
        <f>SUMIFS(Banco[Monto],Banco[CtaCtbl],$C30,Banco[Periodo Contable],TEXT(AC$3,"mmm-yyyy"))</f>
        <v>0</v>
      </c>
      <c r="AD30" s="308">
        <f>SUMIFS(Banco[Monto],Banco[CtaCtbl],$C30,Banco[Periodo Contable],TEXT(AD$3,"mmm-yyyy"))</f>
        <v>0</v>
      </c>
      <c r="AE30" s="308">
        <f>SUMIFS(Banco[Monto],Banco[CtaCtbl],$C30,Banco[Periodo Contable],TEXT(AE$3,"mmm-yyyy"))</f>
        <v>0</v>
      </c>
      <c r="AF30" s="308">
        <f>SUMIFS(Banco[Monto],Banco[CtaCtbl],$C30,Banco[Periodo Contable],TEXT(AF$3,"mmm-yyyy"))</f>
        <v>0</v>
      </c>
      <c r="AG30" s="308">
        <f>SUMIFS(Banco[Monto],Banco[CtaCtbl],$C30,Banco[Periodo Contable],TEXT(AG$3,"mmm-yyyy"))</f>
        <v>0</v>
      </c>
      <c r="AH30" s="308">
        <f>SUMIFS(Banco[Monto],Banco[CtaCtbl],$C30,Banco[Periodo Contable],TEXT(AH$3,"mmm-yyyy"))</f>
        <v>0</v>
      </c>
      <c r="AI30" s="310">
        <f>SUM(Tabla17[[#This Row],[ene-23]:[dic-23]])</f>
        <v>0</v>
      </c>
      <c r="AJ30" s="308">
        <f>SUMIFS(Banco[Monto],Banco[CtaCtbl],$C30,Banco[Periodo Contable],TEXT(AJ$3,"mmm-yyyy"))</f>
        <v>0</v>
      </c>
      <c r="AK30" s="308">
        <f>SUMIFS(Banco[Monto],Banco[CtaCtbl],$C30,Banco[Periodo Contable],TEXT(AK$3,"mmm-yyyy"))</f>
        <v>0</v>
      </c>
      <c r="AL30" s="308">
        <f>SUMIFS(Banco[Monto],Banco[CtaCtbl],$C30,Banco[Periodo Contable],TEXT(AL$3,"mmm-yyyy"))</f>
        <v>0</v>
      </c>
      <c r="AM30" s="308">
        <f>SUMIFS(Banco[Monto],Banco[CtaCtbl],$C30,Banco[Periodo Contable],TEXT(AM$3,"mmm-yyyy"))</f>
        <v>0</v>
      </c>
      <c r="AN30" s="308">
        <f>SUMIFS(Banco[Monto],Banco[CtaCtbl],$C30,Banco[Periodo Contable],TEXT(AN$3,"mmm-yyyy"))</f>
        <v>0</v>
      </c>
      <c r="AO30" s="308">
        <f>SUMIFS(Banco[Monto],Banco[CtaCtbl],$C30,Banco[Periodo Contable],TEXT(AO$3,"mmm-yyyy"))</f>
        <v>0</v>
      </c>
      <c r="AP30" s="308">
        <f>SUMIFS(Banco[Monto],Banco[CtaCtbl],$C30,Banco[Periodo Contable],TEXT(AP$3,"mmm-yyyy"))</f>
        <v>0</v>
      </c>
      <c r="AQ30" s="308">
        <f>SUMIFS(Banco[Monto],Banco[CtaCtbl],$C30,Banco[Periodo Contable],TEXT(AQ$3,"mmm-yyyy"))</f>
        <v>0</v>
      </c>
      <c r="AR30" s="308">
        <f>SUMIFS(Banco[Monto],Banco[CtaCtbl],$C30,Banco[Periodo Contable],TEXT(AR$3,"mmm-yyyy"))</f>
        <v>0</v>
      </c>
      <c r="AS30" s="308">
        <f>SUMIFS(Banco[Monto],Banco[CtaCtbl],$C30,Banco[Periodo Contable],TEXT(AS$3,"mmm-yyyy"))</f>
        <v>0</v>
      </c>
      <c r="AT30" s="308">
        <f>SUMIFS(Banco[Monto],Banco[CtaCtbl],$C30,Banco[Periodo Contable],TEXT(AT$3,"mmm-yyyy"))</f>
        <v>0</v>
      </c>
      <c r="AU30" s="308">
        <f>SUMIFS(Banco[Monto],Banco[CtaCtbl],$C30,Banco[Periodo Contable],TEXT(AU$3,"mmm-yyyy"))</f>
        <v>0</v>
      </c>
      <c r="AV30" s="310">
        <f>SUM(Tabla17[[#This Row],[ene-24]:[dic-24]])</f>
        <v>0</v>
      </c>
      <c r="AW30" s="308">
        <f>SUMIFS(Banco[Monto],Banco[CtaCtbl],$C30,Banco[Periodo Contable],TEXT(AW$3,"mmm-yyyy"))</f>
        <v>0</v>
      </c>
      <c r="AX30" s="308">
        <f>SUMIFS(Banco[Monto],Banco[CtaCtbl],$C30,Banco[Periodo Contable],TEXT(AX$3,"mmm-yyyy"))</f>
        <v>-5000000</v>
      </c>
      <c r="AY30" s="308">
        <f>SUMIFS(Banco[Monto],Banco[CtaCtbl],$C30,Banco[Periodo Contable],TEXT(AY$3,"mmm-yyyy"))</f>
        <v>0</v>
      </c>
      <c r="AZ30" s="308">
        <f>SUMIFS(Banco[Monto],Banco[CtaCtbl],$C30,Banco[Periodo Contable],TEXT(AZ$3,"mmm-yyyy"))</f>
        <v>-6950000</v>
      </c>
      <c r="BA30" s="308">
        <f>SUMIFS(Banco[Monto],Banco[CtaCtbl],$C30,Banco[Periodo Contable],TEXT(BA$3,"mmm-yyyy"))</f>
        <v>0</v>
      </c>
      <c r="BB30" s="308">
        <f>SUMIFS(Banco[Monto],Banco[CtaCtbl],$C30,Banco[Periodo Contable],TEXT(BB$3,"mmm-yyyy"))</f>
        <v>0</v>
      </c>
      <c r="BC30" s="308">
        <f>SUMIFS(Banco[Monto],Banco[CtaCtbl],$C30,Banco[Periodo Contable],TEXT(BC$3,"mmm-yyyy"))</f>
        <v>0</v>
      </c>
      <c r="BD30" s="308">
        <f>SUMIFS(Banco[Monto],Banco[CtaCtbl],$C30,Banco[Periodo Contable],TEXT(BD$3,"mmm-yyyy"))</f>
        <v>0</v>
      </c>
      <c r="BE30" s="308">
        <f>SUMIFS(Banco[Monto],Banco[CtaCtbl],$C30,Banco[Periodo Contable],TEXT(BE$3,"mmm-yyyy"))</f>
        <v>0</v>
      </c>
      <c r="BF30" s="308">
        <f>SUMIFS(Banco[Monto],Banco[CtaCtbl],$C30,Banco[Periodo Contable],TEXT(BF$3,"mmm-yyyy"))</f>
        <v>0</v>
      </c>
      <c r="BG30" s="308">
        <f>SUMIFS(Banco[Monto],Banco[CtaCtbl],$C30,Banco[Periodo Contable],TEXT(BG$3,"mmm-yyyy"))</f>
        <v>0</v>
      </c>
      <c r="BH30" s="308">
        <f>SUMIFS(Banco[Monto],Banco[CtaCtbl],$C30,Banco[Periodo Contable],TEXT(BH$3,"mmm-yyyy"))</f>
        <v>0</v>
      </c>
      <c r="BI30" s="232">
        <f>SUM(Tabla17[[#This Row],[ene-25]:[dic-25]])</f>
        <v>-11950000</v>
      </c>
      <c r="BJ30" s="308">
        <f>SUMIFS(Banco[Monto],Banco[CtaCtbl],$C30,Banco[Periodo Contable],TEXT(BJ$3,"mmm-yyyy"))</f>
        <v>0</v>
      </c>
      <c r="BK30" s="308">
        <f>SUMIFS(Banco[Monto],Banco[CtaCtbl],$C30,Banco[Periodo Contable],TEXT(BK$3,"mmm-yyyy"))</f>
        <v>0</v>
      </c>
      <c r="BL30" s="308">
        <f>SUMIFS(Banco[Monto],Banco[CtaCtbl],$C30,Banco[Periodo Contable],TEXT(BL$3,"mmm-yyyy"))</f>
        <v>0</v>
      </c>
      <c r="BM30" s="308">
        <f>SUMIFS(Banco[Monto],Banco[CtaCtbl],$C30,Banco[Periodo Contable],TEXT(BM$3,"mmm-yyyy"))</f>
        <v>0</v>
      </c>
      <c r="BN30" s="308">
        <f>SUMIFS(Banco[Monto],Banco[CtaCtbl],$C30,Banco[Periodo Contable],TEXT(BN$3,"mmm-yyyy"))</f>
        <v>0</v>
      </c>
      <c r="BO30" s="308">
        <f>SUMIFS(Banco[Monto],Banco[CtaCtbl],$C30,Banco[Periodo Contable],TEXT(BO$3,"mmm-yyyy"))</f>
        <v>0</v>
      </c>
      <c r="BP30" s="308">
        <f>SUMIFS(Banco[Monto],Banco[CtaCtbl],$C30,Banco[Periodo Contable],TEXT(BP$3,"mmm-yyyy"))</f>
        <v>0</v>
      </c>
      <c r="BQ30" s="308">
        <f>SUMIFS(Banco[Monto],Banco[CtaCtbl],$C30,Banco[Periodo Contable],TEXT(BQ$3,"mmm-yyyy"))</f>
        <v>0</v>
      </c>
      <c r="BR30" s="308">
        <f>SUMIFS(Banco[Monto],Banco[CtaCtbl],$C30,Banco[Periodo Contable],TEXT(BR$3,"mmm-yyyy"))</f>
        <v>0</v>
      </c>
      <c r="BS30" s="308">
        <f>SUMIFS(Banco[Monto],Banco[CtaCtbl],$C30,Banco[Periodo Contable],TEXT(BS$3,"mmm-yyyy"))</f>
        <v>0</v>
      </c>
      <c r="BT30" s="308">
        <f>SUMIFS(Banco[Monto],Banco[CtaCtbl],$C30,Banco[Periodo Contable],TEXT(BT$3,"mmm-yyyy"))</f>
        <v>0</v>
      </c>
      <c r="BU30" s="308">
        <f>SUMIFS(Banco[Monto],Banco[CtaCtbl],$C30,Banco[Periodo Contable],TEXT(BU$3,"mmm-yyyy"))</f>
        <v>0</v>
      </c>
      <c r="BV30" s="232">
        <f>SUM(Tabla17[[#This Row],[ene-26]:[dic-26]])</f>
        <v>0</v>
      </c>
      <c r="BW30" s="308">
        <f>SUMIFS(Banco[Monto],Banco[CtaCtbl],$C30,Banco[Periodo Contable],TEXT(BW$3,"mmm-yyyy"))</f>
        <v>0</v>
      </c>
    </row>
    <row r="31" spans="1:75" ht="21.6" outlineLevel="3">
      <c r="A31" s="36" t="s">
        <v>292</v>
      </c>
      <c r="B31" s="23" t="s">
        <v>293</v>
      </c>
      <c r="C31" s="22" t="str">
        <f>+Tabla17[[#This Row],[Cuenta]]&amp;" - "&amp;Tabla17[[#This Row],[Descripcion Cuenta]]</f>
        <v>2.01.01.02 - Contables</v>
      </c>
      <c r="D31" s="37"/>
      <c r="E31" s="49">
        <f>SUMIFS(Banco[Monto],Banco[CtaCtbl],$C31,Banco[Periodo Contable],TEXT(E$3,"mmm-yyyy"))</f>
        <v>0</v>
      </c>
      <c r="F31" s="216">
        <f>SUMIFS(Banco[Monto],Banco[CtaCtbl],$C31,Banco[Periodo Contable],TEXT(F$3,"mmm-yyyy"))</f>
        <v>0</v>
      </c>
      <c r="G31" s="49">
        <f>SUMIFS(Banco[Monto],Banco[CtaCtbl],$C31,Banco[Periodo Contable],TEXT(G$3,"mmm-yyyy"))</f>
        <v>0</v>
      </c>
      <c r="H31" s="49">
        <f>SUMIFS(Banco[Monto],Banco[CtaCtbl],$C31,Banco[Periodo Contable],TEXT(H$3,"mmm-yyyy"))</f>
        <v>0</v>
      </c>
      <c r="I31" s="49">
        <f>SUM(Tabla17[[#This Row],[sept-21]:[dic-21]])</f>
        <v>0</v>
      </c>
      <c r="J31" s="49">
        <f>SUMIFS(Banco[Monto],Banco[CtaCtbl],$C31,Banco[Periodo Contable],TEXT(J$3,"mmm-yyyy"))</f>
        <v>0</v>
      </c>
      <c r="K31" s="49">
        <f>SUMIFS(Banco[Monto],Banco[CtaCtbl],$C31,Banco[Periodo Contable],TEXT(K$3,"mmm-yyyy"))</f>
        <v>0</v>
      </c>
      <c r="L31" s="49">
        <f>SUMIFS(Banco[Monto],Banco[CtaCtbl],$C31,Banco[Periodo Contable],TEXT(L$3,"mmm-yyyy"))</f>
        <v>0</v>
      </c>
      <c r="M31" s="49">
        <f>SUMIFS(Banco[Monto],Banco[CtaCtbl],$C31,Banco[Periodo Contable],TEXT(M$3,"mmm-yyyy"))</f>
        <v>0</v>
      </c>
      <c r="N31" s="49">
        <f>SUMIFS(Banco[Monto],Banco[CtaCtbl],$C31,Banco[Periodo Contable],TEXT(N$3,"mmm-yyyy"))</f>
        <v>0</v>
      </c>
      <c r="O31" s="49">
        <f>SUMIFS(Banco[Monto],Banco[CtaCtbl],$C31,Banco[Periodo Contable],TEXT(O$3,"mmm-yyyy"))</f>
        <v>0</v>
      </c>
      <c r="P31" s="49">
        <f>SUMIFS(Banco[Monto],Banco[CtaCtbl],$C31,Banco[Periodo Contable],TEXT(P$3,"mmm-yyyy"))</f>
        <v>0</v>
      </c>
      <c r="Q31" s="49">
        <f>SUMIFS(Banco[Monto],Banco[CtaCtbl],$C31,Banco[Periodo Contable],TEXT(Q$3,"mmm-yyyy"))</f>
        <v>0</v>
      </c>
      <c r="R31" s="49">
        <f>SUMIFS(Banco[Monto],Banco[CtaCtbl],$C31,Banco[Periodo Contable],TEXT(R$3,"mmm-yyyy"))</f>
        <v>0</v>
      </c>
      <c r="S31" s="49">
        <f>SUMIFS(Banco[Monto],Banco[CtaCtbl],$C31,Banco[Periodo Contable],TEXT(S$3,"mmm-yyyy"))</f>
        <v>0</v>
      </c>
      <c r="T31" s="49">
        <f>SUMIFS(Banco[Monto],Banco[CtaCtbl],$C31,Banco[Periodo Contable],TEXT(T$3,"mmm-yyyy"))</f>
        <v>0</v>
      </c>
      <c r="U31" s="49">
        <f>SUMIFS(Banco[Monto],Banco[CtaCtbl],$C31,Banco[Periodo Contable],TEXT(U$3,"mmm-yyyy"))</f>
        <v>0</v>
      </c>
      <c r="V31" s="300">
        <f>SUM(Tabla17[[#This Row],[ene-22]:[dic-22]])</f>
        <v>0</v>
      </c>
      <c r="W31" s="49">
        <f>SUMIFS(Banco[Monto],Banco[CtaCtbl],$C31,Banco[Periodo Contable],TEXT(W$3,"mmm-yyyy"))</f>
        <v>0</v>
      </c>
      <c r="X31" s="49">
        <f>SUMIFS(Banco[Monto],Banco[CtaCtbl],$C31,Banco[Periodo Contable],TEXT(X$3,"mmm-yyyy"))</f>
        <v>0</v>
      </c>
      <c r="Y31" s="49">
        <f>SUMIFS(Banco[Monto],Banco[CtaCtbl],$C31,Banco[Periodo Contable],TEXT(Y$3,"mmm-yyyy"))</f>
        <v>0</v>
      </c>
      <c r="Z31" s="49">
        <f>SUMIFS(Banco[Monto],Banco[CtaCtbl],$C31,Banco[Periodo Contable],TEXT(Z$3,"mmm-yyyy"))</f>
        <v>0</v>
      </c>
      <c r="AA31" s="49">
        <f>SUMIFS(Banco[Monto],Banco[CtaCtbl],$C31,Banco[Periodo Contable],TEXT(AA$3,"mmm-yyyy"))</f>
        <v>0</v>
      </c>
      <c r="AB31" s="49">
        <f>SUMIFS(Banco[Monto],Banco[CtaCtbl],$C31,Banco[Periodo Contable],TEXT(AB$3,"mmm-yyyy"))</f>
        <v>0</v>
      </c>
      <c r="AC31" s="49">
        <f>SUMIFS(Banco[Monto],Banco[CtaCtbl],$C31,Banco[Periodo Contable],TEXT(AC$3,"mmm-yyyy"))</f>
        <v>0</v>
      </c>
      <c r="AD31" s="49">
        <f>SUMIFS(Banco[Monto],Banco[CtaCtbl],$C31,Banco[Periodo Contable],TEXT(AD$3,"mmm-yyyy"))</f>
        <v>0</v>
      </c>
      <c r="AE31" s="49">
        <f>SUMIFS(Banco[Monto],Banco[CtaCtbl],$C31,Banco[Periodo Contable],TEXT(AE$3,"mmm-yyyy"))</f>
        <v>0</v>
      </c>
      <c r="AF31" s="49">
        <f>SUMIFS(Banco[Monto],Banco[CtaCtbl],$C31,Banco[Periodo Contable],TEXT(AF$3,"mmm-yyyy"))</f>
        <v>0</v>
      </c>
      <c r="AG31" s="49">
        <f>SUMIFS(Banco[Monto],Banco[CtaCtbl],$C31,Banco[Periodo Contable],TEXT(AG$3,"mmm-yyyy"))</f>
        <v>0</v>
      </c>
      <c r="AH31" s="49">
        <f>SUMIFS(Banco[Monto],Banco[CtaCtbl],$C31,Banco[Periodo Contable],TEXT(AH$3,"mmm-yyyy"))</f>
        <v>0</v>
      </c>
      <c r="AI31" s="300">
        <f>SUM(Tabla17[[#This Row],[ene-23]:[dic-23]])</f>
        <v>0</v>
      </c>
      <c r="AJ31" s="49">
        <f>SUMIFS(Banco[Monto],Banco[CtaCtbl],$C31,Banco[Periodo Contable],TEXT(AJ$3,"mmm-yyyy"))</f>
        <v>0</v>
      </c>
      <c r="AK31" s="49">
        <f>SUMIFS(Banco[Monto],Banco[CtaCtbl],$C31,Banco[Periodo Contable],TEXT(AK$3,"mmm-yyyy"))</f>
        <v>0</v>
      </c>
      <c r="AL31" s="49">
        <f>SUMIFS(Banco[Monto],Banco[CtaCtbl],$C31,Banco[Periodo Contable],TEXT(AL$3,"mmm-yyyy"))</f>
        <v>0</v>
      </c>
      <c r="AM31" s="49">
        <f>SUMIFS(Banco[Monto],Banco[CtaCtbl],$C31,Banco[Periodo Contable],TEXT(AM$3,"mmm-yyyy"))</f>
        <v>0</v>
      </c>
      <c r="AN31" s="49">
        <f>SUMIFS(Banco[Monto],Banco[CtaCtbl],$C31,Banco[Periodo Contable],TEXT(AN$3,"mmm-yyyy"))</f>
        <v>0</v>
      </c>
      <c r="AO31" s="49">
        <f>SUMIFS(Banco[Monto],Banco[CtaCtbl],$C31,Banco[Periodo Contable],TEXT(AO$3,"mmm-yyyy"))</f>
        <v>0</v>
      </c>
      <c r="AP31" s="49">
        <f>SUMIFS(Banco[Monto],Banco[CtaCtbl],$C31,Banco[Periodo Contable],TEXT(AP$3,"mmm-yyyy"))</f>
        <v>0</v>
      </c>
      <c r="AQ31" s="49">
        <f>SUMIFS(Banco[Monto],Banco[CtaCtbl],$C31,Banco[Periodo Contable],TEXT(AQ$3,"mmm-yyyy"))</f>
        <v>0</v>
      </c>
      <c r="AR31" s="49">
        <f>SUMIFS(Banco[Monto],Banco[CtaCtbl],$C31,Banco[Periodo Contable],TEXT(AR$3,"mmm-yyyy"))</f>
        <v>0</v>
      </c>
      <c r="AS31" s="49">
        <f>SUMIFS(Banco[Monto],Banco[CtaCtbl],$C31,Banco[Periodo Contable],TEXT(AS$3,"mmm-yyyy"))</f>
        <v>0</v>
      </c>
      <c r="AT31" s="49">
        <f>SUMIFS(Banco[Monto],Banco[CtaCtbl],$C31,Banco[Periodo Contable],TEXT(AT$3,"mmm-yyyy"))</f>
        <v>0</v>
      </c>
      <c r="AU31" s="49">
        <f>SUMIFS(Banco[Monto],Banco[CtaCtbl],$C31,Banco[Periodo Contable],TEXT(AU$3,"mmm-yyyy"))</f>
        <v>0</v>
      </c>
      <c r="AV31" s="300">
        <f>SUM(Tabla17[[#This Row],[ene-24]:[dic-24]])</f>
        <v>0</v>
      </c>
      <c r="AW31" s="49">
        <f>SUMIFS(Banco[Monto],Banco[CtaCtbl],$C31,Banco[Periodo Contable],TEXT(AW$3,"mmm-yyyy"))</f>
        <v>0</v>
      </c>
      <c r="AX31" s="49">
        <f>SUMIFS(Banco[Monto],Banco[CtaCtbl],$C31,Banco[Periodo Contable],TEXT(AX$3,"mmm-yyyy"))</f>
        <v>0</v>
      </c>
      <c r="AY31" s="49">
        <f>SUMIFS(Banco[Monto],Banco[CtaCtbl],$C31,Banco[Periodo Contable],TEXT(AY$3,"mmm-yyyy"))</f>
        <v>0</v>
      </c>
      <c r="AZ31" s="49">
        <f>SUMIFS(Banco[Monto],Banco[CtaCtbl],$C31,Banco[Periodo Contable],TEXT(AZ$3,"mmm-yyyy"))</f>
        <v>0</v>
      </c>
      <c r="BA31" s="49">
        <f>SUMIFS(Banco[Monto],Banco[CtaCtbl],$C31,Banco[Periodo Contable],TEXT(BA$3,"mmm-yyyy"))</f>
        <v>0</v>
      </c>
      <c r="BB31" s="49">
        <f>SUMIFS(Banco[Monto],Banco[CtaCtbl],$C31,Banco[Periodo Contable],TEXT(BB$3,"mmm-yyyy"))</f>
        <v>0</v>
      </c>
      <c r="BC31" s="49">
        <f>SUMIFS(Banco[Monto],Banco[CtaCtbl],$C31,Banco[Periodo Contable],TEXT(BC$3,"mmm-yyyy"))</f>
        <v>0</v>
      </c>
      <c r="BD31" s="49">
        <f>SUMIFS(Banco[Monto],Banco[CtaCtbl],$C31,Banco[Periodo Contable],TEXT(BD$3,"mmm-yyyy"))</f>
        <v>0</v>
      </c>
      <c r="BE31" s="49">
        <f>SUMIFS(Banco[Monto],Banco[CtaCtbl],$C31,Banco[Periodo Contable],TEXT(BE$3,"mmm-yyyy"))</f>
        <v>0</v>
      </c>
      <c r="BF31" s="49">
        <f>SUMIFS(Banco[Monto],Banco[CtaCtbl],$C31,Banco[Periodo Contable],TEXT(BF$3,"mmm-yyyy"))</f>
        <v>0</v>
      </c>
      <c r="BG31" s="49">
        <f>SUMIFS(Banco[Monto],Banco[CtaCtbl],$C31,Banco[Periodo Contable],TEXT(BG$3,"mmm-yyyy"))</f>
        <v>0</v>
      </c>
      <c r="BH31" s="49">
        <f>SUMIFS(Banco[Monto],Banco[CtaCtbl],$C31,Banco[Periodo Contable],TEXT(BH$3,"mmm-yyyy"))</f>
        <v>0</v>
      </c>
      <c r="BI31" s="232">
        <f>SUM(Tabla17[[#This Row],[ene-25]:[dic-25]])</f>
        <v>0</v>
      </c>
      <c r="BJ31" s="49">
        <f>SUMIFS(Banco[Monto],Banco[CtaCtbl],$C31,Banco[Periodo Contable],TEXT(BJ$3,"mmm-yyyy"))</f>
        <v>0</v>
      </c>
      <c r="BK31" s="49">
        <f>SUMIFS(Banco[Monto],Banco[CtaCtbl],$C31,Banco[Periodo Contable],TEXT(BK$3,"mmm-yyyy"))</f>
        <v>0</v>
      </c>
      <c r="BL31" s="49">
        <f>SUMIFS(Banco[Monto],Banco[CtaCtbl],$C31,Banco[Periodo Contable],TEXT(BL$3,"mmm-yyyy"))</f>
        <v>0</v>
      </c>
      <c r="BM31" s="49">
        <f>SUMIFS(Banco[Monto],Banco[CtaCtbl],$C31,Banco[Periodo Contable],TEXT(BM$3,"mmm-yyyy"))</f>
        <v>0</v>
      </c>
      <c r="BN31" s="49">
        <f>SUMIFS(Banco[Monto],Banco[CtaCtbl],$C31,Banco[Periodo Contable],TEXT(BN$3,"mmm-yyyy"))</f>
        <v>0</v>
      </c>
      <c r="BO31" s="49">
        <f>SUMIFS(Banco[Monto],Banco[CtaCtbl],$C31,Banco[Periodo Contable],TEXT(BO$3,"mmm-yyyy"))</f>
        <v>0</v>
      </c>
      <c r="BP31" s="49">
        <f>SUMIFS(Banco[Monto],Banco[CtaCtbl],$C31,Banco[Periodo Contable],TEXT(BP$3,"mmm-yyyy"))</f>
        <v>0</v>
      </c>
      <c r="BQ31" s="49">
        <f>SUMIFS(Banco[Monto],Banco[CtaCtbl],$C31,Banco[Periodo Contable],TEXT(BQ$3,"mmm-yyyy"))</f>
        <v>0</v>
      </c>
      <c r="BR31" s="49">
        <f>SUMIFS(Banco[Monto],Banco[CtaCtbl],$C31,Banco[Periodo Contable],TEXT(BR$3,"mmm-yyyy"))</f>
        <v>0</v>
      </c>
      <c r="BS31" s="49">
        <f>SUMIFS(Banco[Monto],Banco[CtaCtbl],$C31,Banco[Periodo Contable],TEXT(BS$3,"mmm-yyyy"))</f>
        <v>0</v>
      </c>
      <c r="BT31" s="49">
        <f>SUMIFS(Banco[Monto],Banco[CtaCtbl],$C31,Banco[Periodo Contable],TEXT(BT$3,"mmm-yyyy"))</f>
        <v>0</v>
      </c>
      <c r="BU31" s="49">
        <f>SUMIFS(Banco[Monto],Banco[CtaCtbl],$C31,Banco[Periodo Contable],TEXT(BU$3,"mmm-yyyy"))</f>
        <v>0</v>
      </c>
      <c r="BV31" s="232">
        <f>SUM(Tabla17[[#This Row],[ene-26]:[dic-26]])</f>
        <v>0</v>
      </c>
      <c r="BW31" s="49">
        <f>SUMIFS(Banco[Monto],Banco[CtaCtbl],$C31,Banco[Periodo Contable],TEXT(BW$3,"mmm-yyyy"))</f>
        <v>0</v>
      </c>
    </row>
    <row r="32" spans="1:75" ht="21.6" outlineLevel="3">
      <c r="A32" s="36" t="s">
        <v>294</v>
      </c>
      <c r="B32" s="23" t="s">
        <v>295</v>
      </c>
      <c r="C32" s="22" t="str">
        <f>+Tabla17[[#This Row],[Cuenta]]&amp;" - "&amp;Tabla17[[#This Row],[Descripcion Cuenta]]</f>
        <v>2.01.01.03 - Expertos Legislacion Laboral</v>
      </c>
      <c r="D32" s="37"/>
      <c r="E32" s="49">
        <f>SUMIFS(Banco[Monto],Banco[CtaCtbl],$C32,Banco[Periodo Contable],TEXT(E$3,"mmm-yyyy"))</f>
        <v>0</v>
      </c>
      <c r="F32" s="216">
        <f>SUMIFS(Banco[Monto],Banco[CtaCtbl],$C32,Banco[Periodo Contable],TEXT(F$3,"mmm-yyyy"))</f>
        <v>0</v>
      </c>
      <c r="G32" s="49">
        <f>SUMIFS(Banco[Monto],Banco[CtaCtbl],$C32,Banco[Periodo Contable],TEXT(G$3,"mmm-yyyy"))</f>
        <v>0</v>
      </c>
      <c r="H32" s="49">
        <f>SUMIFS(Banco[Monto],Banco[CtaCtbl],$C32,Banco[Periodo Contable],TEXT(H$3,"mmm-yyyy"))</f>
        <v>0</v>
      </c>
      <c r="I32" s="49">
        <f>SUM(Tabla17[[#This Row],[sept-21]:[dic-21]])</f>
        <v>0</v>
      </c>
      <c r="J32" s="49">
        <f>SUMIFS(Banco[Monto],Banco[CtaCtbl],$C32,Banco[Periodo Contable],TEXT(J$3,"mmm-yyyy"))</f>
        <v>0</v>
      </c>
      <c r="K32" s="49">
        <f>SUMIFS(Banco[Monto],Banco[CtaCtbl],$C32,Banco[Periodo Contable],TEXT(K$3,"mmm-yyyy"))</f>
        <v>0</v>
      </c>
      <c r="L32" s="49">
        <f>SUMIFS(Banco[Monto],Banco[CtaCtbl],$C32,Banco[Periodo Contable],TEXT(L$3,"mmm-yyyy"))</f>
        <v>0</v>
      </c>
      <c r="M32" s="49">
        <f>SUMIFS(Banco[Monto],Banco[CtaCtbl],$C32,Banco[Periodo Contable],TEXT(M$3,"mmm-yyyy"))</f>
        <v>0</v>
      </c>
      <c r="N32" s="49">
        <f>SUMIFS(Banco[Monto],Banco[CtaCtbl],$C32,Banco[Periodo Contable],TEXT(N$3,"mmm-yyyy"))</f>
        <v>0</v>
      </c>
      <c r="O32" s="49">
        <f>SUMIFS(Banco[Monto],Banco[CtaCtbl],$C32,Banco[Periodo Contable],TEXT(O$3,"mmm-yyyy"))</f>
        <v>0</v>
      </c>
      <c r="P32" s="49">
        <f>SUMIFS(Banco[Monto],Banco[CtaCtbl],$C32,Banco[Periodo Contable],TEXT(P$3,"mmm-yyyy"))</f>
        <v>0</v>
      </c>
      <c r="Q32" s="49">
        <f>SUMIFS(Banco[Monto],Banco[CtaCtbl],$C32,Banco[Periodo Contable],TEXT(Q$3,"mmm-yyyy"))</f>
        <v>0</v>
      </c>
      <c r="R32" s="49">
        <f>SUMIFS(Banco[Monto],Banco[CtaCtbl],$C32,Banco[Periodo Contable],TEXT(R$3,"mmm-yyyy"))</f>
        <v>0</v>
      </c>
      <c r="S32" s="49">
        <f>SUMIFS(Banco[Monto],Banco[CtaCtbl],$C32,Banco[Periodo Contable],TEXT(S$3,"mmm-yyyy"))</f>
        <v>0</v>
      </c>
      <c r="T32" s="49">
        <f>SUMIFS(Banco[Monto],Banco[CtaCtbl],$C32,Banco[Periodo Contable],TEXT(T$3,"mmm-yyyy"))</f>
        <v>0</v>
      </c>
      <c r="U32" s="49">
        <f>SUMIFS(Banco[Monto],Banco[CtaCtbl],$C32,Banco[Periodo Contable],TEXT(U$3,"mmm-yyyy"))</f>
        <v>0</v>
      </c>
      <c r="V32" s="300">
        <f>SUM(Tabla17[[#This Row],[ene-22]:[dic-22]])</f>
        <v>0</v>
      </c>
      <c r="W32" s="49">
        <f>SUMIFS(Banco[Monto],Banco[CtaCtbl],$C32,Banco[Periodo Contable],TEXT(W$3,"mmm-yyyy"))</f>
        <v>0</v>
      </c>
      <c r="X32" s="49">
        <f>SUMIFS(Banco[Monto],Banco[CtaCtbl],$C32,Banco[Periodo Contable],TEXT(X$3,"mmm-yyyy"))</f>
        <v>0</v>
      </c>
      <c r="Y32" s="49">
        <f>SUMIFS(Banco[Monto],Banco[CtaCtbl],$C32,Banco[Periodo Contable],TEXT(Y$3,"mmm-yyyy"))</f>
        <v>0</v>
      </c>
      <c r="Z32" s="49">
        <f>SUMIFS(Banco[Monto],Banco[CtaCtbl],$C32,Banco[Periodo Contable],TEXT(Z$3,"mmm-yyyy"))</f>
        <v>0</v>
      </c>
      <c r="AA32" s="49">
        <f>SUMIFS(Banco[Monto],Banco[CtaCtbl],$C32,Banco[Periodo Contable],TEXT(AA$3,"mmm-yyyy"))</f>
        <v>0</v>
      </c>
      <c r="AB32" s="49">
        <f>SUMIFS(Banco[Monto],Banco[CtaCtbl],$C32,Banco[Periodo Contable],TEXT(AB$3,"mmm-yyyy"))</f>
        <v>0</v>
      </c>
      <c r="AC32" s="49">
        <f>SUMIFS(Banco[Monto],Banco[CtaCtbl],$C32,Banco[Periodo Contable],TEXT(AC$3,"mmm-yyyy"))</f>
        <v>0</v>
      </c>
      <c r="AD32" s="49">
        <f>SUMIFS(Banco[Monto],Banco[CtaCtbl],$C32,Banco[Periodo Contable],TEXT(AD$3,"mmm-yyyy"))</f>
        <v>0</v>
      </c>
      <c r="AE32" s="49">
        <f>SUMIFS(Banco[Monto],Banco[CtaCtbl],$C32,Banco[Periodo Contable],TEXT(AE$3,"mmm-yyyy"))</f>
        <v>0</v>
      </c>
      <c r="AF32" s="49">
        <f>SUMIFS(Banco[Monto],Banco[CtaCtbl],$C32,Banco[Periodo Contable],TEXT(AF$3,"mmm-yyyy"))</f>
        <v>0</v>
      </c>
      <c r="AG32" s="49">
        <f>SUMIFS(Banco[Monto],Banco[CtaCtbl],$C32,Banco[Periodo Contable],TEXT(AG$3,"mmm-yyyy"))</f>
        <v>0</v>
      </c>
      <c r="AH32" s="49">
        <f>SUMIFS(Banco[Monto],Banco[CtaCtbl],$C32,Banco[Periodo Contable],TEXT(AH$3,"mmm-yyyy"))</f>
        <v>0</v>
      </c>
      <c r="AI32" s="300">
        <f>SUM(Tabla17[[#This Row],[ene-23]:[dic-23]])</f>
        <v>0</v>
      </c>
      <c r="AJ32" s="49">
        <f>SUMIFS(Banco[Monto],Banco[CtaCtbl],$C32,Banco[Periodo Contable],TEXT(AJ$3,"mmm-yyyy"))</f>
        <v>0</v>
      </c>
      <c r="AK32" s="49">
        <f>SUMIFS(Banco[Monto],Banco[CtaCtbl],$C32,Banco[Periodo Contable],TEXT(AK$3,"mmm-yyyy"))</f>
        <v>0</v>
      </c>
      <c r="AL32" s="49">
        <f>SUMIFS(Banco[Monto],Banco[CtaCtbl],$C32,Banco[Periodo Contable],TEXT(AL$3,"mmm-yyyy"))</f>
        <v>0</v>
      </c>
      <c r="AM32" s="49">
        <f>SUMIFS(Banco[Monto],Banco[CtaCtbl],$C32,Banco[Periodo Contable],TEXT(AM$3,"mmm-yyyy"))</f>
        <v>0</v>
      </c>
      <c r="AN32" s="49">
        <f>SUMIFS(Banco[Monto],Banco[CtaCtbl],$C32,Banco[Periodo Contable],TEXT(AN$3,"mmm-yyyy"))</f>
        <v>0</v>
      </c>
      <c r="AO32" s="49">
        <f>SUMIFS(Banco[Monto],Banco[CtaCtbl],$C32,Banco[Periodo Contable],TEXT(AO$3,"mmm-yyyy"))</f>
        <v>0</v>
      </c>
      <c r="AP32" s="49">
        <f>SUMIFS(Banco[Monto],Banco[CtaCtbl],$C32,Banco[Periodo Contable],TEXT(AP$3,"mmm-yyyy"))</f>
        <v>0</v>
      </c>
      <c r="AQ32" s="49">
        <f>SUMIFS(Banco[Monto],Banco[CtaCtbl],$C32,Banco[Periodo Contable],TEXT(AQ$3,"mmm-yyyy"))</f>
        <v>0</v>
      </c>
      <c r="AR32" s="49">
        <f>SUMIFS(Banco[Monto],Banco[CtaCtbl],$C32,Banco[Periodo Contable],TEXT(AR$3,"mmm-yyyy"))</f>
        <v>0</v>
      </c>
      <c r="AS32" s="49">
        <f>SUMIFS(Banco[Monto],Banco[CtaCtbl],$C32,Banco[Periodo Contable],TEXT(AS$3,"mmm-yyyy"))</f>
        <v>0</v>
      </c>
      <c r="AT32" s="49">
        <f>SUMIFS(Banco[Monto],Banco[CtaCtbl],$C32,Banco[Periodo Contable],TEXT(AT$3,"mmm-yyyy"))</f>
        <v>0</v>
      </c>
      <c r="AU32" s="49">
        <f>SUMIFS(Banco[Monto],Banco[CtaCtbl],$C32,Banco[Periodo Contable],TEXT(AU$3,"mmm-yyyy"))</f>
        <v>0</v>
      </c>
      <c r="AV32" s="300">
        <f>SUM(Tabla17[[#This Row],[ene-24]:[dic-24]])</f>
        <v>0</v>
      </c>
      <c r="AW32" s="49">
        <f>SUMIFS(Banco[Monto],Banco[CtaCtbl],$C32,Banco[Periodo Contable],TEXT(AW$3,"mmm-yyyy"))</f>
        <v>0</v>
      </c>
      <c r="AX32" s="49">
        <f>SUMIFS(Banco[Monto],Banco[CtaCtbl],$C32,Banco[Periodo Contable],TEXT(AX$3,"mmm-yyyy"))</f>
        <v>0</v>
      </c>
      <c r="AY32" s="49">
        <f>SUMIFS(Banco[Monto],Banco[CtaCtbl],$C32,Banco[Periodo Contable],TEXT(AY$3,"mmm-yyyy"))</f>
        <v>0</v>
      </c>
      <c r="AZ32" s="49">
        <f>SUMIFS(Banco[Monto],Banco[CtaCtbl],$C32,Banco[Periodo Contable],TEXT(AZ$3,"mmm-yyyy"))</f>
        <v>0</v>
      </c>
      <c r="BA32" s="49">
        <f>SUMIFS(Banco[Monto],Banco[CtaCtbl],$C32,Banco[Periodo Contable],TEXT(BA$3,"mmm-yyyy"))</f>
        <v>0</v>
      </c>
      <c r="BB32" s="49">
        <f>SUMIFS(Banco[Monto],Banco[CtaCtbl],$C32,Banco[Periodo Contable],TEXT(BB$3,"mmm-yyyy"))</f>
        <v>0</v>
      </c>
      <c r="BC32" s="49">
        <f>SUMIFS(Banco[Monto],Banco[CtaCtbl],$C32,Banco[Periodo Contable],TEXT(BC$3,"mmm-yyyy"))</f>
        <v>0</v>
      </c>
      <c r="BD32" s="49">
        <f>SUMIFS(Banco[Monto],Banco[CtaCtbl],$C32,Banco[Periodo Contable],TEXT(BD$3,"mmm-yyyy"))</f>
        <v>0</v>
      </c>
      <c r="BE32" s="49">
        <f>SUMIFS(Banco[Monto],Banco[CtaCtbl],$C32,Banco[Periodo Contable],TEXT(BE$3,"mmm-yyyy"))</f>
        <v>0</v>
      </c>
      <c r="BF32" s="49">
        <f>SUMIFS(Banco[Monto],Banco[CtaCtbl],$C32,Banco[Periodo Contable],TEXT(BF$3,"mmm-yyyy"))</f>
        <v>0</v>
      </c>
      <c r="BG32" s="49">
        <f>SUMIFS(Banco[Monto],Banco[CtaCtbl],$C32,Banco[Periodo Contable],TEXT(BG$3,"mmm-yyyy"))</f>
        <v>0</v>
      </c>
      <c r="BH32" s="49">
        <f>SUMIFS(Banco[Monto],Banco[CtaCtbl],$C32,Banco[Periodo Contable],TEXT(BH$3,"mmm-yyyy"))</f>
        <v>0</v>
      </c>
      <c r="BI32" s="232">
        <f>SUM(Tabla17[[#This Row],[ene-25]:[dic-25]])</f>
        <v>0</v>
      </c>
      <c r="BJ32" s="49">
        <f>SUMIFS(Banco[Monto],Banco[CtaCtbl],$C32,Banco[Periodo Contable],TEXT(BJ$3,"mmm-yyyy"))</f>
        <v>0</v>
      </c>
      <c r="BK32" s="49">
        <f>SUMIFS(Banco[Monto],Banco[CtaCtbl],$C32,Banco[Periodo Contable],TEXT(BK$3,"mmm-yyyy"))</f>
        <v>0</v>
      </c>
      <c r="BL32" s="49">
        <f>SUMIFS(Banco[Monto],Banco[CtaCtbl],$C32,Banco[Periodo Contable],TEXT(BL$3,"mmm-yyyy"))</f>
        <v>0</v>
      </c>
      <c r="BM32" s="49">
        <f>SUMIFS(Banco[Monto],Banco[CtaCtbl],$C32,Banco[Periodo Contable],TEXT(BM$3,"mmm-yyyy"))</f>
        <v>0</v>
      </c>
      <c r="BN32" s="49">
        <f>SUMIFS(Banco[Monto],Banco[CtaCtbl],$C32,Banco[Periodo Contable],TEXT(BN$3,"mmm-yyyy"))</f>
        <v>0</v>
      </c>
      <c r="BO32" s="49">
        <f>SUMIFS(Banco[Monto],Banco[CtaCtbl],$C32,Banco[Periodo Contable],TEXT(BO$3,"mmm-yyyy"))</f>
        <v>0</v>
      </c>
      <c r="BP32" s="49">
        <f>SUMIFS(Banco[Monto],Banco[CtaCtbl],$C32,Banco[Periodo Contable],TEXT(BP$3,"mmm-yyyy"))</f>
        <v>0</v>
      </c>
      <c r="BQ32" s="49">
        <f>SUMIFS(Banco[Monto],Banco[CtaCtbl],$C32,Banco[Periodo Contable],TEXT(BQ$3,"mmm-yyyy"))</f>
        <v>0</v>
      </c>
      <c r="BR32" s="49">
        <f>SUMIFS(Banco[Monto],Banco[CtaCtbl],$C32,Banco[Periodo Contable],TEXT(BR$3,"mmm-yyyy"))</f>
        <v>0</v>
      </c>
      <c r="BS32" s="49">
        <f>SUMIFS(Banco[Monto],Banco[CtaCtbl],$C32,Banco[Periodo Contable],TEXT(BS$3,"mmm-yyyy"))</f>
        <v>0</v>
      </c>
      <c r="BT32" s="49">
        <f>SUMIFS(Banco[Monto],Banco[CtaCtbl],$C32,Banco[Periodo Contable],TEXT(BT$3,"mmm-yyyy"))</f>
        <v>0</v>
      </c>
      <c r="BU32" s="49">
        <f>SUMIFS(Banco[Monto],Banco[CtaCtbl],$C32,Banco[Periodo Contable],TEXT(BU$3,"mmm-yyyy"))</f>
        <v>0</v>
      </c>
      <c r="BV32" s="232">
        <f>SUM(Tabla17[[#This Row],[ene-26]:[dic-26]])</f>
        <v>0</v>
      </c>
      <c r="BW32" s="49">
        <f>SUMIFS(Banco[Monto],Banco[CtaCtbl],$C32,Banco[Periodo Contable],TEXT(BW$3,"mmm-yyyy"))</f>
        <v>0</v>
      </c>
    </row>
    <row r="33" spans="1:75" ht="21.6" outlineLevel="3">
      <c r="A33" s="36" t="s">
        <v>296</v>
      </c>
      <c r="B33" s="23" t="s">
        <v>297</v>
      </c>
      <c r="C33" s="22" t="str">
        <f>+Tabla17[[#This Row],[Cuenta]]&amp;" - "&amp;Tabla17[[#This Row],[Descripcion Cuenta]]</f>
        <v>2.01.01.04 - Otras Asesorias</v>
      </c>
      <c r="D33" s="37"/>
      <c r="E33" s="49">
        <f>SUMIFS(Banco[Monto],Banco[CtaCtbl],$C33,Banco[Periodo Contable],TEXT(E$3,"mmm-yyyy"))</f>
        <v>0</v>
      </c>
      <c r="F33" s="216">
        <f>SUMIFS(Banco[Monto],Banco[CtaCtbl],$C33,Banco[Periodo Contable],TEXT(F$3,"mmm-yyyy"))</f>
        <v>0</v>
      </c>
      <c r="G33" s="49">
        <f>SUMIFS(Banco[Monto],Banco[CtaCtbl],$C33,Banco[Periodo Contable],TEXT(G$3,"mmm-yyyy"))</f>
        <v>0</v>
      </c>
      <c r="H33" s="49">
        <f>SUMIFS(Banco[Monto],Banco[CtaCtbl],$C33,Banco[Periodo Contable],TEXT(H$3,"mmm-yyyy"))</f>
        <v>0</v>
      </c>
      <c r="I33" s="49">
        <f>SUM(Tabla17[[#This Row],[sept-21]:[dic-21]])</f>
        <v>0</v>
      </c>
      <c r="J33" s="49">
        <f>SUMIFS(Banco[Monto],Banco[CtaCtbl],$C33,Banco[Periodo Contable],TEXT(J$3,"mmm-yyyy"))</f>
        <v>0</v>
      </c>
      <c r="K33" s="49">
        <f>SUMIFS(Banco[Monto],Banco[CtaCtbl],$C33,Banco[Periodo Contable],TEXT(K$3,"mmm-yyyy"))</f>
        <v>0</v>
      </c>
      <c r="L33" s="49">
        <f>SUMIFS(Banco[Monto],Banco[CtaCtbl],$C33,Banco[Periodo Contable],TEXT(L$3,"mmm-yyyy"))</f>
        <v>0</v>
      </c>
      <c r="M33" s="49">
        <f>SUMIFS(Banco[Monto],Banco[CtaCtbl],$C33,Banco[Periodo Contable],TEXT(M$3,"mmm-yyyy"))</f>
        <v>0</v>
      </c>
      <c r="N33" s="49">
        <f>SUMIFS(Banco[Monto],Banco[CtaCtbl],$C33,Banco[Periodo Contable],TEXT(N$3,"mmm-yyyy"))</f>
        <v>0</v>
      </c>
      <c r="O33" s="49">
        <f>SUMIFS(Banco[Monto],Banco[CtaCtbl],$C33,Banco[Periodo Contable],TEXT(O$3,"mmm-yyyy"))</f>
        <v>0</v>
      </c>
      <c r="P33" s="49">
        <f>SUMIFS(Banco[Monto],Banco[CtaCtbl],$C33,Banco[Periodo Contable],TEXT(P$3,"mmm-yyyy"))</f>
        <v>0</v>
      </c>
      <c r="Q33" s="49">
        <f>SUMIFS(Banco[Monto],Banco[CtaCtbl],$C33,Banco[Periodo Contable],TEXT(Q$3,"mmm-yyyy"))</f>
        <v>0</v>
      </c>
      <c r="R33" s="49">
        <f>SUMIFS(Banco[Monto],Banco[CtaCtbl],$C33,Banco[Periodo Contable],TEXT(R$3,"mmm-yyyy"))</f>
        <v>0</v>
      </c>
      <c r="S33" s="49">
        <f>SUMIFS(Banco[Monto],Banco[CtaCtbl],$C33,Banco[Periodo Contable],TEXT(S$3,"mmm-yyyy"))</f>
        <v>0</v>
      </c>
      <c r="T33" s="49">
        <f>SUMIFS(Banco[Monto],Banco[CtaCtbl],$C33,Banco[Periodo Contable],TEXT(T$3,"mmm-yyyy"))</f>
        <v>0</v>
      </c>
      <c r="U33" s="49">
        <f>SUMIFS(Banco[Monto],Banco[CtaCtbl],$C33,Banco[Periodo Contable],TEXT(U$3,"mmm-yyyy"))</f>
        <v>0</v>
      </c>
      <c r="V33" s="300">
        <f>SUM(Tabla17[[#This Row],[ene-22]:[dic-22]])</f>
        <v>0</v>
      </c>
      <c r="W33" s="49">
        <f>SUMIFS(Banco[Monto],Banco[CtaCtbl],$C33,Banco[Periodo Contable],TEXT(W$3,"mmm-yyyy"))</f>
        <v>0</v>
      </c>
      <c r="X33" s="49">
        <f>SUMIFS(Banco[Monto],Banco[CtaCtbl],$C33,Banco[Periodo Contable],TEXT(X$3,"mmm-yyyy"))</f>
        <v>0</v>
      </c>
      <c r="Y33" s="49">
        <f>SUMIFS(Banco[Monto],Banco[CtaCtbl],$C33,Banco[Periodo Contable],TEXT(Y$3,"mmm-yyyy"))</f>
        <v>0</v>
      </c>
      <c r="Z33" s="49">
        <f>SUMIFS(Banco[Monto],Banco[CtaCtbl],$C33,Banco[Periodo Contable],TEXT(Z$3,"mmm-yyyy"))</f>
        <v>0</v>
      </c>
      <c r="AA33" s="49">
        <f>SUMIFS(Banco[Monto],Banco[CtaCtbl],$C33,Banco[Periodo Contable],TEXT(AA$3,"mmm-yyyy"))</f>
        <v>0</v>
      </c>
      <c r="AB33" s="49">
        <f>SUMIFS(Banco[Monto],Banco[CtaCtbl],$C33,Banco[Periodo Contable],TEXT(AB$3,"mmm-yyyy"))</f>
        <v>0</v>
      </c>
      <c r="AC33" s="49">
        <f>SUMIFS(Banco[Monto],Banco[CtaCtbl],$C33,Banco[Periodo Contable],TEXT(AC$3,"mmm-yyyy"))</f>
        <v>0</v>
      </c>
      <c r="AD33" s="49">
        <f>SUMIFS(Banco[Monto],Banco[CtaCtbl],$C33,Banco[Periodo Contable],TEXT(AD$3,"mmm-yyyy"))</f>
        <v>0</v>
      </c>
      <c r="AE33" s="49">
        <f>SUMIFS(Banco[Monto],Banco[CtaCtbl],$C33,Banco[Periodo Contable],TEXT(AE$3,"mmm-yyyy"))</f>
        <v>0</v>
      </c>
      <c r="AF33" s="49">
        <f>SUMIFS(Banco[Monto],Banco[CtaCtbl],$C33,Banco[Periodo Contable],TEXT(AF$3,"mmm-yyyy"))</f>
        <v>0</v>
      </c>
      <c r="AG33" s="49">
        <f>SUMIFS(Banco[Monto],Banco[CtaCtbl],$C33,Banco[Periodo Contable],TEXT(AG$3,"mmm-yyyy"))</f>
        <v>0</v>
      </c>
      <c r="AH33" s="49">
        <f>SUMIFS(Banco[Monto],Banco[CtaCtbl],$C33,Banco[Periodo Contable],TEXT(AH$3,"mmm-yyyy"))</f>
        <v>0</v>
      </c>
      <c r="AI33" s="300">
        <f>SUM(Tabla17[[#This Row],[ene-23]:[dic-23]])</f>
        <v>0</v>
      </c>
      <c r="AJ33" s="49">
        <f>SUMIFS(Banco[Monto],Banco[CtaCtbl],$C33,Banco[Periodo Contable],TEXT(AJ$3,"mmm-yyyy"))</f>
        <v>0</v>
      </c>
      <c r="AK33" s="49">
        <f>SUMIFS(Banco[Monto],Banco[CtaCtbl],$C33,Banco[Periodo Contable],TEXT(AK$3,"mmm-yyyy"))</f>
        <v>0</v>
      </c>
      <c r="AL33" s="49">
        <f>SUMIFS(Banco[Monto],Banco[CtaCtbl],$C33,Banco[Periodo Contable],TEXT(AL$3,"mmm-yyyy"))</f>
        <v>0</v>
      </c>
      <c r="AM33" s="49">
        <f>SUMIFS(Banco[Monto],Banco[CtaCtbl],$C33,Banco[Periodo Contable],TEXT(AM$3,"mmm-yyyy"))</f>
        <v>0</v>
      </c>
      <c r="AN33" s="49">
        <f>SUMIFS(Banco[Monto],Banco[CtaCtbl],$C33,Banco[Periodo Contable],TEXT(AN$3,"mmm-yyyy"))</f>
        <v>0</v>
      </c>
      <c r="AO33" s="49">
        <f>SUMIFS(Banco[Monto],Banco[CtaCtbl],$C33,Banco[Periodo Contable],TEXT(AO$3,"mmm-yyyy"))</f>
        <v>0</v>
      </c>
      <c r="AP33" s="49">
        <f>SUMIFS(Banco[Monto],Banco[CtaCtbl],$C33,Banco[Periodo Contable],TEXT(AP$3,"mmm-yyyy"))</f>
        <v>0</v>
      </c>
      <c r="AQ33" s="49">
        <f>SUMIFS(Banco[Monto],Banco[CtaCtbl],$C33,Banco[Periodo Contable],TEXT(AQ$3,"mmm-yyyy"))</f>
        <v>0</v>
      </c>
      <c r="AR33" s="49">
        <f>SUMIFS(Banco[Monto],Banco[CtaCtbl],$C33,Banco[Periodo Contable],TEXT(AR$3,"mmm-yyyy"))</f>
        <v>0</v>
      </c>
      <c r="AS33" s="49">
        <f>SUMIFS(Banco[Monto],Banco[CtaCtbl],$C33,Banco[Periodo Contable],TEXT(AS$3,"mmm-yyyy"))</f>
        <v>0</v>
      </c>
      <c r="AT33" s="49">
        <f>SUMIFS(Banco[Monto],Banco[CtaCtbl],$C33,Banco[Periodo Contable],TEXT(AT$3,"mmm-yyyy"))</f>
        <v>0</v>
      </c>
      <c r="AU33" s="49">
        <f>SUMIFS(Banco[Monto],Banco[CtaCtbl],$C33,Banco[Periodo Contable],TEXT(AU$3,"mmm-yyyy"))</f>
        <v>0</v>
      </c>
      <c r="AV33" s="300">
        <f>SUM(Tabla17[[#This Row],[ene-24]:[dic-24]])</f>
        <v>0</v>
      </c>
      <c r="AW33" s="49">
        <f>SUMIFS(Banco[Monto],Banco[CtaCtbl],$C33,Banco[Periodo Contable],TEXT(AW$3,"mmm-yyyy"))</f>
        <v>0</v>
      </c>
      <c r="AX33" s="49">
        <f>SUMIFS(Banco[Monto],Banco[CtaCtbl],$C33,Banco[Periodo Contable],TEXT(AX$3,"mmm-yyyy"))</f>
        <v>0</v>
      </c>
      <c r="AY33" s="49">
        <f>SUMIFS(Banco[Monto],Banco[CtaCtbl],$C33,Banco[Periodo Contable],TEXT(AY$3,"mmm-yyyy"))</f>
        <v>0</v>
      </c>
      <c r="AZ33" s="49">
        <f>SUMIFS(Banco[Monto],Banco[CtaCtbl],$C33,Banco[Periodo Contable],TEXT(AZ$3,"mmm-yyyy"))</f>
        <v>0</v>
      </c>
      <c r="BA33" s="49">
        <f>SUMIFS(Banco[Monto],Banco[CtaCtbl],$C33,Banco[Periodo Contable],TEXT(BA$3,"mmm-yyyy"))</f>
        <v>0</v>
      </c>
      <c r="BB33" s="49">
        <f>SUMIFS(Banco[Monto],Banco[CtaCtbl],$C33,Banco[Periodo Contable],TEXT(BB$3,"mmm-yyyy"))</f>
        <v>0</v>
      </c>
      <c r="BC33" s="49">
        <f>SUMIFS(Banco[Monto],Banco[CtaCtbl],$C33,Banco[Periodo Contable],TEXT(BC$3,"mmm-yyyy"))</f>
        <v>0</v>
      </c>
      <c r="BD33" s="49">
        <f>SUMIFS(Banco[Monto],Banco[CtaCtbl],$C33,Banco[Periodo Contable],TEXT(BD$3,"mmm-yyyy"))</f>
        <v>0</v>
      </c>
      <c r="BE33" s="49">
        <f>SUMIFS(Banco[Monto],Banco[CtaCtbl],$C33,Banco[Periodo Contable],TEXT(BE$3,"mmm-yyyy"))</f>
        <v>0</v>
      </c>
      <c r="BF33" s="49">
        <f>SUMIFS(Banco[Monto],Banco[CtaCtbl],$C33,Banco[Periodo Contable],TEXT(BF$3,"mmm-yyyy"))</f>
        <v>8408545</v>
      </c>
      <c r="BG33" s="49">
        <f>SUMIFS(Banco[Monto],Banco[CtaCtbl],$C33,Banco[Periodo Contable],TEXT(BG$3,"mmm-yyyy"))</f>
        <v>0</v>
      </c>
      <c r="BH33" s="49">
        <f>SUMIFS(Banco[Monto],Banco[CtaCtbl],$C33,Banco[Periodo Contable],TEXT(BH$3,"mmm-yyyy"))</f>
        <v>0</v>
      </c>
      <c r="BI33" s="232">
        <f>SUM(Tabla17[[#This Row],[ene-25]:[dic-25]])</f>
        <v>8408545</v>
      </c>
      <c r="BJ33" s="49">
        <f>SUMIFS(Banco[Monto],Banco[CtaCtbl],$C33,Banco[Periodo Contable],TEXT(BJ$3,"mmm-yyyy"))</f>
        <v>0</v>
      </c>
      <c r="BK33" s="49">
        <f>SUMIFS(Banco[Monto],Banco[CtaCtbl],$C33,Banco[Periodo Contable],TEXT(BK$3,"mmm-yyyy"))</f>
        <v>0</v>
      </c>
      <c r="BL33" s="49">
        <f>SUMIFS(Banco[Monto],Banco[CtaCtbl],$C33,Banco[Periodo Contable],TEXT(BL$3,"mmm-yyyy"))</f>
        <v>0</v>
      </c>
      <c r="BM33" s="49">
        <f>SUMIFS(Banco[Monto],Banco[CtaCtbl],$C33,Banco[Periodo Contable],TEXT(BM$3,"mmm-yyyy"))</f>
        <v>0</v>
      </c>
      <c r="BN33" s="49">
        <f>SUMIFS(Banco[Monto],Banco[CtaCtbl],$C33,Banco[Periodo Contable],TEXT(BN$3,"mmm-yyyy"))</f>
        <v>0</v>
      </c>
      <c r="BO33" s="49">
        <f>SUMIFS(Banco[Monto],Banco[CtaCtbl],$C33,Banco[Periodo Contable],TEXT(BO$3,"mmm-yyyy"))</f>
        <v>0</v>
      </c>
      <c r="BP33" s="49">
        <f>SUMIFS(Banco[Monto],Banco[CtaCtbl],$C33,Banco[Periodo Contable],TEXT(BP$3,"mmm-yyyy"))</f>
        <v>0</v>
      </c>
      <c r="BQ33" s="49">
        <f>SUMIFS(Banco[Monto],Banco[CtaCtbl],$C33,Banco[Periodo Contable],TEXT(BQ$3,"mmm-yyyy"))</f>
        <v>0</v>
      </c>
      <c r="BR33" s="49">
        <f>SUMIFS(Banco[Monto],Banco[CtaCtbl],$C33,Banco[Periodo Contable],TEXT(BR$3,"mmm-yyyy"))</f>
        <v>0</v>
      </c>
      <c r="BS33" s="49">
        <f>SUMIFS(Banco[Monto],Banco[CtaCtbl],$C33,Banco[Periodo Contable],TEXT(BS$3,"mmm-yyyy"))</f>
        <v>0</v>
      </c>
      <c r="BT33" s="49">
        <f>SUMIFS(Banco[Monto],Banco[CtaCtbl],$C33,Banco[Periodo Contable],TEXT(BT$3,"mmm-yyyy"))</f>
        <v>0</v>
      </c>
      <c r="BU33" s="49">
        <f>SUMIFS(Banco[Monto],Banco[CtaCtbl],$C33,Banco[Periodo Contable],TEXT(BU$3,"mmm-yyyy"))</f>
        <v>0</v>
      </c>
      <c r="BV33" s="232">
        <f>SUM(Tabla17[[#This Row],[ene-26]:[dic-26]])</f>
        <v>0</v>
      </c>
      <c r="BW33" s="49">
        <f>SUMIFS(Banco[Monto],Banco[CtaCtbl],$C33,Banco[Periodo Contable],TEXT(BW$3,"mmm-yyyy"))</f>
        <v>0</v>
      </c>
    </row>
    <row r="34" spans="1:75" ht="21.6" outlineLevel="2">
      <c r="A34" s="38" t="s">
        <v>298</v>
      </c>
      <c r="B34" s="18" t="s">
        <v>299</v>
      </c>
      <c r="C34" s="19" t="str">
        <f>+Tabla17[[#This Row],[Cuenta]]&amp;" - "&amp;Tabla17[[#This Row],[Descripcion Cuenta]]</f>
        <v>2.01.02 - Impuestos</v>
      </c>
      <c r="D34" s="39"/>
      <c r="E34" s="44">
        <f>SUBTOTAL(9,E35:E36)</f>
        <v>0</v>
      </c>
      <c r="F34" s="44">
        <f t="shared" ref="F34:BW34" si="107">SUBTOTAL(9,F35:F36)</f>
        <v>0</v>
      </c>
      <c r="G34" s="44">
        <f t="shared" si="107"/>
        <v>0</v>
      </c>
      <c r="H34" s="44">
        <f t="shared" si="107"/>
        <v>0</v>
      </c>
      <c r="I34" s="44">
        <f>SUM(Tabla17[[#This Row],[sept-21]:[dic-21]])</f>
        <v>0</v>
      </c>
      <c r="J34" s="44">
        <f t="shared" si="107"/>
        <v>0</v>
      </c>
      <c r="K34" s="44">
        <f t="shared" si="107"/>
        <v>0</v>
      </c>
      <c r="L34" s="44">
        <f t="shared" si="107"/>
        <v>0</v>
      </c>
      <c r="M34" s="44">
        <f t="shared" si="107"/>
        <v>0</v>
      </c>
      <c r="N34" s="44">
        <f t="shared" si="107"/>
        <v>0</v>
      </c>
      <c r="O34" s="44">
        <f t="shared" si="107"/>
        <v>0</v>
      </c>
      <c r="P34" s="44">
        <f t="shared" si="107"/>
        <v>0</v>
      </c>
      <c r="Q34" s="44">
        <f t="shared" si="107"/>
        <v>0</v>
      </c>
      <c r="R34" s="44">
        <f t="shared" si="107"/>
        <v>0</v>
      </c>
      <c r="S34" s="44">
        <f t="shared" si="107"/>
        <v>0</v>
      </c>
      <c r="T34" s="44">
        <f t="shared" si="107"/>
        <v>0</v>
      </c>
      <c r="U34" s="44">
        <f t="shared" si="107"/>
        <v>0</v>
      </c>
      <c r="V34" s="44">
        <f t="shared" si="107"/>
        <v>0</v>
      </c>
      <c r="W34" s="44">
        <f t="shared" si="107"/>
        <v>0</v>
      </c>
      <c r="X34" s="44">
        <f t="shared" si="107"/>
        <v>0</v>
      </c>
      <c r="Y34" s="44">
        <f t="shared" si="107"/>
        <v>0</v>
      </c>
      <c r="Z34" s="44">
        <f t="shared" si="107"/>
        <v>0</v>
      </c>
      <c r="AA34" s="44">
        <f t="shared" si="107"/>
        <v>0</v>
      </c>
      <c r="AB34" s="44">
        <f t="shared" si="107"/>
        <v>0</v>
      </c>
      <c r="AC34" s="44">
        <f t="shared" si="107"/>
        <v>0</v>
      </c>
      <c r="AD34" s="44">
        <f t="shared" si="107"/>
        <v>0</v>
      </c>
      <c r="AE34" s="44">
        <f t="shared" si="107"/>
        <v>0</v>
      </c>
      <c r="AF34" s="44">
        <f t="shared" si="107"/>
        <v>0</v>
      </c>
      <c r="AG34" s="44">
        <f t="shared" si="107"/>
        <v>0</v>
      </c>
      <c r="AH34" s="44">
        <f t="shared" si="107"/>
        <v>0</v>
      </c>
      <c r="AI34" s="44">
        <f t="shared" si="107"/>
        <v>0</v>
      </c>
      <c r="AJ34" s="44">
        <f t="shared" si="107"/>
        <v>0</v>
      </c>
      <c r="AK34" s="44">
        <f t="shared" si="107"/>
        <v>0</v>
      </c>
      <c r="AL34" s="44">
        <f t="shared" si="107"/>
        <v>0</v>
      </c>
      <c r="AM34" s="44">
        <f t="shared" si="107"/>
        <v>0</v>
      </c>
      <c r="AN34" s="44">
        <f t="shared" si="107"/>
        <v>0</v>
      </c>
      <c r="AO34" s="44">
        <f t="shared" si="107"/>
        <v>0</v>
      </c>
      <c r="AP34" s="44">
        <f t="shared" si="107"/>
        <v>0</v>
      </c>
      <c r="AQ34" s="44">
        <f t="shared" si="107"/>
        <v>0</v>
      </c>
      <c r="AR34" s="44">
        <f t="shared" si="107"/>
        <v>0</v>
      </c>
      <c r="AS34" s="44">
        <f t="shared" si="107"/>
        <v>0</v>
      </c>
      <c r="AT34" s="44">
        <f t="shared" si="107"/>
        <v>0</v>
      </c>
      <c r="AU34" s="44">
        <f t="shared" si="107"/>
        <v>0</v>
      </c>
      <c r="AV34" s="44">
        <f t="shared" si="107"/>
        <v>0</v>
      </c>
      <c r="AW34" s="44">
        <f>SUBTOTAL(9,AW35:AW36)</f>
        <v>0</v>
      </c>
      <c r="AX34" s="44">
        <f t="shared" ref="AX34:BH34" si="108">SUBTOTAL(9,AX35:AX36)</f>
        <v>0</v>
      </c>
      <c r="AY34" s="44">
        <f t="shared" si="108"/>
        <v>0</v>
      </c>
      <c r="AZ34" s="44">
        <f t="shared" si="108"/>
        <v>0</v>
      </c>
      <c r="BA34" s="44">
        <f t="shared" si="108"/>
        <v>0</v>
      </c>
      <c r="BB34" s="44">
        <f t="shared" si="108"/>
        <v>0</v>
      </c>
      <c r="BC34" s="44">
        <f t="shared" si="108"/>
        <v>-3537</v>
      </c>
      <c r="BD34" s="44">
        <f t="shared" si="108"/>
        <v>0</v>
      </c>
      <c r="BE34" s="44">
        <f t="shared" si="108"/>
        <v>0</v>
      </c>
      <c r="BF34" s="44">
        <f t="shared" si="108"/>
        <v>0</v>
      </c>
      <c r="BG34" s="44">
        <f t="shared" si="108"/>
        <v>0</v>
      </c>
      <c r="BH34" s="44">
        <f t="shared" si="108"/>
        <v>0</v>
      </c>
      <c r="BI34" s="44">
        <f t="shared" si="107"/>
        <v>-3537</v>
      </c>
      <c r="BJ34" s="44">
        <f t="shared" ref="BJ34" si="109">SUBTOTAL(9,BJ35:BJ36)</f>
        <v>0</v>
      </c>
      <c r="BK34" s="44">
        <f t="shared" ref="BK34" si="110">SUBTOTAL(9,BK35:BK36)</f>
        <v>0</v>
      </c>
      <c r="BL34" s="44">
        <f t="shared" ref="BL34" si="111">SUBTOTAL(9,BL35:BL36)</f>
        <v>0</v>
      </c>
      <c r="BM34" s="44">
        <f t="shared" ref="BM34" si="112">SUBTOTAL(9,BM35:BM36)</f>
        <v>0</v>
      </c>
      <c r="BN34" s="44">
        <f t="shared" ref="BN34" si="113">SUBTOTAL(9,BN35:BN36)</f>
        <v>0</v>
      </c>
      <c r="BO34" s="44">
        <f t="shared" ref="BO34" si="114">SUBTOTAL(9,BO35:BO36)</f>
        <v>0</v>
      </c>
      <c r="BP34" s="44">
        <f t="shared" ref="BP34" si="115">SUBTOTAL(9,BP35:BP36)</f>
        <v>0</v>
      </c>
      <c r="BQ34" s="44">
        <f t="shared" ref="BQ34" si="116">SUBTOTAL(9,BQ35:BQ36)</f>
        <v>0</v>
      </c>
      <c r="BR34" s="44">
        <f t="shared" ref="BR34" si="117">SUBTOTAL(9,BR35:BR36)</f>
        <v>0</v>
      </c>
      <c r="BS34" s="44">
        <f t="shared" ref="BS34" si="118">SUBTOTAL(9,BS35:BS36)</f>
        <v>0</v>
      </c>
      <c r="BT34" s="44">
        <f t="shared" ref="BT34" si="119">SUBTOTAL(9,BT35:BT36)</f>
        <v>0</v>
      </c>
      <c r="BU34" s="44">
        <f t="shared" ref="BU34:BV34" si="120">SUBTOTAL(9,BU35:BU36)</f>
        <v>0</v>
      </c>
      <c r="BV34" s="44">
        <f t="shared" si="120"/>
        <v>0</v>
      </c>
      <c r="BW34" s="44">
        <f t="shared" si="107"/>
        <v>0</v>
      </c>
    </row>
    <row r="35" spans="1:75" s="293" customFormat="1" ht="21.6" outlineLevel="3">
      <c r="A35" s="217" t="s">
        <v>300</v>
      </c>
      <c r="B35" s="218" t="s">
        <v>301</v>
      </c>
      <c r="C35" s="219" t="str">
        <f>+Tabla17[[#This Row],[Cuenta]]&amp;" - "&amp;Tabla17[[#This Row],[Descripcion Cuenta]]</f>
        <v>2.01.02.01 - Impuestos Bancarios</v>
      </c>
      <c r="D35" s="220"/>
      <c r="E35" s="209">
        <f>SUMIFS(Banco[Monto],Banco[CtaCtbl],$C35,Banco[Periodo Contable],TEXT(E$3,"mmm-yyyy"))</f>
        <v>0</v>
      </c>
      <c r="F35" s="209">
        <f>SUMIFS(Banco[Monto],Banco[CtaCtbl],$C35,Banco[Periodo Contable],TEXT(F$3,"mmm-yyyy"))</f>
        <v>0</v>
      </c>
      <c r="G35" s="209">
        <f>SUMIFS(Banco[Monto],Banco[CtaCtbl],$C35,Banco[Periodo Contable],TEXT(G$3,"mmm-yyyy"))</f>
        <v>0</v>
      </c>
      <c r="H35" s="209">
        <f>SUMIFS(Banco[Monto],Banco[CtaCtbl],$C35,Banco[Periodo Contable],TEXT(H$3,"mmm-yyyy"))</f>
        <v>0</v>
      </c>
      <c r="I35" s="209">
        <f>SUM(Tabla17[[#This Row],[sept-21]:[dic-21]])</f>
        <v>0</v>
      </c>
      <c r="J35" s="209">
        <f>SUMIFS(Banco[Monto],Banco[CtaCtbl],$C35,Banco[Periodo Contable],TEXT(J$3,"mmm-yyyy"))</f>
        <v>0</v>
      </c>
      <c r="K35" s="209">
        <f>SUMIFS(Banco[Monto],Banco[CtaCtbl],$C35,Banco[Periodo Contable],TEXT(K$3,"mmm-yyyy"))</f>
        <v>0</v>
      </c>
      <c r="L35" s="209">
        <f>SUMIFS(Banco[Monto],Banco[CtaCtbl],$C35,Banco[Periodo Contable],TEXT(L$3,"mmm-yyyy"))</f>
        <v>0</v>
      </c>
      <c r="M35" s="209">
        <f>SUMIFS(Banco[Monto],Banco[CtaCtbl],$C35,Banco[Periodo Contable],TEXT(M$3,"mmm-yyyy"))</f>
        <v>0</v>
      </c>
      <c r="N35" s="209">
        <f>SUMIFS(Banco[Monto],Banco[CtaCtbl],$C35,Banco[Periodo Contable],TEXT(N$3,"mmm-yyyy"))</f>
        <v>0</v>
      </c>
      <c r="O35" s="209">
        <f>SUMIFS(Banco[Monto],Banco[CtaCtbl],$C35,Banco[Periodo Contable],TEXT(O$3,"mmm-yyyy"))</f>
        <v>0</v>
      </c>
      <c r="P35" s="209">
        <f>SUMIFS(Banco[Monto],Banco[CtaCtbl],$C35,Banco[Periodo Contable],TEXT(P$3,"mmm-yyyy"))</f>
        <v>0</v>
      </c>
      <c r="Q35" s="209">
        <f>SUMIFS(Banco[Monto],Banco[CtaCtbl],$C35,Banco[Periodo Contable],TEXT(Q$3,"mmm-yyyy"))</f>
        <v>0</v>
      </c>
      <c r="R35" s="209">
        <f>SUMIFS(Banco[Monto],Banco[CtaCtbl],$C35,Banco[Periodo Contable],TEXT(R$3,"mmm-yyyy"))</f>
        <v>0</v>
      </c>
      <c r="S35" s="209">
        <f>SUMIFS(Banco[Monto],Banco[CtaCtbl],$C35,Banco[Periodo Contable],TEXT(S$3,"mmm-yyyy"))</f>
        <v>0</v>
      </c>
      <c r="T35" s="209">
        <f>SUMIFS(Banco[Monto],Banco[CtaCtbl],$C35,Banco[Periodo Contable],TEXT(T$3,"mmm-yyyy"))</f>
        <v>0</v>
      </c>
      <c r="U35" s="209">
        <f>SUMIFS(Banco[Monto],Banco[CtaCtbl],$C35,Banco[Periodo Contable],TEXT(U$3,"mmm-yyyy"))</f>
        <v>0</v>
      </c>
      <c r="V35" s="300">
        <f>SUM(Tabla17[[#This Row],[ene-22]:[dic-22]])</f>
        <v>0</v>
      </c>
      <c r="W35" s="209">
        <f>SUMIFS(Banco[Monto],Banco[CtaCtbl],$C35,Banco[Periodo Contable],TEXT(W$3,"mmm-yyyy"))</f>
        <v>0</v>
      </c>
      <c r="X35" s="209">
        <f>SUMIFS(Banco[Monto],Banco[CtaCtbl],$C35,Banco[Periodo Contable],TEXT(X$3,"mmm-yyyy"))</f>
        <v>0</v>
      </c>
      <c r="Y35" s="209">
        <f>SUMIFS(Banco[Monto],Banco[CtaCtbl],$C35,Banco[Periodo Contable],TEXT(Y$3,"mmm-yyyy"))</f>
        <v>0</v>
      </c>
      <c r="Z35" s="209">
        <f>SUMIFS(Banco[Monto],Banco[CtaCtbl],$C35,Banco[Periodo Contable],TEXT(Z$3,"mmm-yyyy"))</f>
        <v>0</v>
      </c>
      <c r="AA35" s="209">
        <f>SUMIFS(Banco[Monto],Banco[CtaCtbl],$C35,Banco[Periodo Contable],TEXT(AA$3,"mmm-yyyy"))</f>
        <v>0</v>
      </c>
      <c r="AB35" s="209">
        <f>SUMIFS(Banco[Monto],Banco[CtaCtbl],$C35,Banco[Periodo Contable],TEXT(AB$3,"mmm-yyyy"))</f>
        <v>0</v>
      </c>
      <c r="AC35" s="209">
        <f>SUMIFS(Banco[Monto],Banco[CtaCtbl],$C35,Banco[Periodo Contable],TEXT(AC$3,"mmm-yyyy"))</f>
        <v>0</v>
      </c>
      <c r="AD35" s="209">
        <f>SUMIFS(Banco[Monto],Banco[CtaCtbl],$C35,Banco[Periodo Contable],TEXT(AD$3,"mmm-yyyy"))</f>
        <v>0</v>
      </c>
      <c r="AE35" s="209">
        <f>SUMIFS(Banco[Monto],Banco[CtaCtbl],$C35,Banco[Periodo Contable],TEXT(AE$3,"mmm-yyyy"))</f>
        <v>0</v>
      </c>
      <c r="AF35" s="209">
        <f>SUMIFS(Banco[Monto],Banco[CtaCtbl],$C35,Banco[Periodo Contable],TEXT(AF$3,"mmm-yyyy"))</f>
        <v>0</v>
      </c>
      <c r="AG35" s="209">
        <f>SUMIFS(Banco[Monto],Banco[CtaCtbl],$C35,Banco[Periodo Contable],TEXT(AG$3,"mmm-yyyy"))</f>
        <v>0</v>
      </c>
      <c r="AH35" s="209">
        <f>SUMIFS(Banco[Monto],Banco[CtaCtbl],$C35,Banco[Periodo Contable],TEXT(AH$3,"mmm-yyyy"))</f>
        <v>0</v>
      </c>
      <c r="AI35" s="300">
        <f>SUM(Tabla17[[#This Row],[ene-23]:[dic-23]])</f>
        <v>0</v>
      </c>
      <c r="AJ35" s="209">
        <f>SUMIFS(Banco[Monto],Banco[CtaCtbl],$C35,Banco[Periodo Contable],TEXT(AJ$3,"mmm-yyyy"))</f>
        <v>0</v>
      </c>
      <c r="AK35" s="209">
        <f>SUMIFS(Banco[Monto],Banco[CtaCtbl],$C35,Banco[Periodo Contable],TEXT(AK$3,"mmm-yyyy"))</f>
        <v>0</v>
      </c>
      <c r="AL35" s="209">
        <f>SUMIFS(Banco[Monto],Banco[CtaCtbl],$C35,Banco[Periodo Contable],TEXT(AL$3,"mmm-yyyy"))</f>
        <v>0</v>
      </c>
      <c r="AM35" s="209">
        <f>SUMIFS(Banco[Monto],Banco[CtaCtbl],$C35,Banco[Periodo Contable],TEXT(AM$3,"mmm-yyyy"))</f>
        <v>0</v>
      </c>
      <c r="AN35" s="209">
        <f>SUMIFS(Banco[Monto],Banco[CtaCtbl],$C35,Banco[Periodo Contable],TEXT(AN$3,"mmm-yyyy"))</f>
        <v>0</v>
      </c>
      <c r="AO35" s="209">
        <f>SUMIFS(Banco[Monto],Banco[CtaCtbl],$C35,Banco[Periodo Contable],TEXT(AO$3,"mmm-yyyy"))</f>
        <v>0</v>
      </c>
      <c r="AP35" s="209">
        <f>SUMIFS(Banco[Monto],Banco[CtaCtbl],$C35,Banco[Periodo Contable],TEXT(AP$3,"mmm-yyyy"))</f>
        <v>0</v>
      </c>
      <c r="AQ35" s="209">
        <f>SUMIFS(Banco[Monto],Banco[CtaCtbl],$C35,Banco[Periodo Contable],TEXT(AQ$3,"mmm-yyyy"))</f>
        <v>0</v>
      </c>
      <c r="AR35" s="209">
        <f>SUMIFS(Banco[Monto],Banco[CtaCtbl],$C35,Banco[Periodo Contable],TEXT(AR$3,"mmm-yyyy"))</f>
        <v>0</v>
      </c>
      <c r="AS35" s="209">
        <f>SUMIFS(Banco[Monto],Banco[CtaCtbl],$C35,Banco[Periodo Contable],TEXT(AS$3,"mmm-yyyy"))</f>
        <v>0</v>
      </c>
      <c r="AT35" s="209">
        <f>SUMIFS(Banco[Monto],Banco[CtaCtbl],$C35,Banco[Periodo Contable],TEXT(AT$3,"mmm-yyyy"))</f>
        <v>0</v>
      </c>
      <c r="AU35" s="209">
        <f>SUMIFS(Banco[Monto],Banco[CtaCtbl],$C35,Banco[Periodo Contable],TEXT(AU$3,"mmm-yyyy"))</f>
        <v>0</v>
      </c>
      <c r="AV35" s="300">
        <f>SUM(Tabla17[[#This Row],[ene-24]:[dic-24]])</f>
        <v>0</v>
      </c>
      <c r="AW35" s="209">
        <f>SUMIFS(Banco[Monto],Banco[CtaCtbl],$C35,Banco[Periodo Contable],TEXT(AW$3,"mmm-yyyy"))</f>
        <v>0</v>
      </c>
      <c r="AX35" s="209">
        <f>SUMIFS(Banco[Monto],Banco[CtaCtbl],$C35,Banco[Periodo Contable],TEXT(AX$3,"mmm-yyyy"))</f>
        <v>0</v>
      </c>
      <c r="AY35" s="209">
        <f>SUMIFS(Banco[Monto],Banco[CtaCtbl],$C35,Banco[Periodo Contable],TEXT(AY$3,"mmm-yyyy"))</f>
        <v>0</v>
      </c>
      <c r="AZ35" s="209">
        <f>SUMIFS(Banco[Monto],Banco[CtaCtbl],$C35,Banco[Periodo Contable],TEXT(AZ$3,"mmm-yyyy"))</f>
        <v>0</v>
      </c>
      <c r="BA35" s="209">
        <f>SUMIFS(Banco[Monto],Banco[CtaCtbl],$C35,Banco[Periodo Contable],TEXT(BA$3,"mmm-yyyy"))</f>
        <v>0</v>
      </c>
      <c r="BB35" s="209">
        <f>SUMIFS(Banco[Monto],Banco[CtaCtbl],$C35,Banco[Periodo Contable],TEXT(BB$3,"mmm-yyyy"))</f>
        <v>0</v>
      </c>
      <c r="BC35" s="209">
        <f>SUMIFS(Banco[Monto],Banco[CtaCtbl],$C35,Banco[Periodo Contable],TEXT(BC$3,"mmm-yyyy"))</f>
        <v>-3537</v>
      </c>
      <c r="BD35" s="209">
        <f>SUMIFS(Banco[Monto],Banco[CtaCtbl],$C35,Banco[Periodo Contable],TEXT(BD$3,"mmm-yyyy"))</f>
        <v>0</v>
      </c>
      <c r="BE35" s="209">
        <f>SUMIFS(Banco[Monto],Banco[CtaCtbl],$C35,Banco[Periodo Contable],TEXT(BE$3,"mmm-yyyy"))</f>
        <v>0</v>
      </c>
      <c r="BF35" s="209">
        <f>SUMIFS(Banco[Monto],Banco[CtaCtbl],$C35,Banco[Periodo Contable],TEXT(BF$3,"mmm-yyyy"))</f>
        <v>0</v>
      </c>
      <c r="BG35" s="209">
        <f>SUMIFS(Banco[Monto],Banco[CtaCtbl],$C35,Banco[Periodo Contable],TEXT(BG$3,"mmm-yyyy"))</f>
        <v>0</v>
      </c>
      <c r="BH35" s="209">
        <f>SUMIFS(Banco[Monto],Banco[CtaCtbl],$C35,Banco[Periodo Contable],TEXT(BH$3,"mmm-yyyy"))</f>
        <v>0</v>
      </c>
      <c r="BI35" s="232">
        <f>SUM(Tabla17[[#This Row],[ene-25]:[dic-25]])</f>
        <v>-3537</v>
      </c>
      <c r="BJ35" s="209">
        <f>SUMIFS(Banco[Monto],Banco[CtaCtbl],$C35,Banco[Periodo Contable],TEXT(BJ$3,"mmm-yyyy"))</f>
        <v>0</v>
      </c>
      <c r="BK35" s="209">
        <f>SUMIFS(Banco[Monto],Banco[CtaCtbl],$C35,Banco[Periodo Contable],TEXT(BK$3,"mmm-yyyy"))</f>
        <v>0</v>
      </c>
      <c r="BL35" s="209">
        <f>SUMIFS(Banco[Monto],Banco[CtaCtbl],$C35,Banco[Periodo Contable],TEXT(BL$3,"mmm-yyyy"))</f>
        <v>0</v>
      </c>
      <c r="BM35" s="209">
        <f>SUMIFS(Banco[Monto],Banco[CtaCtbl],$C35,Banco[Periodo Contable],TEXT(BM$3,"mmm-yyyy"))</f>
        <v>0</v>
      </c>
      <c r="BN35" s="209">
        <f>SUMIFS(Banco[Monto],Banco[CtaCtbl],$C35,Banco[Periodo Contable],TEXT(BN$3,"mmm-yyyy"))</f>
        <v>0</v>
      </c>
      <c r="BO35" s="209">
        <f>SUMIFS(Banco[Monto],Banco[CtaCtbl],$C35,Banco[Periodo Contable],TEXT(BO$3,"mmm-yyyy"))</f>
        <v>0</v>
      </c>
      <c r="BP35" s="209">
        <f>SUMIFS(Banco[Monto],Banco[CtaCtbl],$C35,Banco[Periodo Contable],TEXT(BP$3,"mmm-yyyy"))</f>
        <v>0</v>
      </c>
      <c r="BQ35" s="209">
        <f>SUMIFS(Banco[Monto],Banco[CtaCtbl],$C35,Banco[Periodo Contable],TEXT(BQ$3,"mmm-yyyy"))</f>
        <v>0</v>
      </c>
      <c r="BR35" s="209">
        <f>SUMIFS(Banco[Monto],Banco[CtaCtbl],$C35,Banco[Periodo Contable],TEXT(BR$3,"mmm-yyyy"))</f>
        <v>0</v>
      </c>
      <c r="BS35" s="209">
        <f>SUMIFS(Banco[Monto],Banco[CtaCtbl],$C35,Banco[Periodo Contable],TEXT(BS$3,"mmm-yyyy"))</f>
        <v>0</v>
      </c>
      <c r="BT35" s="209">
        <f>SUMIFS(Banco[Monto],Banco[CtaCtbl],$C35,Banco[Periodo Contable],TEXT(BT$3,"mmm-yyyy"))</f>
        <v>0</v>
      </c>
      <c r="BU35" s="209">
        <f>SUMIFS(Banco[Monto],Banco[CtaCtbl],$C35,Banco[Periodo Contable],TEXT(BU$3,"mmm-yyyy"))</f>
        <v>0</v>
      </c>
      <c r="BV35" s="232">
        <f>SUM(Tabla17[[#This Row],[ene-26]:[dic-26]])</f>
        <v>0</v>
      </c>
      <c r="BW35" s="209">
        <f>SUMIFS(Banco[Monto],Banco[CtaCtbl],$C35,Banco[Periodo Contable],TEXT(BW$3,"mmm-yyyy"))</f>
        <v>0</v>
      </c>
    </row>
    <row r="36" spans="1:75" s="293" customFormat="1" ht="21.6" outlineLevel="3">
      <c r="A36" s="206" t="s">
        <v>302</v>
      </c>
      <c r="B36" s="24" t="s">
        <v>303</v>
      </c>
      <c r="C36" s="207" t="str">
        <f>+Tabla17[[#This Row],[Cuenta]]&amp;" - "&amp;Tabla17[[#This Row],[Descripcion Cuenta]]</f>
        <v>2.01.02.02 - Impuestos Tributarios</v>
      </c>
      <c r="D36" s="208"/>
      <c r="E36" s="209">
        <f>SUMIFS(Banco[Monto],Banco[CtaCtbl],$C36,Banco[Periodo Contable],TEXT(E$3,"mmm-yyyy"))</f>
        <v>0</v>
      </c>
      <c r="F36" s="209">
        <f>SUMIFS(Banco[Monto],Banco[CtaCtbl],$C36,Banco[Periodo Contable],TEXT(F$3,"mmm-yyyy"))</f>
        <v>0</v>
      </c>
      <c r="G36" s="209">
        <f>SUMIFS(Banco[Monto],Banco[CtaCtbl],$C36,Banco[Periodo Contable],TEXT(G$3,"mmm-yyyy"))</f>
        <v>0</v>
      </c>
      <c r="H36" s="209">
        <f>SUMIFS(Banco[Monto],Banco[CtaCtbl],$C36,Banco[Periodo Contable],TEXT(H$3,"mmm-yyyy"))</f>
        <v>0</v>
      </c>
      <c r="I36" s="209">
        <f>SUM(Tabla17[[#This Row],[sept-21]:[dic-21]])</f>
        <v>0</v>
      </c>
      <c r="J36" s="209">
        <f>SUMIFS(Banco[Monto],Banco[CtaCtbl],$C36,Banco[Periodo Contable],TEXT(J$3,"mmm-yyyy"))</f>
        <v>0</v>
      </c>
      <c r="K36" s="209">
        <f>SUMIFS(Banco[Monto],Banco[CtaCtbl],$C36,Banco[Periodo Contable],TEXT(K$3,"mmm-yyyy"))</f>
        <v>0</v>
      </c>
      <c r="L36" s="209">
        <f>SUMIFS(Banco[Monto],Banco[CtaCtbl],$C36,Banco[Periodo Contable],TEXT(L$3,"mmm-yyyy"))</f>
        <v>0</v>
      </c>
      <c r="M36" s="209">
        <f>SUMIFS(Banco[Monto],Banco[CtaCtbl],$C36,Banco[Periodo Contable],TEXT(M$3,"mmm-yyyy"))</f>
        <v>0</v>
      </c>
      <c r="N36" s="209">
        <f>SUMIFS(Banco[Monto],Banco[CtaCtbl],$C36,Banco[Periodo Contable],TEXT(N$3,"mmm-yyyy"))</f>
        <v>0</v>
      </c>
      <c r="O36" s="209">
        <f>SUMIFS(Banco[Monto],Banco[CtaCtbl],$C36,Banco[Periodo Contable],TEXT(O$3,"mmm-yyyy"))</f>
        <v>0</v>
      </c>
      <c r="P36" s="209">
        <f>SUMIFS(Banco[Monto],Banco[CtaCtbl],$C36,Banco[Periodo Contable],TEXT(P$3,"mmm-yyyy"))</f>
        <v>0</v>
      </c>
      <c r="Q36" s="209">
        <f>SUMIFS(Banco[Monto],Banco[CtaCtbl],$C36,Banco[Periodo Contable],TEXT(Q$3,"mmm-yyyy"))</f>
        <v>0</v>
      </c>
      <c r="R36" s="209">
        <f>SUMIFS(Banco[Monto],Banco[CtaCtbl],$C36,Banco[Periodo Contable],TEXT(R$3,"mmm-yyyy"))</f>
        <v>0</v>
      </c>
      <c r="S36" s="209">
        <f>SUMIFS(Banco[Monto],Banco[CtaCtbl],$C36,Banco[Periodo Contable],TEXT(S$3,"mmm-yyyy"))</f>
        <v>0</v>
      </c>
      <c r="T36" s="209">
        <f>SUMIFS(Banco[Monto],Banco[CtaCtbl],$C36,Banco[Periodo Contable],TEXT(T$3,"mmm-yyyy"))</f>
        <v>0</v>
      </c>
      <c r="U36" s="209">
        <f>SUMIFS(Banco[Monto],Banco[CtaCtbl],$C36,Banco[Periodo Contable],TEXT(U$3,"mmm-yyyy"))</f>
        <v>0</v>
      </c>
      <c r="V36" s="300">
        <f>SUM(Tabla17[[#This Row],[ene-22]:[dic-22]])</f>
        <v>0</v>
      </c>
      <c r="W36" s="209">
        <f>SUMIFS(Banco[Monto],Banco[CtaCtbl],$C36,Banco[Periodo Contable],TEXT(W$3,"mmm-yyyy"))</f>
        <v>0</v>
      </c>
      <c r="X36" s="209">
        <f>SUMIFS(Banco[Monto],Banco[CtaCtbl],$C36,Banco[Periodo Contable],TEXT(X$3,"mmm-yyyy"))</f>
        <v>0</v>
      </c>
      <c r="Y36" s="209">
        <f>SUMIFS(Banco[Monto],Banco[CtaCtbl],$C36,Banco[Periodo Contable],TEXT(Y$3,"mmm-yyyy"))</f>
        <v>0</v>
      </c>
      <c r="Z36" s="209">
        <f>SUMIFS(Banco[Monto],Banco[CtaCtbl],$C36,Banco[Periodo Contable],TEXT(Z$3,"mmm-yyyy"))</f>
        <v>0</v>
      </c>
      <c r="AA36" s="209">
        <f>SUMIFS(Banco[Monto],Banco[CtaCtbl],$C36,Banco[Periodo Contable],TEXT(AA$3,"mmm-yyyy"))</f>
        <v>0</v>
      </c>
      <c r="AB36" s="209">
        <f>SUMIFS(Banco[Monto],Banco[CtaCtbl],$C36,Banco[Periodo Contable],TEXT(AB$3,"mmm-yyyy"))</f>
        <v>0</v>
      </c>
      <c r="AC36" s="209">
        <f>SUMIFS(Banco[Monto],Banco[CtaCtbl],$C36,Banco[Periodo Contable],TEXT(AC$3,"mmm-yyyy"))</f>
        <v>0</v>
      </c>
      <c r="AD36" s="209">
        <f>SUMIFS(Banco[Monto],Banco[CtaCtbl],$C36,Banco[Periodo Contable],TEXT(AD$3,"mmm-yyyy"))</f>
        <v>0</v>
      </c>
      <c r="AE36" s="209">
        <f>SUMIFS(Banco[Monto],Banco[CtaCtbl],$C36,Banco[Periodo Contable],TEXT(AE$3,"mmm-yyyy"))</f>
        <v>0</v>
      </c>
      <c r="AF36" s="209">
        <f>SUMIFS(Banco[Monto],Banco[CtaCtbl],$C36,Banco[Periodo Contable],TEXT(AF$3,"mmm-yyyy"))</f>
        <v>0</v>
      </c>
      <c r="AG36" s="209">
        <f>SUMIFS(Banco[Monto],Banco[CtaCtbl],$C36,Banco[Periodo Contable],TEXT(AG$3,"mmm-yyyy"))</f>
        <v>0</v>
      </c>
      <c r="AH36" s="209">
        <f>SUMIFS(Banco[Monto],Banco[CtaCtbl],$C36,Banco[Periodo Contable],TEXT(AH$3,"mmm-yyyy"))</f>
        <v>0</v>
      </c>
      <c r="AI36" s="300">
        <f>SUM(Tabla17[[#This Row],[ene-23]:[dic-23]])</f>
        <v>0</v>
      </c>
      <c r="AJ36" s="209">
        <f>SUMIFS(Banco[Monto],Banco[CtaCtbl],$C36,Banco[Periodo Contable],TEXT(AJ$3,"mmm-yyyy"))</f>
        <v>0</v>
      </c>
      <c r="AK36" s="209">
        <f>SUMIFS(Banco[Monto],Banco[CtaCtbl],$C36,Banco[Periodo Contable],TEXT(AK$3,"mmm-yyyy"))</f>
        <v>0</v>
      </c>
      <c r="AL36" s="209">
        <f>SUMIFS(Banco[Monto],Banco[CtaCtbl],$C36,Banco[Periodo Contable],TEXT(AL$3,"mmm-yyyy"))</f>
        <v>0</v>
      </c>
      <c r="AM36" s="209">
        <f>SUMIFS(Banco[Monto],Banco[CtaCtbl],$C36,Banco[Periodo Contable],TEXT(AM$3,"mmm-yyyy"))</f>
        <v>0</v>
      </c>
      <c r="AN36" s="209">
        <f>SUMIFS(Banco[Monto],Banco[CtaCtbl],$C36,Banco[Periodo Contable],TEXT(AN$3,"mmm-yyyy"))</f>
        <v>0</v>
      </c>
      <c r="AO36" s="209">
        <f>SUMIFS(Banco[Monto],Banco[CtaCtbl],$C36,Banco[Periodo Contable],TEXT(AO$3,"mmm-yyyy"))</f>
        <v>0</v>
      </c>
      <c r="AP36" s="209">
        <f>SUMIFS(Banco[Monto],Banco[CtaCtbl],$C36,Banco[Periodo Contable],TEXT(AP$3,"mmm-yyyy"))</f>
        <v>0</v>
      </c>
      <c r="AQ36" s="209">
        <f>SUMIFS(Banco[Monto],Banco[CtaCtbl],$C36,Banco[Periodo Contable],TEXT(AQ$3,"mmm-yyyy"))</f>
        <v>0</v>
      </c>
      <c r="AR36" s="209">
        <f>SUMIFS(Banco[Monto],Banco[CtaCtbl],$C36,Banco[Periodo Contable],TEXT(AR$3,"mmm-yyyy"))</f>
        <v>0</v>
      </c>
      <c r="AS36" s="209">
        <f>SUMIFS(Banco[Monto],Banco[CtaCtbl],$C36,Banco[Periodo Contable],TEXT(AS$3,"mmm-yyyy"))</f>
        <v>0</v>
      </c>
      <c r="AT36" s="209">
        <f>SUMIFS(Banco[Monto],Banco[CtaCtbl],$C36,Banco[Periodo Contable],TEXT(AT$3,"mmm-yyyy"))</f>
        <v>0</v>
      </c>
      <c r="AU36" s="209">
        <f>SUMIFS(Banco[Monto],Banco[CtaCtbl],$C36,Banco[Periodo Contable],TEXT(AU$3,"mmm-yyyy"))</f>
        <v>0</v>
      </c>
      <c r="AV36" s="300">
        <f>SUM(Tabla17[[#This Row],[ene-24]:[dic-24]])</f>
        <v>0</v>
      </c>
      <c r="AW36" s="209">
        <f>SUMIFS(Banco[Monto],Banco[CtaCtbl],$C36,Banco[Periodo Contable],TEXT(AW$3,"mmm-yyyy"))</f>
        <v>0</v>
      </c>
      <c r="AX36" s="209">
        <f>SUMIFS(Banco[Monto],Banco[CtaCtbl],$C36,Banco[Periodo Contable],TEXT(AX$3,"mmm-yyyy"))</f>
        <v>0</v>
      </c>
      <c r="AY36" s="209">
        <f>SUMIFS(Banco[Monto],Banco[CtaCtbl],$C36,Banco[Periodo Contable],TEXT(AY$3,"mmm-yyyy"))</f>
        <v>0</v>
      </c>
      <c r="AZ36" s="209">
        <f>SUMIFS(Banco[Monto],Banco[CtaCtbl],$C36,Banco[Periodo Contable],TEXT(AZ$3,"mmm-yyyy"))</f>
        <v>0</v>
      </c>
      <c r="BA36" s="209">
        <f>SUMIFS(Banco[Monto],Banco[CtaCtbl],$C36,Banco[Periodo Contable],TEXT(BA$3,"mmm-yyyy"))</f>
        <v>0</v>
      </c>
      <c r="BB36" s="209">
        <f>SUMIFS(Banco[Monto],Banco[CtaCtbl],$C36,Banco[Periodo Contable],TEXT(BB$3,"mmm-yyyy"))</f>
        <v>0</v>
      </c>
      <c r="BC36" s="209">
        <f>SUMIFS(Banco[Monto],Banco[CtaCtbl],$C36,Banco[Periodo Contable],TEXT(BC$3,"mmm-yyyy"))</f>
        <v>0</v>
      </c>
      <c r="BD36" s="209">
        <f>SUMIFS(Banco[Monto],Banco[CtaCtbl],$C36,Banco[Periodo Contable],TEXT(BD$3,"mmm-yyyy"))</f>
        <v>0</v>
      </c>
      <c r="BE36" s="209">
        <f>SUMIFS(Banco[Monto],Banco[CtaCtbl],$C36,Banco[Periodo Contable],TEXT(BE$3,"mmm-yyyy"))</f>
        <v>0</v>
      </c>
      <c r="BF36" s="209">
        <f>SUMIFS(Banco[Monto],Banco[CtaCtbl],$C36,Banco[Periodo Contable],TEXT(BF$3,"mmm-yyyy"))</f>
        <v>0</v>
      </c>
      <c r="BG36" s="209">
        <f>SUMIFS(Banco[Monto],Banco[CtaCtbl],$C36,Banco[Periodo Contable],TEXT(BG$3,"mmm-yyyy"))</f>
        <v>0</v>
      </c>
      <c r="BH36" s="209">
        <f>SUMIFS(Banco[Monto],Banco[CtaCtbl],$C36,Banco[Periodo Contable],TEXT(BH$3,"mmm-yyyy"))</f>
        <v>0</v>
      </c>
      <c r="BI36" s="232">
        <f>SUM(Tabla17[[#This Row],[ene-25]:[dic-25]])</f>
        <v>0</v>
      </c>
      <c r="BJ36" s="209">
        <f>SUMIFS(Banco[Monto],Banco[CtaCtbl],$C36,Banco[Periodo Contable],TEXT(BJ$3,"mmm-yyyy"))</f>
        <v>0</v>
      </c>
      <c r="BK36" s="209">
        <f>SUMIFS(Banco[Monto],Banco[CtaCtbl],$C36,Banco[Periodo Contable],TEXT(BK$3,"mmm-yyyy"))</f>
        <v>0</v>
      </c>
      <c r="BL36" s="209">
        <f>SUMIFS(Banco[Monto],Banco[CtaCtbl],$C36,Banco[Periodo Contable],TEXT(BL$3,"mmm-yyyy"))</f>
        <v>0</v>
      </c>
      <c r="BM36" s="209">
        <f>SUMIFS(Banco[Monto],Banco[CtaCtbl],$C36,Banco[Periodo Contable],TEXT(BM$3,"mmm-yyyy"))</f>
        <v>0</v>
      </c>
      <c r="BN36" s="209">
        <f>SUMIFS(Banco[Monto],Banco[CtaCtbl],$C36,Banco[Periodo Contable],TEXT(BN$3,"mmm-yyyy"))</f>
        <v>0</v>
      </c>
      <c r="BO36" s="209">
        <f>SUMIFS(Banco[Monto],Banco[CtaCtbl],$C36,Banco[Periodo Contable],TEXT(BO$3,"mmm-yyyy"))</f>
        <v>0</v>
      </c>
      <c r="BP36" s="209">
        <f>SUMIFS(Banco[Monto],Banco[CtaCtbl],$C36,Banco[Periodo Contable],TEXT(BP$3,"mmm-yyyy"))</f>
        <v>0</v>
      </c>
      <c r="BQ36" s="209">
        <f>SUMIFS(Banco[Monto],Banco[CtaCtbl],$C36,Banco[Periodo Contable],TEXT(BQ$3,"mmm-yyyy"))</f>
        <v>0</v>
      </c>
      <c r="BR36" s="209">
        <f>SUMIFS(Banco[Monto],Banco[CtaCtbl],$C36,Banco[Periodo Contable],TEXT(BR$3,"mmm-yyyy"))</f>
        <v>0</v>
      </c>
      <c r="BS36" s="209">
        <f>SUMIFS(Banco[Monto],Banco[CtaCtbl],$C36,Banco[Periodo Contable],TEXT(BS$3,"mmm-yyyy"))</f>
        <v>0</v>
      </c>
      <c r="BT36" s="209">
        <f>SUMIFS(Banco[Monto],Banco[CtaCtbl],$C36,Banco[Periodo Contable],TEXT(BT$3,"mmm-yyyy"))</f>
        <v>0</v>
      </c>
      <c r="BU36" s="209">
        <f>SUMIFS(Banco[Monto],Banco[CtaCtbl],$C36,Banco[Periodo Contable],TEXT(BU$3,"mmm-yyyy"))</f>
        <v>0</v>
      </c>
      <c r="BV36" s="232">
        <f>SUM(Tabla17[[#This Row],[ene-26]:[dic-26]])</f>
        <v>0</v>
      </c>
      <c r="BW36" s="209">
        <f>SUMIFS(Banco[Monto],Banco[CtaCtbl],$C36,Banco[Periodo Contable],TEXT(BW$3,"mmm-yyyy"))</f>
        <v>0</v>
      </c>
    </row>
    <row r="37" spans="1:75" ht="21.6" outlineLevel="2">
      <c r="A37" s="38" t="s">
        <v>304</v>
      </c>
      <c r="B37" s="18" t="s">
        <v>305</v>
      </c>
      <c r="C37" s="19" t="str">
        <f>+Tabla17[[#This Row],[Cuenta]]&amp;" - "&amp;Tabla17[[#This Row],[Descripcion Cuenta]]</f>
        <v>2.01.03 - Servicios</v>
      </c>
      <c r="D37" s="39"/>
      <c r="E37" s="44">
        <f t="shared" ref="E37:BW37" si="121">SUBTOTAL(9,E38:E58)</f>
        <v>0</v>
      </c>
      <c r="F37" s="44">
        <f t="shared" si="121"/>
        <v>0</v>
      </c>
      <c r="G37" s="44">
        <f t="shared" si="121"/>
        <v>-614571</v>
      </c>
      <c r="H37" s="44">
        <f t="shared" si="121"/>
        <v>0</v>
      </c>
      <c r="I37" s="44">
        <f>SUM(Tabla17[[#This Row],[sept-21]:[dic-21]])</f>
        <v>-614571</v>
      </c>
      <c r="J37" s="44">
        <f t="shared" si="121"/>
        <v>-233827</v>
      </c>
      <c r="K37" s="44">
        <f t="shared" si="121"/>
        <v>-119949</v>
      </c>
      <c r="L37" s="44">
        <f t="shared" si="121"/>
        <v>-2300</v>
      </c>
      <c r="M37" s="44">
        <f t="shared" si="121"/>
        <v>-380572</v>
      </c>
      <c r="N37" s="44">
        <f t="shared" si="121"/>
        <v>-380572</v>
      </c>
      <c r="O37" s="44">
        <f t="shared" si="121"/>
        <v>0</v>
      </c>
      <c r="P37" s="44">
        <f t="shared" si="121"/>
        <v>0</v>
      </c>
      <c r="Q37" s="44">
        <f t="shared" si="121"/>
        <v>0</v>
      </c>
      <c r="R37" s="44">
        <f t="shared" si="121"/>
        <v>0</v>
      </c>
      <c r="S37" s="44">
        <f t="shared" si="121"/>
        <v>0</v>
      </c>
      <c r="T37" s="44">
        <f t="shared" si="121"/>
        <v>0</v>
      </c>
      <c r="U37" s="44">
        <f t="shared" si="121"/>
        <v>0</v>
      </c>
      <c r="V37" s="44">
        <f t="shared" si="121"/>
        <v>-1117220</v>
      </c>
      <c r="W37" s="44">
        <f t="shared" si="121"/>
        <v>0</v>
      </c>
      <c r="X37" s="44">
        <f t="shared" si="121"/>
        <v>0</v>
      </c>
      <c r="Y37" s="44">
        <f t="shared" si="121"/>
        <v>0</v>
      </c>
      <c r="Z37" s="44">
        <f t="shared" si="121"/>
        <v>0</v>
      </c>
      <c r="AA37" s="44">
        <f t="shared" si="121"/>
        <v>0</v>
      </c>
      <c r="AB37" s="44">
        <f t="shared" si="121"/>
        <v>0</v>
      </c>
      <c r="AC37" s="44">
        <f t="shared" si="121"/>
        <v>0</v>
      </c>
      <c r="AD37" s="44">
        <f t="shared" si="121"/>
        <v>0</v>
      </c>
      <c r="AE37" s="44">
        <f t="shared" si="121"/>
        <v>0</v>
      </c>
      <c r="AF37" s="44">
        <f t="shared" si="121"/>
        <v>0</v>
      </c>
      <c r="AG37" s="44">
        <f t="shared" si="121"/>
        <v>0</v>
      </c>
      <c r="AH37" s="44">
        <f t="shared" si="121"/>
        <v>0</v>
      </c>
      <c r="AI37" s="44">
        <f t="shared" si="121"/>
        <v>0</v>
      </c>
      <c r="AJ37" s="44">
        <f t="shared" si="121"/>
        <v>0</v>
      </c>
      <c r="AK37" s="44">
        <f t="shared" si="121"/>
        <v>0</v>
      </c>
      <c r="AL37" s="44">
        <f t="shared" si="121"/>
        <v>0</v>
      </c>
      <c r="AM37" s="44">
        <f t="shared" si="121"/>
        <v>0</v>
      </c>
      <c r="AN37" s="44">
        <f t="shared" si="121"/>
        <v>-587510</v>
      </c>
      <c r="AO37" s="44">
        <f t="shared" si="121"/>
        <v>0</v>
      </c>
      <c r="AP37" s="44">
        <f t="shared" si="121"/>
        <v>0</v>
      </c>
      <c r="AQ37" s="44">
        <f t="shared" si="121"/>
        <v>0</v>
      </c>
      <c r="AR37" s="44">
        <f t="shared" si="121"/>
        <v>-115271</v>
      </c>
      <c r="AS37" s="44">
        <f t="shared" si="121"/>
        <v>-6284</v>
      </c>
      <c r="AT37" s="44">
        <f t="shared" si="121"/>
        <v>-93792</v>
      </c>
      <c r="AU37" s="44">
        <f t="shared" si="121"/>
        <v>-721979</v>
      </c>
      <c r="AV37" s="44">
        <f t="shared" si="121"/>
        <v>-1524836</v>
      </c>
      <c r="AW37" s="44">
        <f>SUBTOTAL(9,AW38:AW58)</f>
        <v>0</v>
      </c>
      <c r="AX37" s="44">
        <f t="shared" ref="AX37:BH37" si="122">SUBTOTAL(9,AX38:AX58)</f>
        <v>0</v>
      </c>
      <c r="AY37" s="44">
        <f t="shared" si="122"/>
        <v>0</v>
      </c>
      <c r="AZ37" s="44">
        <f t="shared" si="122"/>
        <v>-1719913</v>
      </c>
      <c r="BA37" s="44">
        <f t="shared" si="122"/>
        <v>-73540</v>
      </c>
      <c r="BB37" s="44">
        <f t="shared" si="122"/>
        <v>0</v>
      </c>
      <c r="BC37" s="44">
        <f t="shared" si="122"/>
        <v>0</v>
      </c>
      <c r="BD37" s="44">
        <f t="shared" si="122"/>
        <v>-13838</v>
      </c>
      <c r="BE37" s="44">
        <f t="shared" si="122"/>
        <v>0</v>
      </c>
      <c r="BF37" s="44">
        <f t="shared" si="122"/>
        <v>-160076</v>
      </c>
      <c r="BG37" s="44">
        <f t="shared" si="122"/>
        <v>-6294</v>
      </c>
      <c r="BH37" s="44">
        <f t="shared" si="122"/>
        <v>0</v>
      </c>
      <c r="BI37" s="44">
        <f>SUBTOTAL(9,BI38:BI58)</f>
        <v>-1973661</v>
      </c>
      <c r="BJ37" s="44">
        <f t="shared" ref="BJ37" si="123">SUBTOTAL(9,BJ38:BJ58)</f>
        <v>0</v>
      </c>
      <c r="BK37" s="44">
        <f t="shared" ref="BK37" si="124">SUBTOTAL(9,BK38:BK58)</f>
        <v>0</v>
      </c>
      <c r="BL37" s="44">
        <f t="shared" ref="BL37" si="125">SUBTOTAL(9,BL38:BL58)</f>
        <v>-167915</v>
      </c>
      <c r="BM37" s="44">
        <f t="shared" ref="BM37" si="126">SUBTOTAL(9,BM38:BM58)</f>
        <v>0</v>
      </c>
      <c r="BN37" s="44">
        <f t="shared" ref="BN37" si="127">SUBTOTAL(9,BN38:BN58)</f>
        <v>0</v>
      </c>
      <c r="BO37" s="44">
        <f t="shared" ref="BO37" si="128">SUBTOTAL(9,BO38:BO58)</f>
        <v>0</v>
      </c>
      <c r="BP37" s="44">
        <f t="shared" ref="BP37" si="129">SUBTOTAL(9,BP38:BP58)</f>
        <v>0</v>
      </c>
      <c r="BQ37" s="44">
        <f t="shared" ref="BQ37" si="130">SUBTOTAL(9,BQ38:BQ58)</f>
        <v>0</v>
      </c>
      <c r="BR37" s="44">
        <f t="shared" ref="BR37" si="131">SUBTOTAL(9,BR38:BR58)</f>
        <v>0</v>
      </c>
      <c r="BS37" s="44">
        <f t="shared" ref="BS37" si="132">SUBTOTAL(9,BS38:BS58)</f>
        <v>0</v>
      </c>
      <c r="BT37" s="44">
        <f t="shared" ref="BT37" si="133">SUBTOTAL(9,BT38:BT58)</f>
        <v>0</v>
      </c>
      <c r="BU37" s="44">
        <f t="shared" ref="BU37" si="134">SUBTOTAL(9,BU38:BU58)</f>
        <v>0</v>
      </c>
      <c r="BV37" s="44">
        <f>SUBTOTAL(9,BV38:BV58)</f>
        <v>-167915</v>
      </c>
      <c r="BW37" s="44">
        <f t="shared" si="121"/>
        <v>0</v>
      </c>
    </row>
    <row r="38" spans="1:75" ht="21.6" outlineLevel="7">
      <c r="A38" s="36" t="s">
        <v>306</v>
      </c>
      <c r="B38" s="16" t="s">
        <v>307</v>
      </c>
      <c r="C38" s="22" t="str">
        <f>+Tabla17[[#This Row],[Cuenta]]&amp;" - "&amp;Tabla17[[#This Row],[Descripcion Cuenta]]</f>
        <v>2.01.03.01 - Licencias Software</v>
      </c>
      <c r="D38" s="37"/>
      <c r="E38" s="49">
        <f>SUMIFS(Banco[Monto],Banco[CtaCtbl],$C38,Banco[Periodo Contable],TEXT(E$3,"mmm-yyyy"))</f>
        <v>0</v>
      </c>
      <c r="F38" s="49">
        <f>SUMIFS(Banco[Monto],Banco[CtaCtbl],$C38,Banco[Periodo Contable],TEXT(F$3,"mmm-yyyy"))</f>
        <v>0</v>
      </c>
      <c r="G38" s="49">
        <f>SUMIFS(Banco[Monto],Banco[CtaCtbl],$C38,Banco[Periodo Contable],TEXT(G$3,"mmm-yyyy"))</f>
        <v>0</v>
      </c>
      <c r="H38" s="49">
        <f>SUMIFS(Banco[Monto],Banco[CtaCtbl],$C38,Banco[Periodo Contable],TEXT(H$3,"mmm-yyyy"))</f>
        <v>0</v>
      </c>
      <c r="I38" s="49">
        <f>SUM(Tabla17[[#This Row],[sept-21]:[dic-21]])</f>
        <v>0</v>
      </c>
      <c r="J38" s="49">
        <f>SUMIFS(Banco[Monto],Banco[CtaCtbl],$C38,Banco[Periodo Contable],TEXT(J$3,"mmm-yyyy"))</f>
        <v>0</v>
      </c>
      <c r="K38" s="49">
        <f>SUMIFS(Banco[Monto],Banco[CtaCtbl],$C38,Banco[Periodo Contable],TEXT(K$3,"mmm-yyyy"))</f>
        <v>0</v>
      </c>
      <c r="L38" s="49">
        <f>SUMIFS(Banco[Monto],Banco[CtaCtbl],$C38,Banco[Periodo Contable],TEXT(L$3,"mmm-yyyy"))</f>
        <v>0</v>
      </c>
      <c r="M38" s="49">
        <f>SUMIFS(Banco[Monto],Banco[CtaCtbl],$C38,Banco[Periodo Contable],TEXT(M$3,"mmm-yyyy"))</f>
        <v>0</v>
      </c>
      <c r="N38" s="49">
        <f>SUMIFS(Banco[Monto],Banco[CtaCtbl],$C38,Banco[Periodo Contable],TEXT(N$3,"mmm-yyyy"))</f>
        <v>0</v>
      </c>
      <c r="O38" s="49">
        <f>SUMIFS(Banco[Monto],Banco[CtaCtbl],$C38,Banco[Periodo Contable],TEXT(O$3,"mmm-yyyy"))</f>
        <v>0</v>
      </c>
      <c r="P38" s="49">
        <f>SUMIFS(Banco[Monto],Banco[CtaCtbl],$C38,Banco[Periodo Contable],TEXT(P$3,"mmm-yyyy"))</f>
        <v>0</v>
      </c>
      <c r="Q38" s="49">
        <f>SUMIFS(Banco[Monto],Banco[CtaCtbl],$C38,Banco[Periodo Contable],TEXT(Q$3,"mmm-yyyy"))</f>
        <v>0</v>
      </c>
      <c r="R38" s="49">
        <f>SUMIFS(Banco[Monto],Banco[CtaCtbl],$C38,Banco[Periodo Contable],TEXT(R$3,"mmm-yyyy"))</f>
        <v>0</v>
      </c>
      <c r="S38" s="49">
        <f>SUMIFS(Banco[Monto],Banco[CtaCtbl],$C38,Banco[Periodo Contable],TEXT(S$3,"mmm-yyyy"))</f>
        <v>0</v>
      </c>
      <c r="T38" s="49">
        <f>SUMIFS(Banco[Monto],Banco[CtaCtbl],$C38,Banco[Periodo Contable],TEXT(T$3,"mmm-yyyy"))</f>
        <v>0</v>
      </c>
      <c r="U38" s="49">
        <f>SUMIFS(Banco[Monto],Banco[CtaCtbl],$C38,Banco[Periodo Contable],TEXT(U$3,"mmm-yyyy"))</f>
        <v>0</v>
      </c>
      <c r="V38" s="300">
        <f>SUM(Tabla17[[#This Row],[ene-22]:[dic-22]])</f>
        <v>0</v>
      </c>
      <c r="W38" s="49">
        <f>SUMIFS(Banco[Monto],Banco[CtaCtbl],$C38,Banco[Periodo Contable],TEXT(W$3,"mmm-yyyy"))</f>
        <v>0</v>
      </c>
      <c r="X38" s="49">
        <f>SUMIFS(Banco[Monto],Banco[CtaCtbl],$C38,Banco[Periodo Contable],TEXT(X$3,"mmm-yyyy"))</f>
        <v>0</v>
      </c>
      <c r="Y38" s="49">
        <f>SUMIFS(Banco[Monto],Banco[CtaCtbl],$C38,Banco[Periodo Contable],TEXT(Y$3,"mmm-yyyy"))</f>
        <v>0</v>
      </c>
      <c r="Z38" s="49">
        <f>SUMIFS(Banco[Monto],Banco[CtaCtbl],$C38,Banco[Periodo Contable],TEXT(Z$3,"mmm-yyyy"))</f>
        <v>0</v>
      </c>
      <c r="AA38" s="49">
        <f>SUMIFS(Banco[Monto],Banco[CtaCtbl],$C38,Banco[Periodo Contable],TEXT(AA$3,"mmm-yyyy"))</f>
        <v>0</v>
      </c>
      <c r="AB38" s="49">
        <f>SUMIFS(Banco[Monto],Banco[CtaCtbl],$C38,Banco[Periodo Contable],TEXT(AB$3,"mmm-yyyy"))</f>
        <v>0</v>
      </c>
      <c r="AC38" s="49">
        <f>SUMIFS(Banco[Monto],Banco[CtaCtbl],$C38,Banco[Periodo Contable],TEXT(AC$3,"mmm-yyyy"))</f>
        <v>0</v>
      </c>
      <c r="AD38" s="49">
        <f>SUMIFS(Banco[Monto],Banco[CtaCtbl],$C38,Banco[Periodo Contable],TEXT(AD$3,"mmm-yyyy"))</f>
        <v>0</v>
      </c>
      <c r="AE38" s="49">
        <f>SUMIFS(Banco[Monto],Banco[CtaCtbl],$C38,Banco[Periodo Contable],TEXT(AE$3,"mmm-yyyy"))</f>
        <v>0</v>
      </c>
      <c r="AF38" s="49">
        <f>SUMIFS(Banco[Monto],Banco[CtaCtbl],$C38,Banco[Periodo Contable],TEXT(AF$3,"mmm-yyyy"))</f>
        <v>0</v>
      </c>
      <c r="AG38" s="49">
        <f>SUMIFS(Banco[Monto],Banco[CtaCtbl],$C38,Banco[Periodo Contable],TEXT(AG$3,"mmm-yyyy"))</f>
        <v>0</v>
      </c>
      <c r="AH38" s="49">
        <f>SUMIFS(Banco[Monto],Banco[CtaCtbl],$C38,Banco[Periodo Contable],TEXT(AH$3,"mmm-yyyy"))</f>
        <v>0</v>
      </c>
      <c r="AI38" s="300">
        <f>SUM(Tabla17[[#This Row],[ene-23]:[dic-23]])</f>
        <v>0</v>
      </c>
      <c r="AJ38" s="49">
        <f>SUMIFS(Banco[Monto],Banco[CtaCtbl],$C38,Banco[Periodo Contable],TEXT(AJ$3,"mmm-yyyy"))</f>
        <v>0</v>
      </c>
      <c r="AK38" s="49">
        <f>SUMIFS(Banco[Monto],Banco[CtaCtbl],$C38,Banco[Periodo Contable],TEXT(AK$3,"mmm-yyyy"))</f>
        <v>0</v>
      </c>
      <c r="AL38" s="49">
        <f>SUMIFS(Banco[Monto],Banco[CtaCtbl],$C38,Banco[Periodo Contable],TEXT(AL$3,"mmm-yyyy"))</f>
        <v>0</v>
      </c>
      <c r="AM38" s="49">
        <f>SUMIFS(Banco[Monto],Banco[CtaCtbl],$C38,Banco[Periodo Contable],TEXT(AM$3,"mmm-yyyy"))</f>
        <v>0</v>
      </c>
      <c r="AN38" s="49">
        <f>SUMIFS(Banco[Monto],Banco[CtaCtbl],$C38,Banco[Periodo Contable],TEXT(AN$3,"mmm-yyyy"))</f>
        <v>0</v>
      </c>
      <c r="AO38" s="49">
        <f>SUMIFS(Banco[Monto],Banco[CtaCtbl],$C38,Banco[Periodo Contable],TEXT(AO$3,"mmm-yyyy"))</f>
        <v>0</v>
      </c>
      <c r="AP38" s="49">
        <f>SUMIFS(Banco[Monto],Banco[CtaCtbl],$C38,Banco[Periodo Contable],TEXT(AP$3,"mmm-yyyy"))</f>
        <v>0</v>
      </c>
      <c r="AQ38" s="49">
        <f>SUMIFS(Banco[Monto],Banco[CtaCtbl],$C38,Banco[Periodo Contable],TEXT(AQ$3,"mmm-yyyy"))</f>
        <v>0</v>
      </c>
      <c r="AR38" s="49">
        <f>SUMIFS(Banco[Monto],Banco[CtaCtbl],$C38,Banco[Periodo Contable],TEXT(AR$3,"mmm-yyyy"))</f>
        <v>0</v>
      </c>
      <c r="AS38" s="49">
        <f>SUMIFS(Banco[Monto],Banco[CtaCtbl],$C38,Banco[Periodo Contable],TEXT(AS$3,"mmm-yyyy"))</f>
        <v>0</v>
      </c>
      <c r="AT38" s="49">
        <f>SUMIFS(Banco[Monto],Banco[CtaCtbl],$C38,Banco[Periodo Contable],TEXT(AT$3,"mmm-yyyy"))</f>
        <v>0</v>
      </c>
      <c r="AU38" s="49">
        <f>SUMIFS(Banco[Monto],Banco[CtaCtbl],$C38,Banco[Periodo Contable],TEXT(AU$3,"mmm-yyyy"))</f>
        <v>0</v>
      </c>
      <c r="AV38" s="300">
        <f>SUM(Tabla17[[#This Row],[ene-24]:[dic-24]])</f>
        <v>0</v>
      </c>
      <c r="AW38" s="49">
        <f>SUMIFS(Banco[Monto],Banco[CtaCtbl],$C38,Banco[Periodo Contable],TEXT(AW$3,"mmm-yyyy"))</f>
        <v>0</v>
      </c>
      <c r="AX38" s="49">
        <f>SUMIFS(Banco[Monto],Banco[CtaCtbl],$C38,Banco[Periodo Contable],TEXT(AX$3,"mmm-yyyy"))</f>
        <v>0</v>
      </c>
      <c r="AY38" s="49">
        <f>SUMIFS(Banco[Monto],Banco[CtaCtbl],$C38,Banco[Periodo Contable],TEXT(AY$3,"mmm-yyyy"))</f>
        <v>0</v>
      </c>
      <c r="AZ38" s="49">
        <f>SUMIFS(Banco[Monto],Banco[CtaCtbl],$C38,Banco[Periodo Contable],TEXT(AZ$3,"mmm-yyyy"))</f>
        <v>0</v>
      </c>
      <c r="BA38" s="49">
        <f>SUMIFS(Banco[Monto],Banco[CtaCtbl],$C38,Banco[Periodo Contable],TEXT(BA$3,"mmm-yyyy"))</f>
        <v>0</v>
      </c>
      <c r="BB38" s="49">
        <f>SUMIFS(Banco[Monto],Banco[CtaCtbl],$C38,Banco[Periodo Contable],TEXT(BB$3,"mmm-yyyy"))</f>
        <v>0</v>
      </c>
      <c r="BC38" s="49">
        <f>SUMIFS(Banco[Monto],Banco[CtaCtbl],$C38,Banco[Periodo Contable],TEXT(BC$3,"mmm-yyyy"))</f>
        <v>0</v>
      </c>
      <c r="BD38" s="49">
        <f>SUMIFS(Banco[Monto],Banco[CtaCtbl],$C38,Banco[Periodo Contable],TEXT(BD$3,"mmm-yyyy"))</f>
        <v>0</v>
      </c>
      <c r="BE38" s="49">
        <f>SUMIFS(Banco[Monto],Banco[CtaCtbl],$C38,Banco[Periodo Contable],TEXT(BE$3,"mmm-yyyy"))</f>
        <v>0</v>
      </c>
      <c r="BF38" s="49">
        <f>SUMIFS(Banco[Monto],Banco[CtaCtbl],$C38,Banco[Periodo Contable],TEXT(BF$3,"mmm-yyyy"))</f>
        <v>0</v>
      </c>
      <c r="BG38" s="49">
        <f>SUMIFS(Banco[Monto],Banco[CtaCtbl],$C38,Banco[Periodo Contable],TEXT(BG$3,"mmm-yyyy"))</f>
        <v>0</v>
      </c>
      <c r="BH38" s="49">
        <f>SUMIFS(Banco[Monto],Banco[CtaCtbl],$C38,Banco[Periodo Contable],TEXT(BH$3,"mmm-yyyy"))</f>
        <v>0</v>
      </c>
      <c r="BI38" s="232">
        <f>SUM(Tabla17[[#This Row],[ene-25]:[dic-25]])</f>
        <v>0</v>
      </c>
      <c r="BJ38" s="49">
        <f>SUMIFS(Banco[Monto],Banco[CtaCtbl],$C38,Banco[Periodo Contable],TEXT(BJ$3,"mmm-yyyy"))</f>
        <v>0</v>
      </c>
      <c r="BK38" s="49">
        <f>SUMIFS(Banco[Monto],Banco[CtaCtbl],$C38,Banco[Periodo Contable],TEXT(BK$3,"mmm-yyyy"))</f>
        <v>0</v>
      </c>
      <c r="BL38" s="49">
        <f>SUMIFS(Banco[Monto],Banco[CtaCtbl],$C38,Banco[Periodo Contable],TEXT(BL$3,"mmm-yyyy"))</f>
        <v>0</v>
      </c>
      <c r="BM38" s="49">
        <f>SUMIFS(Banco[Monto],Banco[CtaCtbl],$C38,Banco[Periodo Contable],TEXT(BM$3,"mmm-yyyy"))</f>
        <v>0</v>
      </c>
      <c r="BN38" s="49">
        <f>SUMIFS(Banco[Monto],Banco[CtaCtbl],$C38,Banco[Periodo Contable],TEXT(BN$3,"mmm-yyyy"))</f>
        <v>0</v>
      </c>
      <c r="BO38" s="49">
        <f>SUMIFS(Banco[Monto],Banco[CtaCtbl],$C38,Banco[Periodo Contable],TEXT(BO$3,"mmm-yyyy"))</f>
        <v>0</v>
      </c>
      <c r="BP38" s="49">
        <f>SUMIFS(Banco[Monto],Banco[CtaCtbl],$C38,Banco[Periodo Contable],TEXT(BP$3,"mmm-yyyy"))</f>
        <v>0</v>
      </c>
      <c r="BQ38" s="49">
        <f>SUMIFS(Banco[Monto],Banco[CtaCtbl],$C38,Banco[Periodo Contable],TEXT(BQ$3,"mmm-yyyy"))</f>
        <v>0</v>
      </c>
      <c r="BR38" s="49">
        <f>SUMIFS(Banco[Monto],Banco[CtaCtbl],$C38,Banco[Periodo Contable],TEXT(BR$3,"mmm-yyyy"))</f>
        <v>0</v>
      </c>
      <c r="BS38" s="49">
        <f>SUMIFS(Banco[Monto],Banco[CtaCtbl],$C38,Banco[Periodo Contable],TEXT(BS$3,"mmm-yyyy"))</f>
        <v>0</v>
      </c>
      <c r="BT38" s="49">
        <f>SUMIFS(Banco[Monto],Banco[CtaCtbl],$C38,Banco[Periodo Contable],TEXT(BT$3,"mmm-yyyy"))</f>
        <v>0</v>
      </c>
      <c r="BU38" s="49">
        <f>SUMIFS(Banco[Monto],Banco[CtaCtbl],$C38,Banco[Periodo Contable],TEXT(BU$3,"mmm-yyyy"))</f>
        <v>0</v>
      </c>
      <c r="BV38" s="232">
        <f>SUM(Tabla17[[#This Row],[ene-26]:[dic-26]])</f>
        <v>0</v>
      </c>
      <c r="BW38" s="49">
        <f>SUMIFS(Banco[Monto],Banco[CtaCtbl],$C38,Banco[Periodo Contable],TEXT(BW$3,"mmm-yyyy"))</f>
        <v>0</v>
      </c>
    </row>
    <row r="39" spans="1:75" ht="21.6" outlineLevel="7">
      <c r="A39" s="36" t="s">
        <v>308</v>
      </c>
      <c r="B39" s="16" t="s">
        <v>309</v>
      </c>
      <c r="C39" s="22" t="str">
        <f>+Tabla17[[#This Row],[Cuenta]]&amp;" - "&amp;Tabla17[[#This Row],[Descripcion Cuenta]]</f>
        <v>2.01.03.02 - Mensajeria</v>
      </c>
      <c r="D39" s="37"/>
      <c r="E39" s="49">
        <f>SUMIFS(Banco[Monto],Banco[CtaCtbl],$C39,Banco[Periodo Contable],TEXT(E$3,"mmm-yyyy"))</f>
        <v>0</v>
      </c>
      <c r="F39" s="49">
        <f>SUMIFS(Banco[Monto],Banco[CtaCtbl],$C39,Banco[Periodo Contable],TEXT(F$3,"mmm-yyyy"))</f>
        <v>0</v>
      </c>
      <c r="G39" s="49">
        <f>SUMIFS(Banco[Monto],Banco[CtaCtbl],$C39,Banco[Periodo Contable],TEXT(G$3,"mmm-yyyy"))</f>
        <v>0</v>
      </c>
      <c r="H39" s="49">
        <f>SUMIFS(Banco[Monto],Banco[CtaCtbl],$C39,Banco[Periodo Contable],TEXT(H$3,"mmm-yyyy"))</f>
        <v>0</v>
      </c>
      <c r="I39" s="49">
        <f>SUM(Tabla17[[#This Row],[sept-21]:[dic-21]])</f>
        <v>0</v>
      </c>
      <c r="J39" s="49">
        <f>SUMIFS(Banco[Monto],Banco[CtaCtbl],$C39,Banco[Periodo Contable],TEXT(J$3,"mmm-yyyy"))</f>
        <v>0</v>
      </c>
      <c r="K39" s="49">
        <f>SUMIFS(Banco[Monto],Banco[CtaCtbl],$C39,Banco[Periodo Contable],TEXT(K$3,"mmm-yyyy"))</f>
        <v>0</v>
      </c>
      <c r="L39" s="49">
        <f>SUMIFS(Banco[Monto],Banco[CtaCtbl],$C39,Banco[Periodo Contable],TEXT(L$3,"mmm-yyyy"))</f>
        <v>0</v>
      </c>
      <c r="M39" s="49">
        <f>SUMIFS(Banco[Monto],Banco[CtaCtbl],$C39,Banco[Periodo Contable],TEXT(M$3,"mmm-yyyy"))</f>
        <v>0</v>
      </c>
      <c r="N39" s="49">
        <f>SUMIFS(Banco[Monto],Banco[CtaCtbl],$C39,Banco[Periodo Contable],TEXT(N$3,"mmm-yyyy"))</f>
        <v>0</v>
      </c>
      <c r="O39" s="49">
        <f>SUMIFS(Banco[Monto],Banco[CtaCtbl],$C39,Banco[Periodo Contable],TEXT(O$3,"mmm-yyyy"))</f>
        <v>0</v>
      </c>
      <c r="P39" s="49">
        <f>SUMIFS(Banco[Monto],Banco[CtaCtbl],$C39,Banco[Periodo Contable],TEXT(P$3,"mmm-yyyy"))</f>
        <v>0</v>
      </c>
      <c r="Q39" s="49">
        <f>SUMIFS(Banco[Monto],Banco[CtaCtbl],$C39,Banco[Periodo Contable],TEXT(Q$3,"mmm-yyyy"))</f>
        <v>0</v>
      </c>
      <c r="R39" s="49">
        <f>SUMIFS(Banco[Monto],Banco[CtaCtbl],$C39,Banco[Periodo Contable],TEXT(R$3,"mmm-yyyy"))</f>
        <v>0</v>
      </c>
      <c r="S39" s="49">
        <f>SUMIFS(Banco[Monto],Banco[CtaCtbl],$C39,Banco[Periodo Contable],TEXT(S$3,"mmm-yyyy"))</f>
        <v>0</v>
      </c>
      <c r="T39" s="49">
        <f>SUMIFS(Banco[Monto],Banco[CtaCtbl],$C39,Banco[Periodo Contable],TEXT(T$3,"mmm-yyyy"))</f>
        <v>0</v>
      </c>
      <c r="U39" s="49">
        <f>SUMIFS(Banco[Monto],Banco[CtaCtbl],$C39,Banco[Periodo Contable],TEXT(U$3,"mmm-yyyy"))</f>
        <v>0</v>
      </c>
      <c r="V39" s="300">
        <f>SUM(Tabla17[[#This Row],[ene-22]:[dic-22]])</f>
        <v>0</v>
      </c>
      <c r="W39" s="49">
        <f>SUMIFS(Banco[Monto],Banco[CtaCtbl],$C39,Banco[Periodo Contable],TEXT(W$3,"mmm-yyyy"))</f>
        <v>0</v>
      </c>
      <c r="X39" s="49">
        <f>SUMIFS(Banco[Monto],Banco[CtaCtbl],$C39,Banco[Periodo Contable],TEXT(X$3,"mmm-yyyy"))</f>
        <v>0</v>
      </c>
      <c r="Y39" s="49">
        <f>SUMIFS(Banco[Monto],Banco[CtaCtbl],$C39,Banco[Periodo Contable],TEXT(Y$3,"mmm-yyyy"))</f>
        <v>0</v>
      </c>
      <c r="Z39" s="49">
        <f>SUMIFS(Banco[Monto],Banco[CtaCtbl],$C39,Banco[Periodo Contable],TEXT(Z$3,"mmm-yyyy"))</f>
        <v>0</v>
      </c>
      <c r="AA39" s="49">
        <f>SUMIFS(Banco[Monto],Banco[CtaCtbl],$C39,Banco[Periodo Contable],TEXT(AA$3,"mmm-yyyy"))</f>
        <v>0</v>
      </c>
      <c r="AB39" s="49">
        <f>SUMIFS(Banco[Monto],Banco[CtaCtbl],$C39,Banco[Periodo Contable],TEXT(AB$3,"mmm-yyyy"))</f>
        <v>0</v>
      </c>
      <c r="AC39" s="49">
        <f>SUMIFS(Banco[Monto],Banco[CtaCtbl],$C39,Banco[Periodo Contable],TEXT(AC$3,"mmm-yyyy"))</f>
        <v>0</v>
      </c>
      <c r="AD39" s="49">
        <f>SUMIFS(Banco[Monto],Banco[CtaCtbl],$C39,Banco[Periodo Contable],TEXT(AD$3,"mmm-yyyy"))</f>
        <v>0</v>
      </c>
      <c r="AE39" s="49">
        <f>SUMIFS(Banco[Monto],Banco[CtaCtbl],$C39,Banco[Periodo Contable],TEXT(AE$3,"mmm-yyyy"))</f>
        <v>0</v>
      </c>
      <c r="AF39" s="49">
        <f>SUMIFS(Banco[Monto],Banco[CtaCtbl],$C39,Banco[Periodo Contable],TEXT(AF$3,"mmm-yyyy"))</f>
        <v>0</v>
      </c>
      <c r="AG39" s="49">
        <f>SUMIFS(Banco[Monto],Banco[CtaCtbl],$C39,Banco[Periodo Contable],TEXT(AG$3,"mmm-yyyy"))</f>
        <v>0</v>
      </c>
      <c r="AH39" s="49">
        <f>SUMIFS(Banco[Monto],Banco[CtaCtbl],$C39,Banco[Periodo Contable],TEXT(AH$3,"mmm-yyyy"))</f>
        <v>0</v>
      </c>
      <c r="AI39" s="300">
        <f>SUM(Tabla17[[#This Row],[ene-23]:[dic-23]])</f>
        <v>0</v>
      </c>
      <c r="AJ39" s="49">
        <f>SUMIFS(Banco[Monto],Banco[CtaCtbl],$C39,Banco[Periodo Contable],TEXT(AJ$3,"mmm-yyyy"))</f>
        <v>0</v>
      </c>
      <c r="AK39" s="49">
        <f>SUMIFS(Banco[Monto],Banco[CtaCtbl],$C39,Banco[Periodo Contable],TEXT(AK$3,"mmm-yyyy"))</f>
        <v>0</v>
      </c>
      <c r="AL39" s="49">
        <f>SUMIFS(Banco[Monto],Banco[CtaCtbl],$C39,Banco[Periodo Contable],TEXT(AL$3,"mmm-yyyy"))</f>
        <v>0</v>
      </c>
      <c r="AM39" s="49">
        <f>SUMIFS(Banco[Monto],Banco[CtaCtbl],$C39,Banco[Periodo Contable],TEXT(AM$3,"mmm-yyyy"))</f>
        <v>0</v>
      </c>
      <c r="AN39" s="49">
        <f>SUMIFS(Banco[Monto],Banco[CtaCtbl],$C39,Banco[Periodo Contable],TEXT(AN$3,"mmm-yyyy"))</f>
        <v>0</v>
      </c>
      <c r="AO39" s="49">
        <f>SUMIFS(Banco[Monto],Banco[CtaCtbl],$C39,Banco[Periodo Contable],TEXT(AO$3,"mmm-yyyy"))</f>
        <v>0</v>
      </c>
      <c r="AP39" s="49">
        <f>SUMIFS(Banco[Monto],Banco[CtaCtbl],$C39,Banco[Periodo Contable],TEXT(AP$3,"mmm-yyyy"))</f>
        <v>0</v>
      </c>
      <c r="AQ39" s="49">
        <f>SUMIFS(Banco[Monto],Banco[CtaCtbl],$C39,Banco[Periodo Contable],TEXT(AQ$3,"mmm-yyyy"))</f>
        <v>0</v>
      </c>
      <c r="AR39" s="49">
        <f>SUMIFS(Banco[Monto],Banco[CtaCtbl],$C39,Banco[Periodo Contable],TEXT(AR$3,"mmm-yyyy"))</f>
        <v>0</v>
      </c>
      <c r="AS39" s="49">
        <f>SUMIFS(Banco[Monto],Banco[CtaCtbl],$C39,Banco[Periodo Contable],TEXT(AS$3,"mmm-yyyy"))</f>
        <v>0</v>
      </c>
      <c r="AT39" s="49">
        <f>SUMIFS(Banco[Monto],Banco[CtaCtbl],$C39,Banco[Periodo Contable],TEXT(AT$3,"mmm-yyyy"))</f>
        <v>0</v>
      </c>
      <c r="AU39" s="49">
        <f>SUMIFS(Banco[Monto],Banco[CtaCtbl],$C39,Banco[Periodo Contable],TEXT(AU$3,"mmm-yyyy"))</f>
        <v>0</v>
      </c>
      <c r="AV39" s="300">
        <f>SUM(Tabla17[[#This Row],[ene-24]:[dic-24]])</f>
        <v>0</v>
      </c>
      <c r="AW39" s="49">
        <f>SUMIFS(Banco[Monto],Banco[CtaCtbl],$C39,Banco[Periodo Contable],TEXT(AW$3,"mmm-yyyy"))</f>
        <v>0</v>
      </c>
      <c r="AX39" s="49">
        <f>SUMIFS(Banco[Monto],Banco[CtaCtbl],$C39,Banco[Periodo Contable],TEXT(AX$3,"mmm-yyyy"))</f>
        <v>0</v>
      </c>
      <c r="AY39" s="49">
        <f>SUMIFS(Banco[Monto],Banco[CtaCtbl],$C39,Banco[Periodo Contable],TEXT(AY$3,"mmm-yyyy"))</f>
        <v>0</v>
      </c>
      <c r="AZ39" s="49">
        <f>SUMIFS(Banco[Monto],Banco[CtaCtbl],$C39,Banco[Periodo Contable],TEXT(AZ$3,"mmm-yyyy"))</f>
        <v>-11582</v>
      </c>
      <c r="BA39" s="49">
        <f>SUMIFS(Banco[Monto],Banco[CtaCtbl],$C39,Banco[Periodo Contable],TEXT(BA$3,"mmm-yyyy"))</f>
        <v>0</v>
      </c>
      <c r="BB39" s="49">
        <f>SUMIFS(Banco[Monto],Banco[CtaCtbl],$C39,Banco[Periodo Contable],TEXT(BB$3,"mmm-yyyy"))</f>
        <v>0</v>
      </c>
      <c r="BC39" s="49">
        <f>SUMIFS(Banco[Monto],Banco[CtaCtbl],$C39,Banco[Periodo Contable],TEXT(BC$3,"mmm-yyyy"))</f>
        <v>0</v>
      </c>
      <c r="BD39" s="49">
        <f>SUMIFS(Banco[Monto],Banco[CtaCtbl],$C39,Banco[Periodo Contable],TEXT(BD$3,"mmm-yyyy"))</f>
        <v>0</v>
      </c>
      <c r="BE39" s="49">
        <f>SUMIFS(Banco[Monto],Banco[CtaCtbl],$C39,Banco[Periodo Contable],TEXT(BE$3,"mmm-yyyy"))</f>
        <v>0</v>
      </c>
      <c r="BF39" s="49">
        <f>SUMIFS(Banco[Monto],Banco[CtaCtbl],$C39,Banco[Periodo Contable],TEXT(BF$3,"mmm-yyyy"))</f>
        <v>0</v>
      </c>
      <c r="BG39" s="49">
        <f>SUMIFS(Banco[Monto],Banco[CtaCtbl],$C39,Banco[Periodo Contable],TEXT(BG$3,"mmm-yyyy"))</f>
        <v>0</v>
      </c>
      <c r="BH39" s="49">
        <f>SUMIFS(Banco[Monto],Banco[CtaCtbl],$C39,Banco[Periodo Contable],TEXT(BH$3,"mmm-yyyy"))</f>
        <v>0</v>
      </c>
      <c r="BI39" s="232">
        <f>SUM(Tabla17[[#This Row],[ene-25]:[dic-25]])</f>
        <v>-11582</v>
      </c>
      <c r="BJ39" s="49">
        <f>SUMIFS(Banco[Monto],Banco[CtaCtbl],$C39,Banco[Periodo Contable],TEXT(BJ$3,"mmm-yyyy"))</f>
        <v>0</v>
      </c>
      <c r="BK39" s="49">
        <f>SUMIFS(Banco[Monto],Banco[CtaCtbl],$C39,Banco[Periodo Contable],TEXT(BK$3,"mmm-yyyy"))</f>
        <v>0</v>
      </c>
      <c r="BL39" s="49">
        <f>SUMIFS(Banco[Monto],Banco[CtaCtbl],$C39,Banco[Periodo Contable],TEXT(BL$3,"mmm-yyyy"))</f>
        <v>0</v>
      </c>
      <c r="BM39" s="49">
        <f>SUMIFS(Banco[Monto],Banco[CtaCtbl],$C39,Banco[Periodo Contable],TEXT(BM$3,"mmm-yyyy"))</f>
        <v>0</v>
      </c>
      <c r="BN39" s="49">
        <f>SUMIFS(Banco[Monto],Banco[CtaCtbl],$C39,Banco[Periodo Contable],TEXT(BN$3,"mmm-yyyy"))</f>
        <v>0</v>
      </c>
      <c r="BO39" s="49">
        <f>SUMIFS(Banco[Monto],Banco[CtaCtbl],$C39,Banco[Periodo Contable],TEXT(BO$3,"mmm-yyyy"))</f>
        <v>0</v>
      </c>
      <c r="BP39" s="49">
        <f>SUMIFS(Banco[Monto],Banco[CtaCtbl],$C39,Banco[Periodo Contable],TEXT(BP$3,"mmm-yyyy"))</f>
        <v>0</v>
      </c>
      <c r="BQ39" s="49">
        <f>SUMIFS(Banco[Monto],Banco[CtaCtbl],$C39,Banco[Periodo Contable],TEXT(BQ$3,"mmm-yyyy"))</f>
        <v>0</v>
      </c>
      <c r="BR39" s="49">
        <f>SUMIFS(Banco[Monto],Banco[CtaCtbl],$C39,Banco[Periodo Contable],TEXT(BR$3,"mmm-yyyy"))</f>
        <v>0</v>
      </c>
      <c r="BS39" s="49">
        <f>SUMIFS(Banco[Monto],Banco[CtaCtbl],$C39,Banco[Periodo Contable],TEXT(BS$3,"mmm-yyyy"))</f>
        <v>0</v>
      </c>
      <c r="BT39" s="49">
        <f>SUMIFS(Banco[Monto],Banco[CtaCtbl],$C39,Banco[Periodo Contable],TEXT(BT$3,"mmm-yyyy"))</f>
        <v>0</v>
      </c>
      <c r="BU39" s="49">
        <f>SUMIFS(Banco[Monto],Banco[CtaCtbl],$C39,Banco[Periodo Contable],TEXT(BU$3,"mmm-yyyy"))</f>
        <v>0</v>
      </c>
      <c r="BV39" s="232">
        <f>SUM(Tabla17[[#This Row],[ene-26]:[dic-26]])</f>
        <v>0</v>
      </c>
      <c r="BW39" s="49">
        <f>SUMIFS(Banco[Monto],Banco[CtaCtbl],$C39,Banco[Periodo Contable],TEXT(BW$3,"mmm-yyyy"))</f>
        <v>0</v>
      </c>
    </row>
    <row r="40" spans="1:75" ht="21.6" outlineLevel="3">
      <c r="A40" s="59" t="s">
        <v>310</v>
      </c>
      <c r="B40" s="60" t="s">
        <v>311</v>
      </c>
      <c r="C40" s="61" t="str">
        <f>+Tabla17[[#This Row],[Cuenta]]&amp;" - "&amp;Tabla17[[#This Row],[Descripcion Cuenta]]</f>
        <v>2.01.03.03 - Transporte</v>
      </c>
      <c r="D40" s="62"/>
      <c r="E40" s="63">
        <f t="shared" ref="E40:BW40" si="135">SUBTOTAL(9,E41:E56)</f>
        <v>0</v>
      </c>
      <c r="F40" s="63">
        <f t="shared" si="135"/>
        <v>0</v>
      </c>
      <c r="G40" s="63">
        <f t="shared" si="135"/>
        <v>-614571</v>
      </c>
      <c r="H40" s="63">
        <f t="shared" si="135"/>
        <v>0</v>
      </c>
      <c r="I40" s="63">
        <f>SUM(Tabla17[[#This Row],[sept-21]:[dic-21]])</f>
        <v>-614571</v>
      </c>
      <c r="J40" s="63">
        <f t="shared" si="135"/>
        <v>-233827</v>
      </c>
      <c r="K40" s="63">
        <f t="shared" si="135"/>
        <v>-119949</v>
      </c>
      <c r="L40" s="63">
        <f t="shared" si="135"/>
        <v>-2300</v>
      </c>
      <c r="M40" s="63">
        <f t="shared" si="135"/>
        <v>-380572</v>
      </c>
      <c r="N40" s="63">
        <f t="shared" si="135"/>
        <v>-380572</v>
      </c>
      <c r="O40" s="63">
        <f t="shared" si="135"/>
        <v>0</v>
      </c>
      <c r="P40" s="63">
        <f t="shared" si="135"/>
        <v>0</v>
      </c>
      <c r="Q40" s="63">
        <f t="shared" si="135"/>
        <v>0</v>
      </c>
      <c r="R40" s="63">
        <f t="shared" si="135"/>
        <v>0</v>
      </c>
      <c r="S40" s="63">
        <f t="shared" si="135"/>
        <v>0</v>
      </c>
      <c r="T40" s="63">
        <f t="shared" si="135"/>
        <v>0</v>
      </c>
      <c r="U40" s="63">
        <f t="shared" si="135"/>
        <v>0</v>
      </c>
      <c r="V40" s="63">
        <f t="shared" si="135"/>
        <v>-1117220</v>
      </c>
      <c r="W40" s="63">
        <f t="shared" si="135"/>
        <v>0</v>
      </c>
      <c r="X40" s="63">
        <f t="shared" si="135"/>
        <v>0</v>
      </c>
      <c r="Y40" s="63">
        <f t="shared" si="135"/>
        <v>0</v>
      </c>
      <c r="Z40" s="63">
        <f t="shared" si="135"/>
        <v>0</v>
      </c>
      <c r="AA40" s="63">
        <f t="shared" si="135"/>
        <v>0</v>
      </c>
      <c r="AB40" s="63">
        <f t="shared" si="135"/>
        <v>0</v>
      </c>
      <c r="AC40" s="63">
        <f t="shared" si="135"/>
        <v>0</v>
      </c>
      <c r="AD40" s="63">
        <f t="shared" si="135"/>
        <v>0</v>
      </c>
      <c r="AE40" s="63">
        <f t="shared" si="135"/>
        <v>0</v>
      </c>
      <c r="AF40" s="63">
        <f t="shared" si="135"/>
        <v>0</v>
      </c>
      <c r="AG40" s="63">
        <f t="shared" si="135"/>
        <v>0</v>
      </c>
      <c r="AH40" s="63">
        <f t="shared" si="135"/>
        <v>0</v>
      </c>
      <c r="AI40" s="63">
        <f t="shared" si="135"/>
        <v>0</v>
      </c>
      <c r="AJ40" s="63">
        <f t="shared" si="135"/>
        <v>0</v>
      </c>
      <c r="AK40" s="63">
        <f t="shared" si="135"/>
        <v>0</v>
      </c>
      <c r="AL40" s="63">
        <f t="shared" si="135"/>
        <v>0</v>
      </c>
      <c r="AM40" s="63">
        <f t="shared" si="135"/>
        <v>0</v>
      </c>
      <c r="AN40" s="63">
        <f t="shared" si="135"/>
        <v>-587510</v>
      </c>
      <c r="AO40" s="63">
        <f t="shared" si="135"/>
        <v>0</v>
      </c>
      <c r="AP40" s="63">
        <f t="shared" si="135"/>
        <v>0</v>
      </c>
      <c r="AQ40" s="63">
        <f t="shared" si="135"/>
        <v>0</v>
      </c>
      <c r="AR40" s="63">
        <f t="shared" si="135"/>
        <v>-115271</v>
      </c>
      <c r="AS40" s="63">
        <f t="shared" si="135"/>
        <v>-6284</v>
      </c>
      <c r="AT40" s="63">
        <f t="shared" si="135"/>
        <v>-93792</v>
      </c>
      <c r="AU40" s="63">
        <f t="shared" si="135"/>
        <v>-721979</v>
      </c>
      <c r="AV40" s="63">
        <f t="shared" si="135"/>
        <v>-1524836</v>
      </c>
      <c r="AW40" s="63">
        <f>SUBTOTAL(9,AW41:AW56)</f>
        <v>0</v>
      </c>
      <c r="AX40" s="63">
        <f t="shared" ref="AX40:BH40" si="136">SUBTOTAL(9,AX41:AX56)</f>
        <v>0</v>
      </c>
      <c r="AY40" s="63">
        <f t="shared" si="136"/>
        <v>0</v>
      </c>
      <c r="AZ40" s="63">
        <f t="shared" si="136"/>
        <v>-1708331</v>
      </c>
      <c r="BA40" s="63">
        <f t="shared" si="136"/>
        <v>-73540</v>
      </c>
      <c r="BB40" s="63">
        <f t="shared" si="136"/>
        <v>0</v>
      </c>
      <c r="BC40" s="63">
        <f t="shared" si="136"/>
        <v>0</v>
      </c>
      <c r="BD40" s="63">
        <f t="shared" si="136"/>
        <v>-13838</v>
      </c>
      <c r="BE40" s="63">
        <f t="shared" si="136"/>
        <v>0</v>
      </c>
      <c r="BF40" s="63">
        <f t="shared" si="136"/>
        <v>-5793</v>
      </c>
      <c r="BG40" s="63">
        <f t="shared" si="136"/>
        <v>-6294</v>
      </c>
      <c r="BH40" s="63">
        <f t="shared" si="136"/>
        <v>0</v>
      </c>
      <c r="BI40" s="63">
        <f t="shared" si="135"/>
        <v>-1807796</v>
      </c>
      <c r="BJ40" s="63">
        <f t="shared" ref="BJ40" si="137">SUBTOTAL(9,BJ41:BJ56)</f>
        <v>0</v>
      </c>
      <c r="BK40" s="63">
        <f t="shared" ref="BK40" si="138">SUBTOTAL(9,BK41:BK56)</f>
        <v>0</v>
      </c>
      <c r="BL40" s="63">
        <f t="shared" ref="BL40" si="139">SUBTOTAL(9,BL41:BL56)</f>
        <v>-167915</v>
      </c>
      <c r="BM40" s="63">
        <f t="shared" ref="BM40" si="140">SUBTOTAL(9,BM41:BM56)</f>
        <v>0</v>
      </c>
      <c r="BN40" s="63">
        <f t="shared" ref="BN40" si="141">SUBTOTAL(9,BN41:BN56)</f>
        <v>0</v>
      </c>
      <c r="BO40" s="63">
        <f t="shared" ref="BO40" si="142">SUBTOTAL(9,BO41:BO56)</f>
        <v>0</v>
      </c>
      <c r="BP40" s="63">
        <f t="shared" ref="BP40" si="143">SUBTOTAL(9,BP41:BP56)</f>
        <v>0</v>
      </c>
      <c r="BQ40" s="63">
        <f t="shared" ref="BQ40" si="144">SUBTOTAL(9,BQ41:BQ56)</f>
        <v>0</v>
      </c>
      <c r="BR40" s="63">
        <f t="shared" ref="BR40" si="145">SUBTOTAL(9,BR41:BR56)</f>
        <v>0</v>
      </c>
      <c r="BS40" s="63">
        <f t="shared" ref="BS40" si="146">SUBTOTAL(9,BS41:BS56)</f>
        <v>0</v>
      </c>
      <c r="BT40" s="63">
        <f t="shared" ref="BT40" si="147">SUBTOTAL(9,BT41:BT56)</f>
        <v>0</v>
      </c>
      <c r="BU40" s="63">
        <f t="shared" ref="BU40:BV40" si="148">SUBTOTAL(9,BU41:BU56)</f>
        <v>0</v>
      </c>
      <c r="BV40" s="63">
        <f t="shared" si="148"/>
        <v>-167915</v>
      </c>
      <c r="BW40" s="63">
        <f t="shared" si="135"/>
        <v>0</v>
      </c>
    </row>
    <row r="41" spans="1:75" ht="21.6" outlineLevel="4">
      <c r="A41" s="64" t="s">
        <v>312</v>
      </c>
      <c r="B41" s="65" t="s">
        <v>313</v>
      </c>
      <c r="C41" s="66" t="str">
        <f>+Tabla17[[#This Row],[Cuenta]]&amp;" - "&amp;Tabla17[[#This Row],[Descripcion Cuenta]]</f>
        <v>2.01.03.03.1 - Transporte Terrestre</v>
      </c>
      <c r="D41" s="67"/>
      <c r="E41" s="69">
        <f>SUBTOTAL(9,E42:E51)</f>
        <v>0</v>
      </c>
      <c r="F41" s="69">
        <f t="shared" ref="F41:BW41" si="149">SUBTOTAL(9,F42:F51)</f>
        <v>0</v>
      </c>
      <c r="G41" s="69">
        <f t="shared" si="149"/>
        <v>-614571</v>
      </c>
      <c r="H41" s="69">
        <f t="shared" si="149"/>
        <v>0</v>
      </c>
      <c r="I41" s="69">
        <f>SUM(Tabla17[[#This Row],[sept-21]:[dic-21]])</f>
        <v>-614571</v>
      </c>
      <c r="J41" s="69">
        <f t="shared" si="149"/>
        <v>-233827</v>
      </c>
      <c r="K41" s="69">
        <f t="shared" si="149"/>
        <v>-119949</v>
      </c>
      <c r="L41" s="69">
        <f t="shared" si="149"/>
        <v>-2300</v>
      </c>
      <c r="M41" s="69">
        <f t="shared" si="149"/>
        <v>-380572</v>
      </c>
      <c r="N41" s="69">
        <f t="shared" si="149"/>
        <v>-380572</v>
      </c>
      <c r="O41" s="69">
        <f t="shared" si="149"/>
        <v>0</v>
      </c>
      <c r="P41" s="69">
        <f t="shared" si="149"/>
        <v>0</v>
      </c>
      <c r="Q41" s="69">
        <f t="shared" si="149"/>
        <v>0</v>
      </c>
      <c r="R41" s="69">
        <f t="shared" si="149"/>
        <v>0</v>
      </c>
      <c r="S41" s="69">
        <f t="shared" si="149"/>
        <v>0</v>
      </c>
      <c r="T41" s="69">
        <f t="shared" si="149"/>
        <v>0</v>
      </c>
      <c r="U41" s="69">
        <f t="shared" si="149"/>
        <v>0</v>
      </c>
      <c r="V41" s="69">
        <f t="shared" si="149"/>
        <v>-1117220</v>
      </c>
      <c r="W41" s="69">
        <f t="shared" si="149"/>
        <v>0</v>
      </c>
      <c r="X41" s="69">
        <f t="shared" si="149"/>
        <v>0</v>
      </c>
      <c r="Y41" s="69">
        <f t="shared" si="149"/>
        <v>0</v>
      </c>
      <c r="Z41" s="69">
        <f t="shared" si="149"/>
        <v>0</v>
      </c>
      <c r="AA41" s="69">
        <f t="shared" si="149"/>
        <v>0</v>
      </c>
      <c r="AB41" s="69">
        <f t="shared" si="149"/>
        <v>0</v>
      </c>
      <c r="AC41" s="69">
        <f t="shared" si="149"/>
        <v>0</v>
      </c>
      <c r="AD41" s="69">
        <f t="shared" si="149"/>
        <v>0</v>
      </c>
      <c r="AE41" s="69">
        <f t="shared" si="149"/>
        <v>0</v>
      </c>
      <c r="AF41" s="69">
        <f t="shared" si="149"/>
        <v>0</v>
      </c>
      <c r="AG41" s="69">
        <f t="shared" si="149"/>
        <v>0</v>
      </c>
      <c r="AH41" s="69">
        <f t="shared" si="149"/>
        <v>0</v>
      </c>
      <c r="AI41" s="69">
        <f t="shared" si="149"/>
        <v>0</v>
      </c>
      <c r="AJ41" s="69">
        <f t="shared" si="149"/>
        <v>0</v>
      </c>
      <c r="AK41" s="69">
        <f t="shared" si="149"/>
        <v>0</v>
      </c>
      <c r="AL41" s="69">
        <f t="shared" si="149"/>
        <v>0</v>
      </c>
      <c r="AM41" s="69">
        <f t="shared" si="149"/>
        <v>0</v>
      </c>
      <c r="AN41" s="69">
        <f t="shared" si="149"/>
        <v>-587510</v>
      </c>
      <c r="AO41" s="69">
        <f t="shared" si="149"/>
        <v>0</v>
      </c>
      <c r="AP41" s="69">
        <f t="shared" si="149"/>
        <v>0</v>
      </c>
      <c r="AQ41" s="69">
        <f t="shared" si="149"/>
        <v>0</v>
      </c>
      <c r="AR41" s="69">
        <f t="shared" si="149"/>
        <v>-115271</v>
      </c>
      <c r="AS41" s="69">
        <f t="shared" si="149"/>
        <v>-6284</v>
      </c>
      <c r="AT41" s="69">
        <f t="shared" si="149"/>
        <v>-93792</v>
      </c>
      <c r="AU41" s="69">
        <f t="shared" si="149"/>
        <v>-721979</v>
      </c>
      <c r="AV41" s="69">
        <f t="shared" si="149"/>
        <v>-1524836</v>
      </c>
      <c r="AW41" s="69">
        <f>SUBTOTAL(9,AW42:AW51)</f>
        <v>0</v>
      </c>
      <c r="AX41" s="69">
        <f t="shared" ref="AX41:BH41" si="150">SUBTOTAL(9,AX42:AX51)</f>
        <v>0</v>
      </c>
      <c r="AY41" s="69">
        <f t="shared" si="150"/>
        <v>0</v>
      </c>
      <c r="AZ41" s="69">
        <f t="shared" si="150"/>
        <v>-1708331</v>
      </c>
      <c r="BA41" s="69">
        <f t="shared" si="150"/>
        <v>-73540</v>
      </c>
      <c r="BB41" s="69">
        <f t="shared" si="150"/>
        <v>0</v>
      </c>
      <c r="BC41" s="69">
        <f t="shared" si="150"/>
        <v>0</v>
      </c>
      <c r="BD41" s="69">
        <f t="shared" si="150"/>
        <v>-13838</v>
      </c>
      <c r="BE41" s="69">
        <f t="shared" si="150"/>
        <v>0</v>
      </c>
      <c r="BF41" s="69">
        <f t="shared" si="150"/>
        <v>-5793</v>
      </c>
      <c r="BG41" s="69">
        <f t="shared" si="150"/>
        <v>-6294</v>
      </c>
      <c r="BH41" s="69">
        <f t="shared" si="150"/>
        <v>0</v>
      </c>
      <c r="BI41" s="69">
        <f t="shared" si="149"/>
        <v>-1807796</v>
      </c>
      <c r="BJ41" s="69">
        <f t="shared" ref="BJ41" si="151">SUBTOTAL(9,BJ42:BJ51)</f>
        <v>0</v>
      </c>
      <c r="BK41" s="69">
        <f t="shared" ref="BK41" si="152">SUBTOTAL(9,BK42:BK51)</f>
        <v>0</v>
      </c>
      <c r="BL41" s="69">
        <f t="shared" ref="BL41" si="153">SUBTOTAL(9,BL42:BL51)</f>
        <v>-167915</v>
      </c>
      <c r="BM41" s="69">
        <f t="shared" ref="BM41" si="154">SUBTOTAL(9,BM42:BM51)</f>
        <v>0</v>
      </c>
      <c r="BN41" s="69">
        <f t="shared" ref="BN41" si="155">SUBTOTAL(9,BN42:BN51)</f>
        <v>0</v>
      </c>
      <c r="BO41" s="69">
        <f t="shared" ref="BO41" si="156">SUBTOTAL(9,BO42:BO51)</f>
        <v>0</v>
      </c>
      <c r="BP41" s="69">
        <f t="shared" ref="BP41" si="157">SUBTOTAL(9,BP42:BP51)</f>
        <v>0</v>
      </c>
      <c r="BQ41" s="69">
        <f t="shared" ref="BQ41" si="158">SUBTOTAL(9,BQ42:BQ51)</f>
        <v>0</v>
      </c>
      <c r="BR41" s="69">
        <f t="shared" ref="BR41" si="159">SUBTOTAL(9,BR42:BR51)</f>
        <v>0</v>
      </c>
      <c r="BS41" s="69">
        <f t="shared" ref="BS41" si="160">SUBTOTAL(9,BS42:BS51)</f>
        <v>0</v>
      </c>
      <c r="BT41" s="69">
        <f t="shared" ref="BT41" si="161">SUBTOTAL(9,BT42:BT51)</f>
        <v>0</v>
      </c>
      <c r="BU41" s="69">
        <f t="shared" ref="BU41:BV41" si="162">SUBTOTAL(9,BU42:BU51)</f>
        <v>0</v>
      </c>
      <c r="BV41" s="69">
        <f t="shared" si="162"/>
        <v>-167915</v>
      </c>
      <c r="BW41" s="69">
        <f t="shared" si="149"/>
        <v>0</v>
      </c>
    </row>
    <row r="42" spans="1:75" ht="21.6" outlineLevel="5">
      <c r="A42" s="36" t="s">
        <v>314</v>
      </c>
      <c r="B42" s="58" t="s">
        <v>315</v>
      </c>
      <c r="C42" s="22" t="str">
        <f>+Tabla17[[#This Row],[Cuenta]]&amp;" - "&amp;Tabla17[[#This Row],[Descripcion Cuenta]]</f>
        <v>2.01.03.03.1.1 - Arriendo Vehiculo</v>
      </c>
      <c r="D42" s="37"/>
      <c r="E42" s="49">
        <f>SUMIFS(Banco[Monto],Banco[CtaCtbl],$C42,Banco[Periodo Contable],TEXT(E$3,"mmm-yyyy"))</f>
        <v>0</v>
      </c>
      <c r="F42" s="49">
        <f>SUMIFS(Banco[Monto],Banco[CtaCtbl],$C42,Banco[Periodo Contable],TEXT(F$3,"mmm-yyyy"))</f>
        <v>0</v>
      </c>
      <c r="G42" s="49">
        <f>SUMIFS(Banco[Monto],Banco[CtaCtbl],$C42,Banco[Periodo Contable],TEXT(G$3,"mmm-yyyy"))</f>
        <v>0</v>
      </c>
      <c r="H42" s="49">
        <f>SUMIFS(Banco[Monto],Banco[CtaCtbl],$C42,Banco[Periodo Contable],TEXT(H$3,"mmm-yyyy"))</f>
        <v>0</v>
      </c>
      <c r="I42" s="49">
        <f>SUM(Tabla17[[#This Row],[sept-21]:[dic-21]])</f>
        <v>0</v>
      </c>
      <c r="J42" s="49">
        <f>SUMIFS(Banco[Monto],Banco[CtaCtbl],$C42,Banco[Periodo Contable],TEXT(J$3,"mmm-yyyy"))</f>
        <v>0</v>
      </c>
      <c r="K42" s="49">
        <f>SUMIFS(Banco[Monto],Banco[CtaCtbl],$C42,Banco[Periodo Contable],TEXT(K$3,"mmm-yyyy"))</f>
        <v>0</v>
      </c>
      <c r="L42" s="49">
        <f>SUMIFS(Banco[Monto],Banco[CtaCtbl],$C42,Banco[Periodo Contable],TEXT(L$3,"mmm-yyyy"))</f>
        <v>0</v>
      </c>
      <c r="M42" s="49">
        <f>SUMIFS(Banco[Monto],Banco[CtaCtbl],$C42,Banco[Periodo Contable],TEXT(M$3,"mmm-yyyy"))</f>
        <v>0</v>
      </c>
      <c r="N42" s="49">
        <f>SUMIFS(Banco[Monto],Banco[CtaCtbl],$C42,Banco[Periodo Contable],TEXT(N$3,"mmm-yyyy"))</f>
        <v>0</v>
      </c>
      <c r="O42" s="49">
        <f>SUMIFS(Banco[Monto],Banco[CtaCtbl],$C42,Banco[Periodo Contable],TEXT(O$3,"mmm-yyyy"))</f>
        <v>0</v>
      </c>
      <c r="P42" s="49">
        <f>SUMIFS(Banco[Monto],Banco[CtaCtbl],$C42,Banco[Periodo Contable],TEXT(P$3,"mmm-yyyy"))</f>
        <v>0</v>
      </c>
      <c r="Q42" s="49">
        <f>SUMIFS(Banco[Monto],Banco[CtaCtbl],$C42,Banco[Periodo Contable],TEXT(Q$3,"mmm-yyyy"))</f>
        <v>0</v>
      </c>
      <c r="R42" s="49">
        <f>SUMIFS(Banco[Monto],Banco[CtaCtbl],$C42,Banco[Periodo Contable],TEXT(R$3,"mmm-yyyy"))</f>
        <v>0</v>
      </c>
      <c r="S42" s="49">
        <f>SUMIFS(Banco[Monto],Banco[CtaCtbl],$C42,Banco[Periodo Contable],TEXT(S$3,"mmm-yyyy"))</f>
        <v>0</v>
      </c>
      <c r="T42" s="49">
        <f>SUMIFS(Banco[Monto],Banco[CtaCtbl],$C42,Banco[Periodo Contable],TEXT(T$3,"mmm-yyyy"))</f>
        <v>0</v>
      </c>
      <c r="U42" s="49">
        <f>SUMIFS(Banco[Monto],Banco[CtaCtbl],$C42,Banco[Periodo Contable],TEXT(U$3,"mmm-yyyy"))</f>
        <v>0</v>
      </c>
      <c r="V42" s="300">
        <f>SUM(Tabla17[[#This Row],[ene-22]:[dic-22]])</f>
        <v>0</v>
      </c>
      <c r="W42" s="49">
        <f>SUMIFS(Banco[Monto],Banco[CtaCtbl],$C42,Banco[Periodo Contable],TEXT(W$3,"mmm-yyyy"))</f>
        <v>0</v>
      </c>
      <c r="X42" s="49">
        <f>SUMIFS(Banco[Monto],Banco[CtaCtbl],$C42,Banco[Periodo Contable],TEXT(X$3,"mmm-yyyy"))</f>
        <v>0</v>
      </c>
      <c r="Y42" s="49">
        <f>SUMIFS(Banco[Monto],Banco[CtaCtbl],$C42,Banco[Periodo Contable],TEXT(Y$3,"mmm-yyyy"))</f>
        <v>0</v>
      </c>
      <c r="Z42" s="49">
        <f>SUMIFS(Banco[Monto],Banco[CtaCtbl],$C42,Banco[Periodo Contable],TEXT(Z$3,"mmm-yyyy"))</f>
        <v>0</v>
      </c>
      <c r="AA42" s="49">
        <f>SUMIFS(Banco[Monto],Banco[CtaCtbl],$C42,Banco[Periodo Contable],TEXT(AA$3,"mmm-yyyy"))</f>
        <v>0</v>
      </c>
      <c r="AB42" s="49">
        <f>SUMIFS(Banco[Monto],Banco[CtaCtbl],$C42,Banco[Periodo Contable],TEXT(AB$3,"mmm-yyyy"))</f>
        <v>0</v>
      </c>
      <c r="AC42" s="49">
        <f>SUMIFS(Banco[Monto],Banco[CtaCtbl],$C42,Banco[Periodo Contable],TEXT(AC$3,"mmm-yyyy"))</f>
        <v>0</v>
      </c>
      <c r="AD42" s="49">
        <f>SUMIFS(Banco[Monto],Banco[CtaCtbl],$C42,Banco[Periodo Contable],TEXT(AD$3,"mmm-yyyy"))</f>
        <v>0</v>
      </c>
      <c r="AE42" s="49">
        <f>SUMIFS(Banco[Monto],Banco[CtaCtbl],$C42,Banco[Periodo Contable],TEXT(AE$3,"mmm-yyyy"))</f>
        <v>0</v>
      </c>
      <c r="AF42" s="49">
        <f>SUMIFS(Banco[Monto],Banco[CtaCtbl],$C42,Banco[Periodo Contable],TEXT(AF$3,"mmm-yyyy"))</f>
        <v>0</v>
      </c>
      <c r="AG42" s="49">
        <f>SUMIFS(Banco[Monto],Banco[CtaCtbl],$C42,Banco[Periodo Contable],TEXT(AG$3,"mmm-yyyy"))</f>
        <v>0</v>
      </c>
      <c r="AH42" s="49">
        <f>SUMIFS(Banco[Monto],Banco[CtaCtbl],$C42,Banco[Periodo Contable],TEXT(AH$3,"mmm-yyyy"))</f>
        <v>0</v>
      </c>
      <c r="AI42" s="300">
        <f>SUM(Tabla17[[#This Row],[ene-23]:[dic-23]])</f>
        <v>0</v>
      </c>
      <c r="AJ42" s="49">
        <f>SUMIFS(Banco[Monto],Banco[CtaCtbl],$C42,Banco[Periodo Contable],TEXT(AJ$3,"mmm-yyyy"))</f>
        <v>0</v>
      </c>
      <c r="AK42" s="49">
        <f>SUMIFS(Banco[Monto],Banco[CtaCtbl],$C42,Banco[Periodo Contable],TEXT(AK$3,"mmm-yyyy"))</f>
        <v>0</v>
      </c>
      <c r="AL42" s="49">
        <f>SUMIFS(Banco[Monto],Banco[CtaCtbl],$C42,Banco[Periodo Contable],TEXT(AL$3,"mmm-yyyy"))</f>
        <v>0</v>
      </c>
      <c r="AM42" s="49">
        <f>SUMIFS(Banco[Monto],Banco[CtaCtbl],$C42,Banco[Periodo Contable],TEXT(AM$3,"mmm-yyyy"))</f>
        <v>0</v>
      </c>
      <c r="AN42" s="49">
        <f>SUMIFS(Banco[Monto],Banco[CtaCtbl],$C42,Banco[Periodo Contable],TEXT(AN$3,"mmm-yyyy"))</f>
        <v>0</v>
      </c>
      <c r="AO42" s="49">
        <f>SUMIFS(Banco[Monto],Banco[CtaCtbl],$C42,Banco[Periodo Contable],TEXT(AO$3,"mmm-yyyy"))</f>
        <v>0</v>
      </c>
      <c r="AP42" s="49">
        <f>SUMIFS(Banco[Monto],Banco[CtaCtbl],$C42,Banco[Periodo Contable],TEXT(AP$3,"mmm-yyyy"))</f>
        <v>0</v>
      </c>
      <c r="AQ42" s="49">
        <f>SUMIFS(Banco[Monto],Banco[CtaCtbl],$C42,Banco[Periodo Contable],TEXT(AQ$3,"mmm-yyyy"))</f>
        <v>0</v>
      </c>
      <c r="AR42" s="49">
        <f>SUMIFS(Banco[Monto],Banco[CtaCtbl],$C42,Banco[Periodo Contable],TEXT(AR$3,"mmm-yyyy"))</f>
        <v>0</v>
      </c>
      <c r="AS42" s="49">
        <f>SUMIFS(Banco[Monto],Banco[CtaCtbl],$C42,Banco[Periodo Contable],TEXT(AS$3,"mmm-yyyy"))</f>
        <v>0</v>
      </c>
      <c r="AT42" s="49">
        <f>SUMIFS(Banco[Monto],Banco[CtaCtbl],$C42,Banco[Periodo Contable],TEXT(AT$3,"mmm-yyyy"))</f>
        <v>0</v>
      </c>
      <c r="AU42" s="49">
        <f>SUMIFS(Banco[Monto],Banco[CtaCtbl],$C42,Banco[Periodo Contable],TEXT(AU$3,"mmm-yyyy"))</f>
        <v>0</v>
      </c>
      <c r="AV42" s="300">
        <f>SUM(Tabla17[[#This Row],[ene-24]:[dic-24]])</f>
        <v>0</v>
      </c>
      <c r="AW42" s="49">
        <f>SUMIFS(Banco[Monto],Banco[CtaCtbl],$C42,Banco[Periodo Contable],TEXT(AW$3,"mmm-yyyy"))</f>
        <v>0</v>
      </c>
      <c r="AX42" s="49">
        <f>SUMIFS(Banco[Monto],Banco[CtaCtbl],$C42,Banco[Periodo Contable],TEXT(AX$3,"mmm-yyyy"))</f>
        <v>0</v>
      </c>
      <c r="AY42" s="49">
        <f>SUMIFS(Banco[Monto],Banco[CtaCtbl],$C42,Banco[Periodo Contable],TEXT(AY$3,"mmm-yyyy"))</f>
        <v>0</v>
      </c>
      <c r="AZ42" s="49">
        <f>SUMIFS(Banco[Monto],Banco[CtaCtbl],$C42,Banco[Periodo Contable],TEXT(AZ$3,"mmm-yyyy"))</f>
        <v>0</v>
      </c>
      <c r="BA42" s="49">
        <f>SUMIFS(Banco[Monto],Banco[CtaCtbl],$C42,Banco[Periodo Contable],TEXT(BA$3,"mmm-yyyy"))</f>
        <v>0</v>
      </c>
      <c r="BB42" s="49">
        <f>SUMIFS(Banco[Monto],Banco[CtaCtbl],$C42,Banco[Periodo Contable],TEXT(BB$3,"mmm-yyyy"))</f>
        <v>0</v>
      </c>
      <c r="BC42" s="49">
        <f>SUMIFS(Banco[Monto],Banco[CtaCtbl],$C42,Banco[Periodo Contable],TEXT(BC$3,"mmm-yyyy"))</f>
        <v>0</v>
      </c>
      <c r="BD42" s="49">
        <f>SUMIFS(Banco[Monto],Banco[CtaCtbl],$C42,Banco[Periodo Contable],TEXT(BD$3,"mmm-yyyy"))</f>
        <v>0</v>
      </c>
      <c r="BE42" s="49">
        <f>SUMIFS(Banco[Monto],Banco[CtaCtbl],$C42,Banco[Periodo Contable],TEXT(BE$3,"mmm-yyyy"))</f>
        <v>0</v>
      </c>
      <c r="BF42" s="49">
        <f>SUMIFS(Banco[Monto],Banco[CtaCtbl],$C42,Banco[Periodo Contable],TEXT(BF$3,"mmm-yyyy"))</f>
        <v>0</v>
      </c>
      <c r="BG42" s="49">
        <f>SUMIFS(Banco[Monto],Banco[CtaCtbl],$C42,Banco[Periodo Contable],TEXT(BG$3,"mmm-yyyy"))</f>
        <v>0</v>
      </c>
      <c r="BH42" s="49">
        <f>SUMIFS(Banco[Monto],Banco[CtaCtbl],$C42,Banco[Periodo Contable],TEXT(BH$3,"mmm-yyyy"))</f>
        <v>0</v>
      </c>
      <c r="BI42" s="232">
        <f>SUM(Tabla17[[#This Row],[ene-25]:[dic-25]])</f>
        <v>0</v>
      </c>
      <c r="BJ42" s="49">
        <f>SUMIFS(Banco[Monto],Banco[CtaCtbl],$C42,Banco[Periodo Contable],TEXT(BJ$3,"mmm-yyyy"))</f>
        <v>0</v>
      </c>
      <c r="BK42" s="49">
        <f>SUMIFS(Banco[Monto],Banco[CtaCtbl],$C42,Banco[Periodo Contable],TEXT(BK$3,"mmm-yyyy"))</f>
        <v>0</v>
      </c>
      <c r="BL42" s="49">
        <f>SUMIFS(Banco[Monto],Banco[CtaCtbl],$C42,Banco[Periodo Contable],TEXT(BL$3,"mmm-yyyy"))</f>
        <v>0</v>
      </c>
      <c r="BM42" s="49">
        <f>SUMIFS(Banco[Monto],Banco[CtaCtbl],$C42,Banco[Periodo Contable],TEXT(BM$3,"mmm-yyyy"))</f>
        <v>0</v>
      </c>
      <c r="BN42" s="49">
        <f>SUMIFS(Banco[Monto],Banco[CtaCtbl],$C42,Banco[Periodo Contable],TEXT(BN$3,"mmm-yyyy"))</f>
        <v>0</v>
      </c>
      <c r="BO42" s="49">
        <f>SUMIFS(Banco[Monto],Banco[CtaCtbl],$C42,Banco[Periodo Contable],TEXT(BO$3,"mmm-yyyy"))</f>
        <v>0</v>
      </c>
      <c r="BP42" s="49">
        <f>SUMIFS(Banco[Monto],Banco[CtaCtbl],$C42,Banco[Periodo Contable],TEXT(BP$3,"mmm-yyyy"))</f>
        <v>0</v>
      </c>
      <c r="BQ42" s="49">
        <f>SUMIFS(Banco[Monto],Banco[CtaCtbl],$C42,Banco[Periodo Contable],TEXT(BQ$3,"mmm-yyyy"))</f>
        <v>0</v>
      </c>
      <c r="BR42" s="49">
        <f>SUMIFS(Banco[Monto],Banco[CtaCtbl],$C42,Banco[Periodo Contable],TEXT(BR$3,"mmm-yyyy"))</f>
        <v>0</v>
      </c>
      <c r="BS42" s="49">
        <f>SUMIFS(Banco[Monto],Banco[CtaCtbl],$C42,Banco[Periodo Contable],TEXT(BS$3,"mmm-yyyy"))</f>
        <v>0</v>
      </c>
      <c r="BT42" s="49">
        <f>SUMIFS(Banco[Monto],Banco[CtaCtbl],$C42,Banco[Periodo Contable],TEXT(BT$3,"mmm-yyyy"))</f>
        <v>0</v>
      </c>
      <c r="BU42" s="49">
        <f>SUMIFS(Banco[Monto],Banco[CtaCtbl],$C42,Banco[Periodo Contable],TEXT(BU$3,"mmm-yyyy"))</f>
        <v>0</v>
      </c>
      <c r="BV42" s="232">
        <f>SUM(Tabla17[[#This Row],[ene-26]:[dic-26]])</f>
        <v>0</v>
      </c>
      <c r="BW42" s="49">
        <f>SUMIFS(Banco[Monto],Banco[CtaCtbl],$C42,Banco[Periodo Contable],TEXT(BW$3,"mmm-yyyy"))</f>
        <v>0</v>
      </c>
    </row>
    <row r="43" spans="1:75" ht="21.6" outlineLevel="5">
      <c r="A43" s="36" t="s">
        <v>316</v>
      </c>
      <c r="B43" s="58" t="s">
        <v>317</v>
      </c>
      <c r="C43" s="22" t="str">
        <f>+Tabla17[[#This Row],[Cuenta]]&amp;" - "&amp;Tabla17[[#This Row],[Descripcion Cuenta]]</f>
        <v>2.01.03.03.1.2 - Combustible</v>
      </c>
      <c r="D43" s="37"/>
      <c r="E43" s="49">
        <f>SUMIFS(Banco[Monto],Banco[CtaCtbl],$C43,Banco[Periodo Contable],TEXT(E$3,"mmm-yyyy"))</f>
        <v>0</v>
      </c>
      <c r="F43" s="49">
        <f>SUMIFS(Banco[Monto],Banco[CtaCtbl],$C43,Banco[Periodo Contable],TEXT(F$3,"mmm-yyyy"))</f>
        <v>0</v>
      </c>
      <c r="G43" s="49">
        <f>SUMIFS(Banco[Monto],Banco[CtaCtbl],$C43,Banco[Periodo Contable],TEXT(G$3,"mmm-yyyy"))</f>
        <v>0</v>
      </c>
      <c r="H43" s="49">
        <f>SUMIFS(Banco[Monto],Banco[CtaCtbl],$C43,Banco[Periodo Contable],TEXT(H$3,"mmm-yyyy"))</f>
        <v>0</v>
      </c>
      <c r="I43" s="49">
        <f>SUM(Tabla17[[#This Row],[sept-21]:[dic-21]])</f>
        <v>0</v>
      </c>
      <c r="J43" s="49">
        <f>SUMIFS(Banco[Monto],Banco[CtaCtbl],$C43,Banco[Periodo Contable],TEXT(J$3,"mmm-yyyy"))</f>
        <v>0</v>
      </c>
      <c r="K43" s="49">
        <f>SUMIFS(Banco[Monto],Banco[CtaCtbl],$C43,Banco[Periodo Contable],TEXT(K$3,"mmm-yyyy"))</f>
        <v>0</v>
      </c>
      <c r="L43" s="49">
        <f>SUMIFS(Banco[Monto],Banco[CtaCtbl],$C43,Banco[Periodo Contable],TEXT(L$3,"mmm-yyyy"))</f>
        <v>0</v>
      </c>
      <c r="M43" s="49">
        <f>SUMIFS(Banco[Monto],Banco[CtaCtbl],$C43,Banco[Periodo Contable],TEXT(M$3,"mmm-yyyy"))</f>
        <v>0</v>
      </c>
      <c r="N43" s="49">
        <f>SUMIFS(Banco[Monto],Banco[CtaCtbl],$C43,Banco[Periodo Contable],TEXT(N$3,"mmm-yyyy"))</f>
        <v>0</v>
      </c>
      <c r="O43" s="49">
        <f>SUMIFS(Banco[Monto],Banco[CtaCtbl],$C43,Banco[Periodo Contable],TEXT(O$3,"mmm-yyyy"))</f>
        <v>0</v>
      </c>
      <c r="P43" s="49">
        <f>SUMIFS(Banco[Monto],Banco[CtaCtbl],$C43,Banco[Periodo Contable],TEXT(P$3,"mmm-yyyy"))</f>
        <v>0</v>
      </c>
      <c r="Q43" s="49">
        <f>SUMIFS(Banco[Monto],Banco[CtaCtbl],$C43,Banco[Periodo Contable],TEXT(Q$3,"mmm-yyyy"))</f>
        <v>0</v>
      </c>
      <c r="R43" s="49">
        <f>SUMIFS(Banco[Monto],Banco[CtaCtbl],$C43,Banco[Periodo Contable],TEXT(R$3,"mmm-yyyy"))</f>
        <v>0</v>
      </c>
      <c r="S43" s="49">
        <f>SUMIFS(Banco[Monto],Banco[CtaCtbl],$C43,Banco[Periodo Contable],TEXT(S$3,"mmm-yyyy"))</f>
        <v>0</v>
      </c>
      <c r="T43" s="49">
        <f>SUMIFS(Banco[Monto],Banco[CtaCtbl],$C43,Banco[Periodo Contable],TEXT(T$3,"mmm-yyyy"))</f>
        <v>0</v>
      </c>
      <c r="U43" s="49">
        <f>SUMIFS(Banco[Monto],Banco[CtaCtbl],$C43,Banco[Periodo Contable],TEXT(U$3,"mmm-yyyy"))</f>
        <v>0</v>
      </c>
      <c r="V43" s="300">
        <f>SUM(Tabla17[[#This Row],[ene-22]:[dic-22]])</f>
        <v>0</v>
      </c>
      <c r="W43" s="49">
        <f>SUMIFS(Banco[Monto],Banco[CtaCtbl],$C43,Banco[Periodo Contable],TEXT(W$3,"mmm-yyyy"))</f>
        <v>0</v>
      </c>
      <c r="X43" s="49">
        <f>SUMIFS(Banco[Monto],Banco[CtaCtbl],$C43,Banco[Periodo Contable],TEXT(X$3,"mmm-yyyy"))</f>
        <v>0</v>
      </c>
      <c r="Y43" s="49">
        <f>SUMIFS(Banco[Monto],Banco[CtaCtbl],$C43,Banco[Periodo Contable],TEXT(Y$3,"mmm-yyyy"))</f>
        <v>0</v>
      </c>
      <c r="Z43" s="49">
        <f>SUMIFS(Banco[Monto],Banco[CtaCtbl],$C43,Banco[Periodo Contable],TEXT(Z$3,"mmm-yyyy"))</f>
        <v>0</v>
      </c>
      <c r="AA43" s="49">
        <f>SUMIFS(Banco[Monto],Banco[CtaCtbl],$C43,Banco[Periodo Contable],TEXT(AA$3,"mmm-yyyy"))</f>
        <v>0</v>
      </c>
      <c r="AB43" s="49">
        <f>SUMIFS(Banco[Monto],Banco[CtaCtbl],$C43,Banco[Periodo Contable],TEXT(AB$3,"mmm-yyyy"))</f>
        <v>0</v>
      </c>
      <c r="AC43" s="49">
        <f>SUMIFS(Banco[Monto],Banco[CtaCtbl],$C43,Banco[Periodo Contable],TEXT(AC$3,"mmm-yyyy"))</f>
        <v>0</v>
      </c>
      <c r="AD43" s="49">
        <f>SUMIFS(Banco[Monto],Banco[CtaCtbl],$C43,Banco[Periodo Contable],TEXT(AD$3,"mmm-yyyy"))</f>
        <v>0</v>
      </c>
      <c r="AE43" s="49">
        <f>SUMIFS(Banco[Monto],Banco[CtaCtbl],$C43,Banco[Periodo Contable],TEXT(AE$3,"mmm-yyyy"))</f>
        <v>0</v>
      </c>
      <c r="AF43" s="49">
        <f>SUMIFS(Banco[Monto],Banco[CtaCtbl],$C43,Banco[Periodo Contable],TEXT(AF$3,"mmm-yyyy"))</f>
        <v>0</v>
      </c>
      <c r="AG43" s="49">
        <f>SUMIFS(Banco[Monto],Banco[CtaCtbl],$C43,Banco[Periodo Contable],TEXT(AG$3,"mmm-yyyy"))</f>
        <v>0</v>
      </c>
      <c r="AH43" s="49">
        <f>SUMIFS(Banco[Monto],Banco[CtaCtbl],$C43,Banco[Periodo Contable],TEXT(AH$3,"mmm-yyyy"))</f>
        <v>0</v>
      </c>
      <c r="AI43" s="300">
        <f>SUM(Tabla17[[#This Row],[ene-23]:[dic-23]])</f>
        <v>0</v>
      </c>
      <c r="AJ43" s="49">
        <f>SUMIFS(Banco[Monto],Banco[CtaCtbl],$C43,Banco[Periodo Contable],TEXT(AJ$3,"mmm-yyyy"))</f>
        <v>0</v>
      </c>
      <c r="AK43" s="49">
        <f>SUMIFS(Banco[Monto],Banco[CtaCtbl],$C43,Banco[Periodo Contable],TEXT(AK$3,"mmm-yyyy"))</f>
        <v>0</v>
      </c>
      <c r="AL43" s="49">
        <f>SUMIFS(Banco[Monto],Banco[CtaCtbl],$C43,Banco[Periodo Contable],TEXT(AL$3,"mmm-yyyy"))</f>
        <v>0</v>
      </c>
      <c r="AM43" s="49">
        <f>SUMIFS(Banco[Monto],Banco[CtaCtbl],$C43,Banco[Periodo Contable],TEXT(AM$3,"mmm-yyyy"))</f>
        <v>0</v>
      </c>
      <c r="AN43" s="49">
        <f>SUMIFS(Banco[Monto],Banco[CtaCtbl],$C43,Banco[Periodo Contable],TEXT(AN$3,"mmm-yyyy"))</f>
        <v>0</v>
      </c>
      <c r="AO43" s="49">
        <f>SUMIFS(Banco[Monto],Banco[CtaCtbl],$C43,Banco[Periodo Contable],TEXT(AO$3,"mmm-yyyy"))</f>
        <v>0</v>
      </c>
      <c r="AP43" s="49">
        <f>SUMIFS(Banco[Monto],Banco[CtaCtbl],$C43,Banco[Periodo Contable],TEXT(AP$3,"mmm-yyyy"))</f>
        <v>0</v>
      </c>
      <c r="AQ43" s="49">
        <f>SUMIFS(Banco[Monto],Banco[CtaCtbl],$C43,Banco[Periodo Contable],TEXT(AQ$3,"mmm-yyyy"))</f>
        <v>0</v>
      </c>
      <c r="AR43" s="49">
        <f>SUMIFS(Banco[Monto],Banco[CtaCtbl],$C43,Banco[Periodo Contable],TEXT(AR$3,"mmm-yyyy"))</f>
        <v>0</v>
      </c>
      <c r="AS43" s="49">
        <f>SUMIFS(Banco[Monto],Banco[CtaCtbl],$C43,Banco[Periodo Contable],TEXT(AS$3,"mmm-yyyy"))</f>
        <v>0</v>
      </c>
      <c r="AT43" s="49">
        <f>SUMIFS(Banco[Monto],Banco[CtaCtbl],$C43,Banco[Periodo Contable],TEXT(AT$3,"mmm-yyyy"))</f>
        <v>0</v>
      </c>
      <c r="AU43" s="49">
        <f>SUMIFS(Banco[Monto],Banco[CtaCtbl],$C43,Banco[Periodo Contable],TEXT(AU$3,"mmm-yyyy"))</f>
        <v>0</v>
      </c>
      <c r="AV43" s="300">
        <f>SUM(Tabla17[[#This Row],[ene-24]:[dic-24]])</f>
        <v>0</v>
      </c>
      <c r="AW43" s="49">
        <f>SUMIFS(Banco[Monto],Banco[CtaCtbl],$C43,Banco[Periodo Contable],TEXT(AW$3,"mmm-yyyy"))</f>
        <v>0</v>
      </c>
      <c r="AX43" s="49">
        <f>SUMIFS(Banco[Monto],Banco[CtaCtbl],$C43,Banco[Periodo Contable],TEXT(AX$3,"mmm-yyyy"))</f>
        <v>0</v>
      </c>
      <c r="AY43" s="49">
        <f>SUMIFS(Banco[Monto],Banco[CtaCtbl],$C43,Banco[Periodo Contable],TEXT(AY$3,"mmm-yyyy"))</f>
        <v>0</v>
      </c>
      <c r="AZ43" s="49">
        <f>SUMIFS(Banco[Monto],Banco[CtaCtbl],$C43,Banco[Periodo Contable],TEXT(AZ$3,"mmm-yyyy"))</f>
        <v>-304472</v>
      </c>
      <c r="BA43" s="49">
        <f>SUMIFS(Banco[Monto],Banco[CtaCtbl],$C43,Banco[Periodo Contable],TEXT(BA$3,"mmm-yyyy"))</f>
        <v>0</v>
      </c>
      <c r="BB43" s="49">
        <f>SUMIFS(Banco[Monto],Banco[CtaCtbl],$C43,Banco[Periodo Contable],TEXT(BB$3,"mmm-yyyy"))</f>
        <v>0</v>
      </c>
      <c r="BC43" s="49">
        <f>SUMIFS(Banco[Monto],Banco[CtaCtbl],$C43,Banco[Periodo Contable],TEXT(BC$3,"mmm-yyyy"))</f>
        <v>0</v>
      </c>
      <c r="BD43" s="49">
        <f>SUMIFS(Banco[Monto],Banco[CtaCtbl],$C43,Banco[Periodo Contable],TEXT(BD$3,"mmm-yyyy"))</f>
        <v>0</v>
      </c>
      <c r="BE43" s="49">
        <f>SUMIFS(Banco[Monto],Banco[CtaCtbl],$C43,Banco[Periodo Contable],TEXT(BE$3,"mmm-yyyy"))</f>
        <v>0</v>
      </c>
      <c r="BF43" s="49">
        <f>SUMIFS(Banco[Monto],Banco[CtaCtbl],$C43,Banco[Periodo Contable],TEXT(BF$3,"mmm-yyyy"))</f>
        <v>0</v>
      </c>
      <c r="BG43" s="49">
        <f>SUMIFS(Banco[Monto],Banco[CtaCtbl],$C43,Banco[Periodo Contable],TEXT(BG$3,"mmm-yyyy"))</f>
        <v>0</v>
      </c>
      <c r="BH43" s="49">
        <f>SUMIFS(Banco[Monto],Banco[CtaCtbl],$C43,Banco[Periodo Contable],TEXT(BH$3,"mmm-yyyy"))</f>
        <v>0</v>
      </c>
      <c r="BI43" s="232">
        <f>SUM(Tabla17[[#This Row],[ene-25]:[dic-25]])</f>
        <v>-304472</v>
      </c>
      <c r="BJ43" s="49">
        <f>SUMIFS(Banco[Monto],Banco[CtaCtbl],$C43,Banco[Periodo Contable],TEXT(BJ$3,"mmm-yyyy"))</f>
        <v>0</v>
      </c>
      <c r="BK43" s="49">
        <f>SUMIFS(Banco[Monto],Banco[CtaCtbl],$C43,Banco[Periodo Contable],TEXT(BK$3,"mmm-yyyy"))</f>
        <v>0</v>
      </c>
      <c r="BL43" s="49">
        <f>SUMIFS(Banco[Monto],Banco[CtaCtbl],$C43,Banco[Periodo Contable],TEXT(BL$3,"mmm-yyyy"))</f>
        <v>-37205</v>
      </c>
      <c r="BM43" s="49">
        <f>SUMIFS(Banco[Monto],Banco[CtaCtbl],$C43,Banco[Periodo Contable],TEXT(BM$3,"mmm-yyyy"))</f>
        <v>0</v>
      </c>
      <c r="BN43" s="49">
        <f>SUMIFS(Banco[Monto],Banco[CtaCtbl],$C43,Banco[Periodo Contable],TEXT(BN$3,"mmm-yyyy"))</f>
        <v>0</v>
      </c>
      <c r="BO43" s="49">
        <f>SUMIFS(Banco[Monto],Banco[CtaCtbl],$C43,Banco[Periodo Contable],TEXT(BO$3,"mmm-yyyy"))</f>
        <v>0</v>
      </c>
      <c r="BP43" s="49">
        <f>SUMIFS(Banco[Monto],Banco[CtaCtbl],$C43,Banco[Periodo Contable],TEXT(BP$3,"mmm-yyyy"))</f>
        <v>0</v>
      </c>
      <c r="BQ43" s="49">
        <f>SUMIFS(Banco[Monto],Banco[CtaCtbl],$C43,Banco[Periodo Contable],TEXT(BQ$3,"mmm-yyyy"))</f>
        <v>0</v>
      </c>
      <c r="BR43" s="49">
        <f>SUMIFS(Banco[Monto],Banco[CtaCtbl],$C43,Banco[Periodo Contable],TEXT(BR$3,"mmm-yyyy"))</f>
        <v>0</v>
      </c>
      <c r="BS43" s="49">
        <f>SUMIFS(Banco[Monto],Banco[CtaCtbl],$C43,Banco[Periodo Contable],TEXT(BS$3,"mmm-yyyy"))</f>
        <v>0</v>
      </c>
      <c r="BT43" s="49">
        <f>SUMIFS(Banco[Monto],Banco[CtaCtbl],$C43,Banco[Periodo Contable],TEXT(BT$3,"mmm-yyyy"))</f>
        <v>0</v>
      </c>
      <c r="BU43" s="49">
        <f>SUMIFS(Banco[Monto],Banco[CtaCtbl],$C43,Banco[Periodo Contable],TEXT(BU$3,"mmm-yyyy"))</f>
        <v>0</v>
      </c>
      <c r="BV43" s="232">
        <f>SUM(Tabla17[[#This Row],[ene-26]:[dic-26]])</f>
        <v>-37205</v>
      </c>
      <c r="BW43" s="49">
        <f>SUMIFS(Banco[Monto],Banco[CtaCtbl],$C43,Banco[Periodo Contable],TEXT(BW$3,"mmm-yyyy"))</f>
        <v>0</v>
      </c>
    </row>
    <row r="44" spans="1:75" ht="21.6" outlineLevel="5">
      <c r="A44" s="36" t="s">
        <v>318</v>
      </c>
      <c r="B44" s="58" t="s">
        <v>319</v>
      </c>
      <c r="C44" s="22" t="str">
        <f>+Tabla17[[#This Row],[Cuenta]]&amp;" - "&amp;Tabla17[[#This Row],[Descripcion Cuenta]]</f>
        <v>2.01.03.03.1.3 - Estacionamientos</v>
      </c>
      <c r="D44" s="37"/>
      <c r="E44" s="49">
        <f>SUMIFS(Banco[Monto],Banco[CtaCtbl],$C44,Banco[Periodo Contable],TEXT(E$3,"mmm-yyyy"))</f>
        <v>0</v>
      </c>
      <c r="F44" s="49">
        <f>SUMIFS(Banco[Monto],Banco[CtaCtbl],$C44,Banco[Periodo Contable],TEXT(F$3,"mmm-yyyy"))</f>
        <v>0</v>
      </c>
      <c r="G44" s="49">
        <f>SUMIFS(Banco[Monto],Banco[CtaCtbl],$C44,Banco[Periodo Contable],TEXT(G$3,"mmm-yyyy"))</f>
        <v>0</v>
      </c>
      <c r="H44" s="49">
        <f>SUMIFS(Banco[Monto],Banco[CtaCtbl],$C44,Banco[Periodo Contable],TEXT(H$3,"mmm-yyyy"))</f>
        <v>0</v>
      </c>
      <c r="I44" s="49">
        <f>SUM(Tabla17[[#This Row],[sept-21]:[dic-21]])</f>
        <v>0</v>
      </c>
      <c r="J44" s="49">
        <f>SUMIFS(Banco[Monto],Banco[CtaCtbl],$C44,Banco[Periodo Contable],TEXT(J$3,"mmm-yyyy"))</f>
        <v>0</v>
      </c>
      <c r="K44" s="49">
        <f>SUMIFS(Banco[Monto],Banco[CtaCtbl],$C44,Banco[Periodo Contable],TEXT(K$3,"mmm-yyyy"))</f>
        <v>0</v>
      </c>
      <c r="L44" s="49">
        <f>SUMIFS(Banco[Monto],Banco[CtaCtbl],$C44,Banco[Periodo Contable],TEXT(L$3,"mmm-yyyy"))</f>
        <v>0</v>
      </c>
      <c r="M44" s="49">
        <f>SUMIFS(Banco[Monto],Banco[CtaCtbl],$C44,Banco[Periodo Contable],TEXT(M$3,"mmm-yyyy"))</f>
        <v>0</v>
      </c>
      <c r="N44" s="49">
        <f>SUMIFS(Banco[Monto],Banco[CtaCtbl],$C44,Banco[Periodo Contable],TEXT(N$3,"mmm-yyyy"))</f>
        <v>0</v>
      </c>
      <c r="O44" s="49">
        <f>SUMIFS(Banco[Monto],Banco[CtaCtbl],$C44,Banco[Periodo Contable],TEXT(O$3,"mmm-yyyy"))</f>
        <v>0</v>
      </c>
      <c r="P44" s="49">
        <f>SUMIFS(Banco[Monto],Banco[CtaCtbl],$C44,Banco[Periodo Contable],TEXT(P$3,"mmm-yyyy"))</f>
        <v>0</v>
      </c>
      <c r="Q44" s="49">
        <f>SUMIFS(Banco[Monto],Banco[CtaCtbl],$C44,Banco[Periodo Contable],TEXT(Q$3,"mmm-yyyy"))</f>
        <v>0</v>
      </c>
      <c r="R44" s="49">
        <f>SUMIFS(Banco[Monto],Banco[CtaCtbl],$C44,Banco[Periodo Contable],TEXT(R$3,"mmm-yyyy"))</f>
        <v>0</v>
      </c>
      <c r="S44" s="49">
        <f>SUMIFS(Banco[Monto],Banco[CtaCtbl],$C44,Banco[Periodo Contable],TEXT(S$3,"mmm-yyyy"))</f>
        <v>0</v>
      </c>
      <c r="T44" s="49">
        <f>SUMIFS(Banco[Monto],Banco[CtaCtbl],$C44,Banco[Periodo Contable],TEXT(T$3,"mmm-yyyy"))</f>
        <v>0</v>
      </c>
      <c r="U44" s="49">
        <f>SUMIFS(Banco[Monto],Banco[CtaCtbl],$C44,Banco[Periodo Contable],TEXT(U$3,"mmm-yyyy"))</f>
        <v>0</v>
      </c>
      <c r="V44" s="300">
        <f>SUM(Tabla17[[#This Row],[ene-22]:[dic-22]])</f>
        <v>0</v>
      </c>
      <c r="W44" s="49">
        <f>SUMIFS(Banco[Monto],Banco[CtaCtbl],$C44,Banco[Periodo Contable],TEXT(W$3,"mmm-yyyy"))</f>
        <v>0</v>
      </c>
      <c r="X44" s="49">
        <f>SUMIFS(Banco[Monto],Banco[CtaCtbl],$C44,Banco[Periodo Contable],TEXT(X$3,"mmm-yyyy"))</f>
        <v>0</v>
      </c>
      <c r="Y44" s="49">
        <f>SUMIFS(Banco[Monto],Banco[CtaCtbl],$C44,Banco[Periodo Contable],TEXT(Y$3,"mmm-yyyy"))</f>
        <v>0</v>
      </c>
      <c r="Z44" s="49">
        <f>SUMIFS(Banco[Monto],Banco[CtaCtbl],$C44,Banco[Periodo Contable],TEXT(Z$3,"mmm-yyyy"))</f>
        <v>0</v>
      </c>
      <c r="AA44" s="49">
        <f>SUMIFS(Banco[Monto],Banco[CtaCtbl],$C44,Banco[Periodo Contable],TEXT(AA$3,"mmm-yyyy"))</f>
        <v>0</v>
      </c>
      <c r="AB44" s="49">
        <f>SUMIFS(Banco[Monto],Banco[CtaCtbl],$C44,Banco[Periodo Contable],TEXT(AB$3,"mmm-yyyy"))</f>
        <v>0</v>
      </c>
      <c r="AC44" s="49">
        <f>SUMIFS(Banco[Monto],Banco[CtaCtbl],$C44,Banco[Periodo Contable],TEXT(AC$3,"mmm-yyyy"))</f>
        <v>0</v>
      </c>
      <c r="AD44" s="49">
        <f>SUMIFS(Banco[Monto],Banco[CtaCtbl],$C44,Banco[Periodo Contable],TEXT(AD$3,"mmm-yyyy"))</f>
        <v>0</v>
      </c>
      <c r="AE44" s="49">
        <f>SUMIFS(Banco[Monto],Banco[CtaCtbl],$C44,Banco[Periodo Contable],TEXT(AE$3,"mmm-yyyy"))</f>
        <v>0</v>
      </c>
      <c r="AF44" s="49">
        <f>SUMIFS(Banco[Monto],Banco[CtaCtbl],$C44,Banco[Periodo Contable],TEXT(AF$3,"mmm-yyyy"))</f>
        <v>0</v>
      </c>
      <c r="AG44" s="49">
        <f>SUMIFS(Banco[Monto],Banco[CtaCtbl],$C44,Banco[Periodo Contable],TEXT(AG$3,"mmm-yyyy"))</f>
        <v>0</v>
      </c>
      <c r="AH44" s="49">
        <f>SUMIFS(Banco[Monto],Banco[CtaCtbl],$C44,Banco[Periodo Contable],TEXT(AH$3,"mmm-yyyy"))</f>
        <v>0</v>
      </c>
      <c r="AI44" s="300">
        <f>SUM(Tabla17[[#This Row],[ene-23]:[dic-23]])</f>
        <v>0</v>
      </c>
      <c r="AJ44" s="49">
        <f>SUMIFS(Banco[Monto],Banco[CtaCtbl],$C44,Banco[Periodo Contable],TEXT(AJ$3,"mmm-yyyy"))</f>
        <v>0</v>
      </c>
      <c r="AK44" s="49">
        <f>SUMIFS(Banco[Monto],Banco[CtaCtbl],$C44,Banco[Periodo Contable],TEXT(AK$3,"mmm-yyyy"))</f>
        <v>0</v>
      </c>
      <c r="AL44" s="49">
        <f>SUMIFS(Banco[Monto],Banco[CtaCtbl],$C44,Banco[Periodo Contable],TEXT(AL$3,"mmm-yyyy"))</f>
        <v>0</v>
      </c>
      <c r="AM44" s="49">
        <f>SUMIFS(Banco[Monto],Banco[CtaCtbl],$C44,Banco[Periodo Contable],TEXT(AM$3,"mmm-yyyy"))</f>
        <v>0</v>
      </c>
      <c r="AN44" s="49">
        <f>SUMIFS(Banco[Monto],Banco[CtaCtbl],$C44,Banco[Periodo Contable],TEXT(AN$3,"mmm-yyyy"))</f>
        <v>0</v>
      </c>
      <c r="AO44" s="49">
        <f>SUMIFS(Banco[Monto],Banco[CtaCtbl],$C44,Banco[Periodo Contable],TEXT(AO$3,"mmm-yyyy"))</f>
        <v>0</v>
      </c>
      <c r="AP44" s="49">
        <f>SUMIFS(Banco[Monto],Banco[CtaCtbl],$C44,Banco[Periodo Contable],TEXT(AP$3,"mmm-yyyy"))</f>
        <v>0</v>
      </c>
      <c r="AQ44" s="49">
        <f>SUMIFS(Banco[Monto],Banco[CtaCtbl],$C44,Banco[Periodo Contable],TEXT(AQ$3,"mmm-yyyy"))</f>
        <v>0</v>
      </c>
      <c r="AR44" s="49">
        <f>SUMIFS(Banco[Monto],Banco[CtaCtbl],$C44,Banco[Periodo Contable],TEXT(AR$3,"mmm-yyyy"))</f>
        <v>0</v>
      </c>
      <c r="AS44" s="49">
        <f>SUMIFS(Banco[Monto],Banco[CtaCtbl],$C44,Banco[Periodo Contable],TEXT(AS$3,"mmm-yyyy"))</f>
        <v>0</v>
      </c>
      <c r="AT44" s="49">
        <f>SUMIFS(Banco[Monto],Banco[CtaCtbl],$C44,Banco[Periodo Contable],TEXT(AT$3,"mmm-yyyy"))</f>
        <v>0</v>
      </c>
      <c r="AU44" s="49">
        <f>SUMIFS(Banco[Monto],Banco[CtaCtbl],$C44,Banco[Periodo Contable],TEXT(AU$3,"mmm-yyyy"))</f>
        <v>0</v>
      </c>
      <c r="AV44" s="300">
        <f>SUM(Tabla17[[#This Row],[ene-24]:[dic-24]])</f>
        <v>0</v>
      </c>
      <c r="AW44" s="49">
        <f>SUMIFS(Banco[Monto],Banco[CtaCtbl],$C44,Banco[Periodo Contable],TEXT(AW$3,"mmm-yyyy"))</f>
        <v>0</v>
      </c>
      <c r="AX44" s="49">
        <f>SUMIFS(Banco[Monto],Banco[CtaCtbl],$C44,Banco[Periodo Contable],TEXT(AX$3,"mmm-yyyy"))</f>
        <v>0</v>
      </c>
      <c r="AY44" s="49">
        <f>SUMIFS(Banco[Monto],Banco[CtaCtbl],$C44,Banco[Periodo Contable],TEXT(AY$3,"mmm-yyyy"))</f>
        <v>0</v>
      </c>
      <c r="AZ44" s="49">
        <f>SUMIFS(Banco[Monto],Banco[CtaCtbl],$C44,Banco[Periodo Contable],TEXT(AZ$3,"mmm-yyyy"))</f>
        <v>-1800</v>
      </c>
      <c r="BA44" s="49">
        <f>SUMIFS(Banco[Monto],Banco[CtaCtbl],$C44,Banco[Periodo Contable],TEXT(BA$3,"mmm-yyyy"))</f>
        <v>0</v>
      </c>
      <c r="BB44" s="49">
        <f>SUMIFS(Banco[Monto],Banco[CtaCtbl],$C44,Banco[Periodo Contable],TEXT(BB$3,"mmm-yyyy"))</f>
        <v>0</v>
      </c>
      <c r="BC44" s="49">
        <f>SUMIFS(Banco[Monto],Banco[CtaCtbl],$C44,Banco[Periodo Contable],TEXT(BC$3,"mmm-yyyy"))</f>
        <v>0</v>
      </c>
      <c r="BD44" s="49">
        <f>SUMIFS(Banco[Monto],Banco[CtaCtbl],$C44,Banco[Periodo Contable],TEXT(BD$3,"mmm-yyyy"))</f>
        <v>-2450</v>
      </c>
      <c r="BE44" s="49">
        <f>SUMIFS(Banco[Monto],Banco[CtaCtbl],$C44,Banco[Periodo Contable],TEXT(BE$3,"mmm-yyyy"))</f>
        <v>0</v>
      </c>
      <c r="BF44" s="49">
        <f>SUMIFS(Banco[Monto],Banco[CtaCtbl],$C44,Banco[Periodo Contable],TEXT(BF$3,"mmm-yyyy"))</f>
        <v>0</v>
      </c>
      <c r="BG44" s="49">
        <f>SUMIFS(Banco[Monto],Banco[CtaCtbl],$C44,Banco[Periodo Contable],TEXT(BG$3,"mmm-yyyy"))</f>
        <v>0</v>
      </c>
      <c r="BH44" s="49">
        <f>SUMIFS(Banco[Monto],Banco[CtaCtbl],$C44,Banco[Periodo Contable],TEXT(BH$3,"mmm-yyyy"))</f>
        <v>0</v>
      </c>
      <c r="BI44" s="232">
        <f>SUM(Tabla17[[#This Row],[ene-25]:[dic-25]])</f>
        <v>-4250</v>
      </c>
      <c r="BJ44" s="49">
        <f>SUMIFS(Banco[Monto],Banco[CtaCtbl],$C44,Banco[Periodo Contable],TEXT(BJ$3,"mmm-yyyy"))</f>
        <v>0</v>
      </c>
      <c r="BK44" s="49">
        <f>SUMIFS(Banco[Monto],Banco[CtaCtbl],$C44,Banco[Periodo Contable],TEXT(BK$3,"mmm-yyyy"))</f>
        <v>0</v>
      </c>
      <c r="BL44" s="49">
        <f>SUMIFS(Banco[Monto],Banco[CtaCtbl],$C44,Banco[Periodo Contable],TEXT(BL$3,"mmm-yyyy"))</f>
        <v>-27200</v>
      </c>
      <c r="BM44" s="49">
        <f>SUMIFS(Banco[Monto],Banco[CtaCtbl],$C44,Banco[Periodo Contable],TEXT(BM$3,"mmm-yyyy"))</f>
        <v>0</v>
      </c>
      <c r="BN44" s="49">
        <f>SUMIFS(Banco[Monto],Banco[CtaCtbl],$C44,Banco[Periodo Contable],TEXT(BN$3,"mmm-yyyy"))</f>
        <v>0</v>
      </c>
      <c r="BO44" s="49">
        <f>SUMIFS(Banco[Monto],Banco[CtaCtbl],$C44,Banco[Periodo Contable],TEXT(BO$3,"mmm-yyyy"))</f>
        <v>0</v>
      </c>
      <c r="BP44" s="49">
        <f>SUMIFS(Banco[Monto],Banco[CtaCtbl],$C44,Banco[Periodo Contable],TEXT(BP$3,"mmm-yyyy"))</f>
        <v>0</v>
      </c>
      <c r="BQ44" s="49">
        <f>SUMIFS(Banco[Monto],Banco[CtaCtbl],$C44,Banco[Periodo Contable],TEXT(BQ$3,"mmm-yyyy"))</f>
        <v>0</v>
      </c>
      <c r="BR44" s="49">
        <f>SUMIFS(Banco[Monto],Banco[CtaCtbl],$C44,Banco[Periodo Contable],TEXT(BR$3,"mmm-yyyy"))</f>
        <v>0</v>
      </c>
      <c r="BS44" s="49">
        <f>SUMIFS(Banco[Monto],Banco[CtaCtbl],$C44,Banco[Periodo Contable],TEXT(BS$3,"mmm-yyyy"))</f>
        <v>0</v>
      </c>
      <c r="BT44" s="49">
        <f>SUMIFS(Banco[Monto],Banco[CtaCtbl],$C44,Banco[Periodo Contable],TEXT(BT$3,"mmm-yyyy"))</f>
        <v>0</v>
      </c>
      <c r="BU44" s="49">
        <f>SUMIFS(Banco[Monto],Banco[CtaCtbl],$C44,Banco[Periodo Contable],TEXT(BU$3,"mmm-yyyy"))</f>
        <v>0</v>
      </c>
      <c r="BV44" s="232">
        <f>SUM(Tabla17[[#This Row],[ene-26]:[dic-26]])</f>
        <v>-27200</v>
      </c>
      <c r="BW44" s="49">
        <f>SUMIFS(Banco[Monto],Banco[CtaCtbl],$C44,Banco[Periodo Contable],TEXT(BW$3,"mmm-yyyy"))</f>
        <v>0</v>
      </c>
    </row>
    <row r="45" spans="1:75" ht="21.6" outlineLevel="5">
      <c r="A45" s="36" t="s">
        <v>320</v>
      </c>
      <c r="B45" s="58" t="s">
        <v>321</v>
      </c>
      <c r="C45" s="22" t="str">
        <f>+Tabla17[[#This Row],[Cuenta]]&amp;" - "&amp;Tabla17[[#This Row],[Descripcion Cuenta]]</f>
        <v>2.01.03.03.1.4 - Uso de Vehiculo personal</v>
      </c>
      <c r="D45" s="37"/>
      <c r="E45" s="49">
        <f>SUMIFS(Banco[Monto],Banco[CtaCtbl],$C45,Banco[Periodo Contable],TEXT(E$3,"mmm-yyyy"))</f>
        <v>0</v>
      </c>
      <c r="F45" s="49">
        <f>SUMIFS(Banco[Monto],Banco[CtaCtbl],$C45,Banco[Periodo Contable],TEXT(F$3,"mmm-yyyy"))</f>
        <v>0</v>
      </c>
      <c r="G45" s="49">
        <f>SUMIFS(Banco[Monto],Banco[CtaCtbl],$C45,Banco[Periodo Contable],TEXT(G$3,"mmm-yyyy"))</f>
        <v>0</v>
      </c>
      <c r="H45" s="49">
        <f>SUMIFS(Banco[Monto],Banco[CtaCtbl],$C45,Banco[Periodo Contable],TEXT(H$3,"mmm-yyyy"))</f>
        <v>0</v>
      </c>
      <c r="I45" s="49">
        <f>SUM(Tabla17[[#This Row],[sept-21]:[dic-21]])</f>
        <v>0</v>
      </c>
      <c r="J45" s="49">
        <f>SUMIFS(Banco[Monto],Banco[CtaCtbl],$C45,Banco[Periodo Contable],TEXT(J$3,"mmm-yyyy"))</f>
        <v>0</v>
      </c>
      <c r="K45" s="49">
        <f>SUMIFS(Banco[Monto],Banco[CtaCtbl],$C45,Banco[Periodo Contable],TEXT(K$3,"mmm-yyyy"))</f>
        <v>0</v>
      </c>
      <c r="L45" s="49">
        <f>SUMIFS(Banco[Monto],Banco[CtaCtbl],$C45,Banco[Periodo Contable],TEXT(L$3,"mmm-yyyy"))</f>
        <v>0</v>
      </c>
      <c r="M45" s="49">
        <f>SUMIFS(Banco[Monto],Banco[CtaCtbl],$C45,Banco[Periodo Contable],TEXT(M$3,"mmm-yyyy"))</f>
        <v>0</v>
      </c>
      <c r="N45" s="49">
        <f>SUMIFS(Banco[Monto],Banco[CtaCtbl],$C45,Banco[Periodo Contable],TEXT(N$3,"mmm-yyyy"))</f>
        <v>0</v>
      </c>
      <c r="O45" s="49">
        <f>SUMIFS(Banco[Monto],Banco[CtaCtbl],$C45,Banco[Periodo Contable],TEXT(O$3,"mmm-yyyy"))</f>
        <v>0</v>
      </c>
      <c r="P45" s="49">
        <f>SUMIFS(Banco[Monto],Banco[CtaCtbl],$C45,Banco[Periodo Contable],TEXT(P$3,"mmm-yyyy"))</f>
        <v>0</v>
      </c>
      <c r="Q45" s="49">
        <f>SUMIFS(Banco[Monto],Banco[CtaCtbl],$C45,Banco[Periodo Contable],TEXT(Q$3,"mmm-yyyy"))</f>
        <v>0</v>
      </c>
      <c r="R45" s="49">
        <f>SUMIFS(Banco[Monto],Banco[CtaCtbl],$C45,Banco[Periodo Contable],TEXT(R$3,"mmm-yyyy"))</f>
        <v>0</v>
      </c>
      <c r="S45" s="49">
        <f>SUMIFS(Banco[Monto],Banco[CtaCtbl],$C45,Banco[Periodo Contable],TEXT(S$3,"mmm-yyyy"))</f>
        <v>0</v>
      </c>
      <c r="T45" s="49">
        <f>SUMIFS(Banco[Monto],Banco[CtaCtbl],$C45,Banco[Periodo Contable],TEXT(T$3,"mmm-yyyy"))</f>
        <v>0</v>
      </c>
      <c r="U45" s="49">
        <f>SUMIFS(Banco[Monto],Banco[CtaCtbl],$C45,Banco[Periodo Contable],TEXT(U$3,"mmm-yyyy"))</f>
        <v>0</v>
      </c>
      <c r="V45" s="300">
        <f>SUM(Tabla17[[#This Row],[ene-22]:[dic-22]])</f>
        <v>0</v>
      </c>
      <c r="W45" s="49">
        <f>SUMIFS(Banco[Monto],Banco[CtaCtbl],$C45,Banco[Periodo Contable],TEXT(W$3,"mmm-yyyy"))</f>
        <v>0</v>
      </c>
      <c r="X45" s="49">
        <f>SUMIFS(Banco[Monto],Banco[CtaCtbl],$C45,Banco[Periodo Contable],TEXT(X$3,"mmm-yyyy"))</f>
        <v>0</v>
      </c>
      <c r="Y45" s="49">
        <f>SUMIFS(Banco[Monto],Banco[CtaCtbl],$C45,Banco[Periodo Contable],TEXT(Y$3,"mmm-yyyy"))</f>
        <v>0</v>
      </c>
      <c r="Z45" s="49">
        <f>SUMIFS(Banco[Monto],Banco[CtaCtbl],$C45,Banco[Periodo Contable],TEXT(Z$3,"mmm-yyyy"))</f>
        <v>0</v>
      </c>
      <c r="AA45" s="49">
        <f>SUMIFS(Banco[Monto],Banco[CtaCtbl],$C45,Banco[Periodo Contable],TEXT(AA$3,"mmm-yyyy"))</f>
        <v>0</v>
      </c>
      <c r="AB45" s="49">
        <f>SUMIFS(Banco[Monto],Banco[CtaCtbl],$C45,Banco[Periodo Contable],TEXT(AB$3,"mmm-yyyy"))</f>
        <v>0</v>
      </c>
      <c r="AC45" s="49">
        <f>SUMIFS(Banco[Monto],Banco[CtaCtbl],$C45,Banco[Periodo Contable],TEXT(AC$3,"mmm-yyyy"))</f>
        <v>0</v>
      </c>
      <c r="AD45" s="49">
        <f>SUMIFS(Banco[Monto],Banco[CtaCtbl],$C45,Banco[Periodo Contable],TEXT(AD$3,"mmm-yyyy"))</f>
        <v>0</v>
      </c>
      <c r="AE45" s="49">
        <f>SUMIFS(Banco[Monto],Banco[CtaCtbl],$C45,Banco[Periodo Contable],TEXT(AE$3,"mmm-yyyy"))</f>
        <v>0</v>
      </c>
      <c r="AF45" s="49">
        <f>SUMIFS(Banco[Monto],Banco[CtaCtbl],$C45,Banco[Periodo Contable],TEXT(AF$3,"mmm-yyyy"))</f>
        <v>0</v>
      </c>
      <c r="AG45" s="49">
        <f>SUMIFS(Banco[Monto],Banco[CtaCtbl],$C45,Banco[Periodo Contable],TEXT(AG$3,"mmm-yyyy"))</f>
        <v>0</v>
      </c>
      <c r="AH45" s="49">
        <f>SUMIFS(Banco[Monto],Banco[CtaCtbl],$C45,Banco[Periodo Contable],TEXT(AH$3,"mmm-yyyy"))</f>
        <v>0</v>
      </c>
      <c r="AI45" s="300">
        <f>SUM(Tabla17[[#This Row],[ene-23]:[dic-23]])</f>
        <v>0</v>
      </c>
      <c r="AJ45" s="49">
        <f>SUMIFS(Banco[Monto],Banco[CtaCtbl],$C45,Banco[Periodo Contable],TEXT(AJ$3,"mmm-yyyy"))</f>
        <v>0</v>
      </c>
      <c r="AK45" s="49">
        <f>SUMIFS(Banco[Monto],Banco[CtaCtbl],$C45,Banco[Periodo Contable],TEXT(AK$3,"mmm-yyyy"))</f>
        <v>0</v>
      </c>
      <c r="AL45" s="49">
        <f>SUMIFS(Banco[Monto],Banco[CtaCtbl],$C45,Banco[Periodo Contable],TEXT(AL$3,"mmm-yyyy"))</f>
        <v>0</v>
      </c>
      <c r="AM45" s="49">
        <f>SUMIFS(Banco[Monto],Banco[CtaCtbl],$C45,Banco[Periodo Contable],TEXT(AM$3,"mmm-yyyy"))</f>
        <v>0</v>
      </c>
      <c r="AN45" s="49">
        <f>SUMIFS(Banco[Monto],Banco[CtaCtbl],$C45,Banco[Periodo Contable],TEXT(AN$3,"mmm-yyyy"))</f>
        <v>0</v>
      </c>
      <c r="AO45" s="49">
        <f>SUMIFS(Banco[Monto],Banco[CtaCtbl],$C45,Banco[Periodo Contable],TEXT(AO$3,"mmm-yyyy"))</f>
        <v>0</v>
      </c>
      <c r="AP45" s="49">
        <f>SUMIFS(Banco[Monto],Banco[CtaCtbl],$C45,Banco[Periodo Contable],TEXT(AP$3,"mmm-yyyy"))</f>
        <v>0</v>
      </c>
      <c r="AQ45" s="49">
        <f>SUMIFS(Banco[Monto],Banco[CtaCtbl],$C45,Banco[Periodo Contable],TEXT(AQ$3,"mmm-yyyy"))</f>
        <v>0</v>
      </c>
      <c r="AR45" s="49">
        <f>SUMIFS(Banco[Monto],Banco[CtaCtbl],$C45,Banco[Periodo Contable],TEXT(AR$3,"mmm-yyyy"))</f>
        <v>0</v>
      </c>
      <c r="AS45" s="49">
        <f>SUMIFS(Banco[Monto],Banco[CtaCtbl],$C45,Banco[Periodo Contable],TEXT(AS$3,"mmm-yyyy"))</f>
        <v>0</v>
      </c>
      <c r="AT45" s="49">
        <f>SUMIFS(Banco[Monto],Banco[CtaCtbl],$C45,Banco[Periodo Contable],TEXT(AT$3,"mmm-yyyy"))</f>
        <v>0</v>
      </c>
      <c r="AU45" s="49">
        <f>SUMIFS(Banco[Monto],Banco[CtaCtbl],$C45,Banco[Periodo Contable],TEXT(AU$3,"mmm-yyyy"))</f>
        <v>0</v>
      </c>
      <c r="AV45" s="300">
        <f>SUM(Tabla17[[#This Row],[ene-24]:[dic-24]])</f>
        <v>0</v>
      </c>
      <c r="AW45" s="49">
        <f>SUMIFS(Banco[Monto],Banco[CtaCtbl],$C45,Banco[Periodo Contable],TEXT(AW$3,"mmm-yyyy"))</f>
        <v>0</v>
      </c>
      <c r="AX45" s="49">
        <f>SUMIFS(Banco[Monto],Banco[CtaCtbl],$C45,Banco[Periodo Contable],TEXT(AX$3,"mmm-yyyy"))</f>
        <v>0</v>
      </c>
      <c r="AY45" s="49">
        <f>SUMIFS(Banco[Monto],Banco[CtaCtbl],$C45,Banco[Periodo Contable],TEXT(AY$3,"mmm-yyyy"))</f>
        <v>0</v>
      </c>
      <c r="AZ45" s="49">
        <f>SUMIFS(Banco[Monto],Banco[CtaCtbl],$C45,Banco[Periodo Contable],TEXT(AZ$3,"mmm-yyyy"))</f>
        <v>-1233425</v>
      </c>
      <c r="BA45" s="49">
        <f>SUMIFS(Banco[Monto],Banco[CtaCtbl],$C45,Banco[Periodo Contable],TEXT(BA$3,"mmm-yyyy"))</f>
        <v>0</v>
      </c>
      <c r="BB45" s="49">
        <f>SUMIFS(Banco[Monto],Banco[CtaCtbl],$C45,Banco[Periodo Contable],TEXT(BB$3,"mmm-yyyy"))</f>
        <v>0</v>
      </c>
      <c r="BC45" s="49">
        <f>SUMIFS(Banco[Monto],Banco[CtaCtbl],$C45,Banco[Periodo Contable],TEXT(BC$3,"mmm-yyyy"))</f>
        <v>0</v>
      </c>
      <c r="BD45" s="49">
        <f>SUMIFS(Banco[Monto],Banco[CtaCtbl],$C45,Banco[Periodo Contable],TEXT(BD$3,"mmm-yyyy"))</f>
        <v>0</v>
      </c>
      <c r="BE45" s="49">
        <f>SUMIFS(Banco[Monto],Banco[CtaCtbl],$C45,Banco[Periodo Contable],TEXT(BE$3,"mmm-yyyy"))</f>
        <v>0</v>
      </c>
      <c r="BF45" s="49">
        <f>SUMIFS(Banco[Monto],Banco[CtaCtbl],$C45,Banco[Periodo Contable],TEXT(BF$3,"mmm-yyyy"))</f>
        <v>0</v>
      </c>
      <c r="BG45" s="49">
        <f>SUMIFS(Banco[Monto],Banco[CtaCtbl],$C45,Banco[Periodo Contable],TEXT(BG$3,"mmm-yyyy"))</f>
        <v>0</v>
      </c>
      <c r="BH45" s="49">
        <f>SUMIFS(Banco[Monto],Banco[CtaCtbl],$C45,Banco[Periodo Contable],TEXT(BH$3,"mmm-yyyy"))</f>
        <v>0</v>
      </c>
      <c r="BI45" s="232">
        <f>SUM(Tabla17[[#This Row],[ene-25]:[dic-25]])</f>
        <v>-1233425</v>
      </c>
      <c r="BJ45" s="49">
        <f>SUMIFS(Banco[Monto],Banco[CtaCtbl],$C45,Banco[Periodo Contable],TEXT(BJ$3,"mmm-yyyy"))</f>
        <v>0</v>
      </c>
      <c r="BK45" s="49">
        <f>SUMIFS(Banco[Monto],Banco[CtaCtbl],$C45,Banco[Periodo Contable],TEXT(BK$3,"mmm-yyyy"))</f>
        <v>0</v>
      </c>
      <c r="BL45" s="49">
        <f>SUMIFS(Banco[Monto],Banco[CtaCtbl],$C45,Banco[Periodo Contable],TEXT(BL$3,"mmm-yyyy"))</f>
        <v>-103510</v>
      </c>
      <c r="BM45" s="49">
        <f>SUMIFS(Banco[Monto],Banco[CtaCtbl],$C45,Banco[Periodo Contable],TEXT(BM$3,"mmm-yyyy"))</f>
        <v>0</v>
      </c>
      <c r="BN45" s="49">
        <f>SUMIFS(Banco[Monto],Banco[CtaCtbl],$C45,Banco[Periodo Contable],TEXT(BN$3,"mmm-yyyy"))</f>
        <v>0</v>
      </c>
      <c r="BO45" s="49">
        <f>SUMIFS(Banco[Monto],Banco[CtaCtbl],$C45,Banco[Periodo Contable],TEXT(BO$3,"mmm-yyyy"))</f>
        <v>0</v>
      </c>
      <c r="BP45" s="49">
        <f>SUMIFS(Banco[Monto],Banco[CtaCtbl],$C45,Banco[Periodo Contable],TEXT(BP$3,"mmm-yyyy"))</f>
        <v>0</v>
      </c>
      <c r="BQ45" s="49">
        <f>SUMIFS(Banco[Monto],Banco[CtaCtbl],$C45,Banco[Periodo Contable],TEXT(BQ$3,"mmm-yyyy"))</f>
        <v>0</v>
      </c>
      <c r="BR45" s="49">
        <f>SUMIFS(Banco[Monto],Banco[CtaCtbl],$C45,Banco[Periodo Contable],TEXT(BR$3,"mmm-yyyy"))</f>
        <v>0</v>
      </c>
      <c r="BS45" s="49">
        <f>SUMIFS(Banco[Monto],Banco[CtaCtbl],$C45,Banco[Periodo Contable],TEXT(BS$3,"mmm-yyyy"))</f>
        <v>0</v>
      </c>
      <c r="BT45" s="49">
        <f>SUMIFS(Banco[Monto],Banco[CtaCtbl],$C45,Banco[Periodo Contable],TEXT(BT$3,"mmm-yyyy"))</f>
        <v>0</v>
      </c>
      <c r="BU45" s="49">
        <f>SUMIFS(Banco[Monto],Banco[CtaCtbl],$C45,Banco[Periodo Contable],TEXT(BU$3,"mmm-yyyy"))</f>
        <v>0</v>
      </c>
      <c r="BV45" s="232">
        <f>SUM(Tabla17[[#This Row],[ene-26]:[dic-26]])</f>
        <v>-103510</v>
      </c>
      <c r="BW45" s="49">
        <f>SUMIFS(Banco[Monto],Banco[CtaCtbl],$C45,Banco[Periodo Contable],TEXT(BW$3,"mmm-yyyy"))</f>
        <v>0</v>
      </c>
    </row>
    <row r="46" spans="1:75" ht="21.6" outlineLevel="5">
      <c r="A46" s="36" t="s">
        <v>322</v>
      </c>
      <c r="B46" s="58" t="s">
        <v>323</v>
      </c>
      <c r="C46" s="22" t="str">
        <f>+Tabla17[[#This Row],[Cuenta]]&amp;" - "&amp;Tabla17[[#This Row],[Descripcion Cuenta]]</f>
        <v>2.01.03.03.1.5 - Pasaje en Bus</v>
      </c>
      <c r="D46" s="37"/>
      <c r="E46" s="49">
        <f>SUMIFS(Banco[Monto],Banco[CtaCtbl],$C46,Banco[Periodo Contable],TEXT(E$3,"mmm-yyyy"))</f>
        <v>0</v>
      </c>
      <c r="F46" s="49">
        <f>SUMIFS(Banco[Monto],Banco[CtaCtbl],$C46,Banco[Periodo Contable],TEXT(F$3,"mmm-yyyy"))</f>
        <v>0</v>
      </c>
      <c r="G46" s="49">
        <f>SUMIFS(Banco[Monto],Banco[CtaCtbl],$C46,Banco[Periodo Contable],TEXT(G$3,"mmm-yyyy"))</f>
        <v>0</v>
      </c>
      <c r="H46" s="49">
        <f>SUMIFS(Banco[Monto],Banco[CtaCtbl],$C46,Banco[Periodo Contable],TEXT(H$3,"mmm-yyyy"))</f>
        <v>0</v>
      </c>
      <c r="I46" s="49">
        <f>SUM(Tabla17[[#This Row],[sept-21]:[dic-21]])</f>
        <v>0</v>
      </c>
      <c r="J46" s="49">
        <f>SUMIFS(Banco[Monto],Banco[CtaCtbl],$C46,Banco[Periodo Contable],TEXT(J$3,"mmm-yyyy"))</f>
        <v>0</v>
      </c>
      <c r="K46" s="49">
        <f>SUMIFS(Banco[Monto],Banco[CtaCtbl],$C46,Banco[Periodo Contable],TEXT(K$3,"mmm-yyyy"))</f>
        <v>0</v>
      </c>
      <c r="L46" s="49">
        <f>SUMIFS(Banco[Monto],Banco[CtaCtbl],$C46,Banco[Periodo Contable],TEXT(L$3,"mmm-yyyy"))</f>
        <v>0</v>
      </c>
      <c r="M46" s="49">
        <f>SUMIFS(Banco[Monto],Banco[CtaCtbl],$C46,Banco[Periodo Contable],TEXT(M$3,"mmm-yyyy"))</f>
        <v>0</v>
      </c>
      <c r="N46" s="49">
        <f>SUMIFS(Banco[Monto],Banco[CtaCtbl],$C46,Banco[Periodo Contable],TEXT(N$3,"mmm-yyyy"))</f>
        <v>0</v>
      </c>
      <c r="O46" s="49">
        <f>SUMIFS(Banco[Monto],Banco[CtaCtbl],$C46,Banco[Periodo Contable],TEXT(O$3,"mmm-yyyy"))</f>
        <v>0</v>
      </c>
      <c r="P46" s="49">
        <f>SUMIFS(Banco[Monto],Banco[CtaCtbl],$C46,Banco[Periodo Contable],TEXT(P$3,"mmm-yyyy"))</f>
        <v>0</v>
      </c>
      <c r="Q46" s="49">
        <f>SUMIFS(Banco[Monto],Banco[CtaCtbl],$C46,Banco[Periodo Contable],TEXT(Q$3,"mmm-yyyy"))</f>
        <v>0</v>
      </c>
      <c r="R46" s="49">
        <f>SUMIFS(Banco[Monto],Banco[CtaCtbl],$C46,Banco[Periodo Contable],TEXT(R$3,"mmm-yyyy"))</f>
        <v>0</v>
      </c>
      <c r="S46" s="49">
        <f>SUMIFS(Banco[Monto],Banco[CtaCtbl],$C46,Banco[Periodo Contable],TEXT(S$3,"mmm-yyyy"))</f>
        <v>0</v>
      </c>
      <c r="T46" s="49">
        <f>SUMIFS(Banco[Monto],Banco[CtaCtbl],$C46,Banco[Periodo Contable],TEXT(T$3,"mmm-yyyy"))</f>
        <v>0</v>
      </c>
      <c r="U46" s="49">
        <f>SUMIFS(Banco[Monto],Banco[CtaCtbl],$C46,Banco[Periodo Contable],TEXT(U$3,"mmm-yyyy"))</f>
        <v>0</v>
      </c>
      <c r="V46" s="300">
        <f>SUM(Tabla17[[#This Row],[ene-22]:[dic-22]])</f>
        <v>0</v>
      </c>
      <c r="W46" s="49">
        <f>SUMIFS(Banco[Monto],Banco[CtaCtbl],$C46,Banco[Periodo Contable],TEXT(W$3,"mmm-yyyy"))</f>
        <v>0</v>
      </c>
      <c r="X46" s="49">
        <f>SUMIFS(Banco[Monto],Banco[CtaCtbl],$C46,Banco[Periodo Contable],TEXT(X$3,"mmm-yyyy"))</f>
        <v>0</v>
      </c>
      <c r="Y46" s="49">
        <f>SUMIFS(Banco[Monto],Banco[CtaCtbl],$C46,Banco[Periodo Contable],TEXT(Y$3,"mmm-yyyy"))</f>
        <v>0</v>
      </c>
      <c r="Z46" s="49">
        <f>SUMIFS(Banco[Monto],Banco[CtaCtbl],$C46,Banco[Periodo Contable],TEXT(Z$3,"mmm-yyyy"))</f>
        <v>0</v>
      </c>
      <c r="AA46" s="49">
        <f>SUMIFS(Banco[Monto],Banco[CtaCtbl],$C46,Banco[Periodo Contable],TEXT(AA$3,"mmm-yyyy"))</f>
        <v>0</v>
      </c>
      <c r="AB46" s="49">
        <f>SUMIFS(Banco[Monto],Banco[CtaCtbl],$C46,Banco[Periodo Contable],TEXT(AB$3,"mmm-yyyy"))</f>
        <v>0</v>
      </c>
      <c r="AC46" s="49">
        <f>SUMIFS(Banco[Monto],Banco[CtaCtbl],$C46,Banco[Periodo Contable],TEXT(AC$3,"mmm-yyyy"))</f>
        <v>0</v>
      </c>
      <c r="AD46" s="49">
        <f>SUMIFS(Banco[Monto],Banco[CtaCtbl],$C46,Banco[Periodo Contable],TEXT(AD$3,"mmm-yyyy"))</f>
        <v>0</v>
      </c>
      <c r="AE46" s="49">
        <f>SUMIFS(Banco[Monto],Banco[CtaCtbl],$C46,Banco[Periodo Contable],TEXT(AE$3,"mmm-yyyy"))</f>
        <v>0</v>
      </c>
      <c r="AF46" s="49">
        <f>SUMIFS(Banco[Monto],Banco[CtaCtbl],$C46,Banco[Periodo Contable],TEXT(AF$3,"mmm-yyyy"))</f>
        <v>0</v>
      </c>
      <c r="AG46" s="49">
        <f>SUMIFS(Banco[Monto],Banco[CtaCtbl],$C46,Banco[Periodo Contable],TEXT(AG$3,"mmm-yyyy"))</f>
        <v>0</v>
      </c>
      <c r="AH46" s="49">
        <f>SUMIFS(Banco[Monto],Banco[CtaCtbl],$C46,Banco[Periodo Contable],TEXT(AH$3,"mmm-yyyy"))</f>
        <v>0</v>
      </c>
      <c r="AI46" s="300">
        <f>SUM(Tabla17[[#This Row],[ene-23]:[dic-23]])</f>
        <v>0</v>
      </c>
      <c r="AJ46" s="49">
        <f>SUMIFS(Banco[Monto],Banco[CtaCtbl],$C46,Banco[Periodo Contable],TEXT(AJ$3,"mmm-yyyy"))</f>
        <v>0</v>
      </c>
      <c r="AK46" s="49">
        <f>SUMIFS(Banco[Monto],Banco[CtaCtbl],$C46,Banco[Periodo Contable],TEXT(AK$3,"mmm-yyyy"))</f>
        <v>0</v>
      </c>
      <c r="AL46" s="49">
        <f>SUMIFS(Banco[Monto],Banco[CtaCtbl],$C46,Banco[Periodo Contable],TEXT(AL$3,"mmm-yyyy"))</f>
        <v>0</v>
      </c>
      <c r="AM46" s="49">
        <f>SUMIFS(Banco[Monto],Banco[CtaCtbl],$C46,Banco[Periodo Contable],TEXT(AM$3,"mmm-yyyy"))</f>
        <v>0</v>
      </c>
      <c r="AN46" s="49">
        <f>SUMIFS(Banco[Monto],Banco[CtaCtbl],$C46,Banco[Periodo Contable],TEXT(AN$3,"mmm-yyyy"))</f>
        <v>0</v>
      </c>
      <c r="AO46" s="49">
        <f>SUMIFS(Banco[Monto],Banco[CtaCtbl],$C46,Banco[Periodo Contable],TEXT(AO$3,"mmm-yyyy"))</f>
        <v>0</v>
      </c>
      <c r="AP46" s="49">
        <f>SUMIFS(Banco[Monto],Banco[CtaCtbl],$C46,Banco[Periodo Contable],TEXT(AP$3,"mmm-yyyy"))</f>
        <v>0</v>
      </c>
      <c r="AQ46" s="49">
        <f>SUMIFS(Banco[Monto],Banco[CtaCtbl],$C46,Banco[Periodo Contable],TEXT(AQ$3,"mmm-yyyy"))</f>
        <v>0</v>
      </c>
      <c r="AR46" s="49">
        <f>SUMIFS(Banco[Monto],Banco[CtaCtbl],$C46,Banco[Periodo Contable],TEXT(AR$3,"mmm-yyyy"))</f>
        <v>0</v>
      </c>
      <c r="AS46" s="49">
        <f>SUMIFS(Banco[Monto],Banco[CtaCtbl],$C46,Banco[Periodo Contable],TEXT(AS$3,"mmm-yyyy"))</f>
        <v>0</v>
      </c>
      <c r="AT46" s="49">
        <f>SUMIFS(Banco[Monto],Banco[CtaCtbl],$C46,Banco[Periodo Contable],TEXT(AT$3,"mmm-yyyy"))</f>
        <v>0</v>
      </c>
      <c r="AU46" s="49">
        <f>SUMIFS(Banco[Monto],Banco[CtaCtbl],$C46,Banco[Periodo Contable],TEXT(AU$3,"mmm-yyyy"))</f>
        <v>0</v>
      </c>
      <c r="AV46" s="300">
        <f>SUM(Tabla17[[#This Row],[ene-24]:[dic-24]])</f>
        <v>0</v>
      </c>
      <c r="AW46" s="49">
        <f>SUMIFS(Banco[Monto],Banco[CtaCtbl],$C46,Banco[Periodo Contable],TEXT(AW$3,"mmm-yyyy"))</f>
        <v>0</v>
      </c>
      <c r="AX46" s="49">
        <f>SUMIFS(Banco[Monto],Banco[CtaCtbl],$C46,Banco[Periodo Contable],TEXT(AX$3,"mmm-yyyy"))</f>
        <v>0</v>
      </c>
      <c r="AY46" s="49">
        <f>SUMIFS(Banco[Monto],Banco[CtaCtbl],$C46,Banco[Periodo Contable],TEXT(AY$3,"mmm-yyyy"))</f>
        <v>0</v>
      </c>
      <c r="AZ46" s="49">
        <f>SUMIFS(Banco[Monto],Banco[CtaCtbl],$C46,Banco[Periodo Contable],TEXT(AZ$3,"mmm-yyyy"))</f>
        <v>-23500</v>
      </c>
      <c r="BA46" s="49">
        <f>SUMIFS(Banco[Monto],Banco[CtaCtbl],$C46,Banco[Periodo Contable],TEXT(BA$3,"mmm-yyyy"))</f>
        <v>-6000</v>
      </c>
      <c r="BB46" s="49">
        <f>SUMIFS(Banco[Monto],Banco[CtaCtbl],$C46,Banco[Periodo Contable],TEXT(BB$3,"mmm-yyyy"))</f>
        <v>0</v>
      </c>
      <c r="BC46" s="49">
        <f>SUMIFS(Banco[Monto],Banco[CtaCtbl],$C46,Banco[Periodo Contable],TEXT(BC$3,"mmm-yyyy"))</f>
        <v>0</v>
      </c>
      <c r="BD46" s="49">
        <f>SUMIFS(Banco[Monto],Banco[CtaCtbl],$C46,Banco[Periodo Contable],TEXT(BD$3,"mmm-yyyy"))</f>
        <v>0</v>
      </c>
      <c r="BE46" s="49">
        <f>SUMIFS(Banco[Monto],Banco[CtaCtbl],$C46,Banco[Periodo Contable],TEXT(BE$3,"mmm-yyyy"))</f>
        <v>0</v>
      </c>
      <c r="BF46" s="49">
        <f>SUMIFS(Banco[Monto],Banco[CtaCtbl],$C46,Banco[Periodo Contable],TEXT(BF$3,"mmm-yyyy"))</f>
        <v>0</v>
      </c>
      <c r="BG46" s="49">
        <f>SUMIFS(Banco[Monto],Banco[CtaCtbl],$C46,Banco[Periodo Contable],TEXT(BG$3,"mmm-yyyy"))</f>
        <v>0</v>
      </c>
      <c r="BH46" s="49">
        <f>SUMIFS(Banco[Monto],Banco[CtaCtbl],$C46,Banco[Periodo Contable],TEXT(BH$3,"mmm-yyyy"))</f>
        <v>0</v>
      </c>
      <c r="BI46" s="232">
        <f>SUM(Tabla17[[#This Row],[ene-25]:[dic-25]])</f>
        <v>-29500</v>
      </c>
      <c r="BJ46" s="49">
        <f>SUMIFS(Banco[Monto],Banco[CtaCtbl],$C46,Banco[Periodo Contable],TEXT(BJ$3,"mmm-yyyy"))</f>
        <v>0</v>
      </c>
      <c r="BK46" s="49">
        <f>SUMIFS(Banco[Monto],Banco[CtaCtbl],$C46,Banco[Periodo Contable],TEXT(BK$3,"mmm-yyyy"))</f>
        <v>0</v>
      </c>
      <c r="BL46" s="49">
        <f>SUMIFS(Banco[Monto],Banco[CtaCtbl],$C46,Banco[Periodo Contable],TEXT(BL$3,"mmm-yyyy"))</f>
        <v>0</v>
      </c>
      <c r="BM46" s="49">
        <f>SUMIFS(Banco[Monto],Banco[CtaCtbl],$C46,Banco[Periodo Contable],TEXT(BM$3,"mmm-yyyy"))</f>
        <v>0</v>
      </c>
      <c r="BN46" s="49">
        <f>SUMIFS(Banco[Monto],Banco[CtaCtbl],$C46,Banco[Periodo Contable],TEXT(BN$3,"mmm-yyyy"))</f>
        <v>0</v>
      </c>
      <c r="BO46" s="49">
        <f>SUMIFS(Banco[Monto],Banco[CtaCtbl],$C46,Banco[Periodo Contable],TEXT(BO$3,"mmm-yyyy"))</f>
        <v>0</v>
      </c>
      <c r="BP46" s="49">
        <f>SUMIFS(Banco[Monto],Banco[CtaCtbl],$C46,Banco[Periodo Contable],TEXT(BP$3,"mmm-yyyy"))</f>
        <v>0</v>
      </c>
      <c r="BQ46" s="49">
        <f>SUMIFS(Banco[Monto],Banco[CtaCtbl],$C46,Banco[Periodo Contable],TEXT(BQ$3,"mmm-yyyy"))</f>
        <v>0</v>
      </c>
      <c r="BR46" s="49">
        <f>SUMIFS(Banco[Monto],Banco[CtaCtbl],$C46,Banco[Periodo Contable],TEXT(BR$3,"mmm-yyyy"))</f>
        <v>0</v>
      </c>
      <c r="BS46" s="49">
        <f>SUMIFS(Banco[Monto],Banco[CtaCtbl],$C46,Banco[Periodo Contable],TEXT(BS$3,"mmm-yyyy"))</f>
        <v>0</v>
      </c>
      <c r="BT46" s="49">
        <f>SUMIFS(Banco[Monto],Banco[CtaCtbl],$C46,Banco[Periodo Contable],TEXT(BT$3,"mmm-yyyy"))</f>
        <v>0</v>
      </c>
      <c r="BU46" s="49">
        <f>SUMIFS(Banco[Monto],Banco[CtaCtbl],$C46,Banco[Periodo Contable],TEXT(BU$3,"mmm-yyyy"))</f>
        <v>0</v>
      </c>
      <c r="BV46" s="232">
        <f>SUM(Tabla17[[#This Row],[ene-26]:[dic-26]])</f>
        <v>0</v>
      </c>
      <c r="BW46" s="49">
        <f>SUMIFS(Banco[Monto],Banco[CtaCtbl],$C46,Banco[Periodo Contable],TEXT(BW$3,"mmm-yyyy"))</f>
        <v>0</v>
      </c>
    </row>
    <row r="47" spans="1:75" ht="21.6" outlineLevel="5">
      <c r="A47" s="36" t="s">
        <v>324</v>
      </c>
      <c r="B47" s="58" t="s">
        <v>325</v>
      </c>
      <c r="C47" s="22" t="str">
        <f>+Tabla17[[#This Row],[Cuenta]]&amp;" - "&amp;Tabla17[[#This Row],[Descripcion Cuenta]]</f>
        <v>2.01.03.03.1.6 - Pasaje en tren</v>
      </c>
      <c r="D47" s="37"/>
      <c r="E47" s="49">
        <f>SUMIFS(Banco[Monto],Banco[CtaCtbl],$C47,Banco[Periodo Contable],TEXT(E$3,"mmm-yyyy"))</f>
        <v>0</v>
      </c>
      <c r="F47" s="49">
        <f>SUMIFS(Banco[Monto],Banco[CtaCtbl],$C47,Banco[Periodo Contable],TEXT(F$3,"mmm-yyyy"))</f>
        <v>0</v>
      </c>
      <c r="G47" s="49">
        <f>SUMIFS(Banco[Monto],Banco[CtaCtbl],$C47,Banco[Periodo Contable],TEXT(G$3,"mmm-yyyy"))</f>
        <v>0</v>
      </c>
      <c r="H47" s="49">
        <f>SUMIFS(Banco[Monto],Banco[CtaCtbl],$C47,Banco[Periodo Contable],TEXT(H$3,"mmm-yyyy"))</f>
        <v>0</v>
      </c>
      <c r="I47" s="49">
        <f>SUM(Tabla17[[#This Row],[sept-21]:[dic-21]])</f>
        <v>0</v>
      </c>
      <c r="J47" s="49">
        <f>SUMIFS(Banco[Monto],Banco[CtaCtbl],$C47,Banco[Periodo Contable],TEXT(J$3,"mmm-yyyy"))</f>
        <v>0</v>
      </c>
      <c r="K47" s="49">
        <f>SUMIFS(Banco[Monto],Banco[CtaCtbl],$C47,Banco[Periodo Contable],TEXT(K$3,"mmm-yyyy"))</f>
        <v>0</v>
      </c>
      <c r="L47" s="49">
        <f>SUMIFS(Banco[Monto],Banco[CtaCtbl],$C47,Banco[Periodo Contable],TEXT(L$3,"mmm-yyyy"))</f>
        <v>0</v>
      </c>
      <c r="M47" s="49">
        <f>SUMIFS(Banco[Monto],Banco[CtaCtbl],$C47,Banco[Periodo Contable],TEXT(M$3,"mmm-yyyy"))</f>
        <v>0</v>
      </c>
      <c r="N47" s="49">
        <f>SUMIFS(Banco[Monto],Banco[CtaCtbl],$C47,Banco[Periodo Contable],TEXT(N$3,"mmm-yyyy"))</f>
        <v>0</v>
      </c>
      <c r="O47" s="49">
        <f>SUMIFS(Banco[Monto],Banco[CtaCtbl],$C47,Banco[Periodo Contable],TEXT(O$3,"mmm-yyyy"))</f>
        <v>0</v>
      </c>
      <c r="P47" s="49">
        <f>SUMIFS(Banco[Monto],Banco[CtaCtbl],$C47,Banco[Periodo Contable],TEXT(P$3,"mmm-yyyy"))</f>
        <v>0</v>
      </c>
      <c r="Q47" s="49">
        <f>SUMIFS(Banco[Monto],Banco[CtaCtbl],$C47,Banco[Periodo Contable],TEXT(Q$3,"mmm-yyyy"))</f>
        <v>0</v>
      </c>
      <c r="R47" s="49">
        <f>SUMIFS(Banco[Monto],Banco[CtaCtbl],$C47,Banco[Periodo Contable],TEXT(R$3,"mmm-yyyy"))</f>
        <v>0</v>
      </c>
      <c r="S47" s="49">
        <f>SUMIFS(Banco[Monto],Banco[CtaCtbl],$C47,Banco[Periodo Contable],TEXT(S$3,"mmm-yyyy"))</f>
        <v>0</v>
      </c>
      <c r="T47" s="49">
        <f>SUMIFS(Banco[Monto],Banco[CtaCtbl],$C47,Banco[Periodo Contable],TEXT(T$3,"mmm-yyyy"))</f>
        <v>0</v>
      </c>
      <c r="U47" s="49">
        <f>SUMIFS(Banco[Monto],Banco[CtaCtbl],$C47,Banco[Periodo Contable],TEXT(U$3,"mmm-yyyy"))</f>
        <v>0</v>
      </c>
      <c r="V47" s="300">
        <f>SUM(Tabla17[[#This Row],[ene-22]:[dic-22]])</f>
        <v>0</v>
      </c>
      <c r="W47" s="49">
        <f>SUMIFS(Banco[Monto],Banco[CtaCtbl],$C47,Banco[Periodo Contable],TEXT(W$3,"mmm-yyyy"))</f>
        <v>0</v>
      </c>
      <c r="X47" s="49">
        <f>SUMIFS(Banco[Monto],Banco[CtaCtbl],$C47,Banco[Periodo Contable],TEXT(X$3,"mmm-yyyy"))</f>
        <v>0</v>
      </c>
      <c r="Y47" s="49">
        <f>SUMIFS(Banco[Monto],Banco[CtaCtbl],$C47,Banco[Periodo Contable],TEXT(Y$3,"mmm-yyyy"))</f>
        <v>0</v>
      </c>
      <c r="Z47" s="49">
        <f>SUMIFS(Banco[Monto],Banco[CtaCtbl],$C47,Banco[Periodo Contable],TEXT(Z$3,"mmm-yyyy"))</f>
        <v>0</v>
      </c>
      <c r="AA47" s="49">
        <f>SUMIFS(Banco[Monto],Banco[CtaCtbl],$C47,Banco[Periodo Contable],TEXT(AA$3,"mmm-yyyy"))</f>
        <v>0</v>
      </c>
      <c r="AB47" s="49">
        <f>SUMIFS(Banco[Monto],Banco[CtaCtbl],$C47,Banco[Periodo Contable],TEXT(AB$3,"mmm-yyyy"))</f>
        <v>0</v>
      </c>
      <c r="AC47" s="49">
        <f>SUMIFS(Banco[Monto],Banco[CtaCtbl],$C47,Banco[Periodo Contable],TEXT(AC$3,"mmm-yyyy"))</f>
        <v>0</v>
      </c>
      <c r="AD47" s="49">
        <f>SUMIFS(Banco[Monto],Banco[CtaCtbl],$C47,Banco[Periodo Contable],TEXT(AD$3,"mmm-yyyy"))</f>
        <v>0</v>
      </c>
      <c r="AE47" s="49">
        <f>SUMIFS(Banco[Monto],Banco[CtaCtbl],$C47,Banco[Periodo Contable],TEXT(AE$3,"mmm-yyyy"))</f>
        <v>0</v>
      </c>
      <c r="AF47" s="49">
        <f>SUMIFS(Banco[Monto],Banco[CtaCtbl],$C47,Banco[Periodo Contable],TEXT(AF$3,"mmm-yyyy"))</f>
        <v>0</v>
      </c>
      <c r="AG47" s="49">
        <f>SUMIFS(Banco[Monto],Banco[CtaCtbl],$C47,Banco[Periodo Contable],TEXT(AG$3,"mmm-yyyy"))</f>
        <v>0</v>
      </c>
      <c r="AH47" s="49">
        <f>SUMIFS(Banco[Monto],Banco[CtaCtbl],$C47,Banco[Periodo Contable],TEXT(AH$3,"mmm-yyyy"))</f>
        <v>0</v>
      </c>
      <c r="AI47" s="300">
        <f>SUM(Tabla17[[#This Row],[ene-23]:[dic-23]])</f>
        <v>0</v>
      </c>
      <c r="AJ47" s="49">
        <f>SUMIFS(Banco[Monto],Banco[CtaCtbl],$C47,Banco[Periodo Contable],TEXT(AJ$3,"mmm-yyyy"))</f>
        <v>0</v>
      </c>
      <c r="AK47" s="49">
        <f>SUMIFS(Banco[Monto],Banco[CtaCtbl],$C47,Banco[Periodo Contable],TEXT(AK$3,"mmm-yyyy"))</f>
        <v>0</v>
      </c>
      <c r="AL47" s="49">
        <f>SUMIFS(Banco[Monto],Banco[CtaCtbl],$C47,Banco[Periodo Contable],TEXT(AL$3,"mmm-yyyy"))</f>
        <v>0</v>
      </c>
      <c r="AM47" s="49">
        <f>SUMIFS(Banco[Monto],Banco[CtaCtbl],$C47,Banco[Periodo Contable],TEXT(AM$3,"mmm-yyyy"))</f>
        <v>0</v>
      </c>
      <c r="AN47" s="49">
        <f>SUMIFS(Banco[Monto],Banco[CtaCtbl],$C47,Banco[Periodo Contable],TEXT(AN$3,"mmm-yyyy"))</f>
        <v>0</v>
      </c>
      <c r="AO47" s="49">
        <f>SUMIFS(Banco[Monto],Banco[CtaCtbl],$C47,Banco[Periodo Contable],TEXT(AO$3,"mmm-yyyy"))</f>
        <v>0</v>
      </c>
      <c r="AP47" s="49">
        <f>SUMIFS(Banco[Monto],Banco[CtaCtbl],$C47,Banco[Periodo Contable],TEXT(AP$3,"mmm-yyyy"))</f>
        <v>0</v>
      </c>
      <c r="AQ47" s="49">
        <f>SUMIFS(Banco[Monto],Banco[CtaCtbl],$C47,Banco[Periodo Contable],TEXT(AQ$3,"mmm-yyyy"))</f>
        <v>0</v>
      </c>
      <c r="AR47" s="49">
        <f>SUMIFS(Banco[Monto],Banco[CtaCtbl],$C47,Banco[Periodo Contable],TEXT(AR$3,"mmm-yyyy"))</f>
        <v>0</v>
      </c>
      <c r="AS47" s="49">
        <f>SUMIFS(Banco[Monto],Banco[CtaCtbl],$C47,Banco[Periodo Contable],TEXT(AS$3,"mmm-yyyy"))</f>
        <v>0</v>
      </c>
      <c r="AT47" s="49">
        <f>SUMIFS(Banco[Monto],Banco[CtaCtbl],$C47,Banco[Periodo Contable],TEXT(AT$3,"mmm-yyyy"))</f>
        <v>0</v>
      </c>
      <c r="AU47" s="49">
        <f>SUMIFS(Banco[Monto],Banco[CtaCtbl],$C47,Banco[Periodo Contable],TEXT(AU$3,"mmm-yyyy"))</f>
        <v>0</v>
      </c>
      <c r="AV47" s="300">
        <f>SUM(Tabla17[[#This Row],[ene-24]:[dic-24]])</f>
        <v>0</v>
      </c>
      <c r="AW47" s="49">
        <f>SUMIFS(Banco[Monto],Banco[CtaCtbl],$C47,Banco[Periodo Contable],TEXT(AW$3,"mmm-yyyy"))</f>
        <v>0</v>
      </c>
      <c r="AX47" s="49">
        <f>SUMIFS(Banco[Monto],Banco[CtaCtbl],$C47,Banco[Periodo Contable],TEXT(AX$3,"mmm-yyyy"))</f>
        <v>0</v>
      </c>
      <c r="AY47" s="49">
        <f>SUMIFS(Banco[Monto],Banco[CtaCtbl],$C47,Banco[Periodo Contable],TEXT(AY$3,"mmm-yyyy"))</f>
        <v>0</v>
      </c>
      <c r="AZ47" s="49">
        <f>SUMIFS(Banco[Monto],Banco[CtaCtbl],$C47,Banco[Periodo Contable],TEXT(AZ$3,"mmm-yyyy"))</f>
        <v>0</v>
      </c>
      <c r="BA47" s="49">
        <f>SUMIFS(Banco[Monto],Banco[CtaCtbl],$C47,Banco[Periodo Contable],TEXT(BA$3,"mmm-yyyy"))</f>
        <v>0</v>
      </c>
      <c r="BB47" s="49">
        <f>SUMIFS(Banco[Monto],Banco[CtaCtbl],$C47,Banco[Periodo Contable],TEXT(BB$3,"mmm-yyyy"))</f>
        <v>0</v>
      </c>
      <c r="BC47" s="49">
        <f>SUMIFS(Banco[Monto],Banco[CtaCtbl],$C47,Banco[Periodo Contable],TEXT(BC$3,"mmm-yyyy"))</f>
        <v>0</v>
      </c>
      <c r="BD47" s="49">
        <f>SUMIFS(Banco[Monto],Banco[CtaCtbl],$C47,Banco[Periodo Contable],TEXT(BD$3,"mmm-yyyy"))</f>
        <v>0</v>
      </c>
      <c r="BE47" s="49">
        <f>SUMIFS(Banco[Monto],Banco[CtaCtbl],$C47,Banco[Periodo Contable],TEXT(BE$3,"mmm-yyyy"))</f>
        <v>0</v>
      </c>
      <c r="BF47" s="49">
        <f>SUMIFS(Banco[Monto],Banco[CtaCtbl],$C47,Banco[Periodo Contable],TEXT(BF$3,"mmm-yyyy"))</f>
        <v>0</v>
      </c>
      <c r="BG47" s="49">
        <f>SUMIFS(Banco[Monto],Banco[CtaCtbl],$C47,Banco[Periodo Contable],TEXT(BG$3,"mmm-yyyy"))</f>
        <v>0</v>
      </c>
      <c r="BH47" s="49">
        <f>SUMIFS(Banco[Monto],Banco[CtaCtbl],$C47,Banco[Periodo Contable],TEXT(BH$3,"mmm-yyyy"))</f>
        <v>0</v>
      </c>
      <c r="BI47" s="232">
        <f>SUM(Tabla17[[#This Row],[ene-25]:[dic-25]])</f>
        <v>0</v>
      </c>
      <c r="BJ47" s="49">
        <f>SUMIFS(Banco[Monto],Banco[CtaCtbl],$C47,Banco[Periodo Contable],TEXT(BJ$3,"mmm-yyyy"))</f>
        <v>0</v>
      </c>
      <c r="BK47" s="49">
        <f>SUMIFS(Banco[Monto],Banco[CtaCtbl],$C47,Banco[Periodo Contable],TEXT(BK$3,"mmm-yyyy"))</f>
        <v>0</v>
      </c>
      <c r="BL47" s="49">
        <f>SUMIFS(Banco[Monto],Banco[CtaCtbl],$C47,Banco[Periodo Contable],TEXT(BL$3,"mmm-yyyy"))</f>
        <v>0</v>
      </c>
      <c r="BM47" s="49">
        <f>SUMIFS(Banco[Monto],Banco[CtaCtbl],$C47,Banco[Periodo Contable],TEXT(BM$3,"mmm-yyyy"))</f>
        <v>0</v>
      </c>
      <c r="BN47" s="49">
        <f>SUMIFS(Banco[Monto],Banco[CtaCtbl],$C47,Banco[Periodo Contable],TEXT(BN$3,"mmm-yyyy"))</f>
        <v>0</v>
      </c>
      <c r="BO47" s="49">
        <f>SUMIFS(Banco[Monto],Banco[CtaCtbl],$C47,Banco[Periodo Contable],TEXT(BO$3,"mmm-yyyy"))</f>
        <v>0</v>
      </c>
      <c r="BP47" s="49">
        <f>SUMIFS(Banco[Monto],Banco[CtaCtbl],$C47,Banco[Periodo Contable],TEXT(BP$3,"mmm-yyyy"))</f>
        <v>0</v>
      </c>
      <c r="BQ47" s="49">
        <f>SUMIFS(Banco[Monto],Banco[CtaCtbl],$C47,Banco[Periodo Contable],TEXT(BQ$3,"mmm-yyyy"))</f>
        <v>0</v>
      </c>
      <c r="BR47" s="49">
        <f>SUMIFS(Banco[Monto],Banco[CtaCtbl],$C47,Banco[Periodo Contable],TEXT(BR$3,"mmm-yyyy"))</f>
        <v>0</v>
      </c>
      <c r="BS47" s="49">
        <f>SUMIFS(Banco[Monto],Banco[CtaCtbl],$C47,Banco[Periodo Contable],TEXT(BS$3,"mmm-yyyy"))</f>
        <v>0</v>
      </c>
      <c r="BT47" s="49">
        <f>SUMIFS(Banco[Monto],Banco[CtaCtbl],$C47,Banco[Periodo Contable],TEXT(BT$3,"mmm-yyyy"))</f>
        <v>0</v>
      </c>
      <c r="BU47" s="49">
        <f>SUMIFS(Banco[Monto],Banco[CtaCtbl],$C47,Banco[Periodo Contable],TEXT(BU$3,"mmm-yyyy"))</f>
        <v>0</v>
      </c>
      <c r="BV47" s="232">
        <f>SUM(Tabla17[[#This Row],[ene-26]:[dic-26]])</f>
        <v>0</v>
      </c>
      <c r="BW47" s="49">
        <f>SUMIFS(Banco[Monto],Banco[CtaCtbl],$C47,Banco[Periodo Contable],TEXT(BW$3,"mmm-yyyy"))</f>
        <v>0</v>
      </c>
    </row>
    <row r="48" spans="1:75" ht="21.6" outlineLevel="5">
      <c r="A48" s="36" t="s">
        <v>326</v>
      </c>
      <c r="B48" s="58" t="s">
        <v>327</v>
      </c>
      <c r="C48" s="22" t="str">
        <f>+Tabla17[[#This Row],[Cuenta]]&amp;" - "&amp;Tabla17[[#This Row],[Descripcion Cuenta]]</f>
        <v>2.01.03.03.1.7 - Taxi, Uber o Similar</v>
      </c>
      <c r="D48" s="37"/>
      <c r="E48" s="49">
        <f>SUMIFS(Banco[Monto],Banco[CtaCtbl],$C48,Banco[Periodo Contable],TEXT(E$3,"mmm-yyyy"))</f>
        <v>0</v>
      </c>
      <c r="F48" s="49">
        <f>SUMIFS(Banco[Monto],Banco[CtaCtbl],$C48,Banco[Periodo Contable],TEXT(F$3,"mmm-yyyy"))</f>
        <v>0</v>
      </c>
      <c r="G48" s="49">
        <f>SUMIFS(Banco[Monto],Banco[CtaCtbl],$C48,Banco[Periodo Contable],TEXT(G$3,"mmm-yyyy"))</f>
        <v>0</v>
      </c>
      <c r="H48" s="49">
        <f>SUMIFS(Banco[Monto],Banco[CtaCtbl],$C48,Banco[Periodo Contable],TEXT(H$3,"mmm-yyyy"))</f>
        <v>0</v>
      </c>
      <c r="I48" s="49">
        <f>SUM(Tabla17[[#This Row],[sept-21]:[dic-21]])</f>
        <v>0</v>
      </c>
      <c r="J48" s="49">
        <f>SUMIFS(Banco[Monto],Banco[CtaCtbl],$C48,Banco[Periodo Contable],TEXT(J$3,"mmm-yyyy"))</f>
        <v>0</v>
      </c>
      <c r="K48" s="49">
        <f>SUMIFS(Banco[Monto],Banco[CtaCtbl],$C48,Banco[Periodo Contable],TEXT(K$3,"mmm-yyyy"))</f>
        <v>0</v>
      </c>
      <c r="L48" s="49">
        <f>SUMIFS(Banco[Monto],Banco[CtaCtbl],$C48,Banco[Periodo Contable],TEXT(L$3,"mmm-yyyy"))</f>
        <v>0</v>
      </c>
      <c r="M48" s="49">
        <f>SUMIFS(Banco[Monto],Banco[CtaCtbl],$C48,Banco[Periodo Contable],TEXT(M$3,"mmm-yyyy"))</f>
        <v>-380572</v>
      </c>
      <c r="N48" s="49">
        <f>SUMIFS(Banco[Monto],Banco[CtaCtbl],$C48,Banco[Periodo Contable],TEXT(N$3,"mmm-yyyy"))</f>
        <v>-380572</v>
      </c>
      <c r="O48" s="49">
        <f>SUMIFS(Banco[Monto],Banco[CtaCtbl],$C48,Banco[Periodo Contable],TEXT(O$3,"mmm-yyyy"))</f>
        <v>0</v>
      </c>
      <c r="P48" s="49">
        <f>SUMIFS(Banco[Monto],Banco[CtaCtbl],$C48,Banco[Periodo Contable],TEXT(P$3,"mmm-yyyy"))</f>
        <v>0</v>
      </c>
      <c r="Q48" s="49">
        <f>SUMIFS(Banco[Monto],Banco[CtaCtbl],$C48,Banco[Periodo Contable],TEXT(Q$3,"mmm-yyyy"))</f>
        <v>0</v>
      </c>
      <c r="R48" s="49">
        <f>SUMIFS(Banco[Monto],Banco[CtaCtbl],$C48,Banco[Periodo Contable],TEXT(R$3,"mmm-yyyy"))</f>
        <v>0</v>
      </c>
      <c r="S48" s="49">
        <f>SUMIFS(Banco[Monto],Banco[CtaCtbl],$C48,Banco[Periodo Contable],TEXT(S$3,"mmm-yyyy"))</f>
        <v>0</v>
      </c>
      <c r="T48" s="49">
        <f>SUMIFS(Banco[Monto],Banco[CtaCtbl],$C48,Banco[Periodo Contable],TEXT(T$3,"mmm-yyyy"))</f>
        <v>0</v>
      </c>
      <c r="U48" s="49">
        <f>SUMIFS(Banco[Monto],Banco[CtaCtbl],$C48,Banco[Periodo Contable],TEXT(U$3,"mmm-yyyy"))</f>
        <v>0</v>
      </c>
      <c r="V48" s="300">
        <f>SUM(Tabla17[[#This Row],[ene-22]:[dic-22]])</f>
        <v>-761144</v>
      </c>
      <c r="W48" s="49">
        <f>SUMIFS(Banco[Monto],Banco[CtaCtbl],$C48,Banco[Periodo Contable],TEXT(W$3,"mmm-yyyy"))</f>
        <v>0</v>
      </c>
      <c r="X48" s="49">
        <f>SUMIFS(Banco[Monto],Banco[CtaCtbl],$C48,Banco[Periodo Contable],TEXT(X$3,"mmm-yyyy"))</f>
        <v>0</v>
      </c>
      <c r="Y48" s="49">
        <f>SUMIFS(Banco[Monto],Banco[CtaCtbl],$C48,Banco[Periodo Contable],TEXT(Y$3,"mmm-yyyy"))</f>
        <v>0</v>
      </c>
      <c r="Z48" s="49">
        <f>SUMIFS(Banco[Monto],Banco[CtaCtbl],$C48,Banco[Periodo Contable],TEXT(Z$3,"mmm-yyyy"))</f>
        <v>0</v>
      </c>
      <c r="AA48" s="49">
        <f>SUMIFS(Banco[Monto],Banco[CtaCtbl],$C48,Banco[Periodo Contable],TEXT(AA$3,"mmm-yyyy"))</f>
        <v>0</v>
      </c>
      <c r="AB48" s="49">
        <f>SUMIFS(Banco[Monto],Banco[CtaCtbl],$C48,Banco[Periodo Contable],TEXT(AB$3,"mmm-yyyy"))</f>
        <v>0</v>
      </c>
      <c r="AC48" s="49">
        <f>SUMIFS(Banco[Monto],Banco[CtaCtbl],$C48,Banco[Periodo Contable],TEXT(AC$3,"mmm-yyyy"))</f>
        <v>0</v>
      </c>
      <c r="AD48" s="49">
        <f>SUMIFS(Banco[Monto],Banco[CtaCtbl],$C48,Banco[Periodo Contable],TEXT(AD$3,"mmm-yyyy"))</f>
        <v>0</v>
      </c>
      <c r="AE48" s="49">
        <f>SUMIFS(Banco[Monto],Banco[CtaCtbl],$C48,Banco[Periodo Contable],TEXT(AE$3,"mmm-yyyy"))</f>
        <v>0</v>
      </c>
      <c r="AF48" s="49">
        <f>SUMIFS(Banco[Monto],Banco[CtaCtbl],$C48,Banco[Periodo Contable],TEXT(AF$3,"mmm-yyyy"))</f>
        <v>0</v>
      </c>
      <c r="AG48" s="49">
        <f>SUMIFS(Banco[Monto],Banco[CtaCtbl],$C48,Banco[Periodo Contable],TEXT(AG$3,"mmm-yyyy"))</f>
        <v>0</v>
      </c>
      <c r="AH48" s="49">
        <f>SUMIFS(Banco[Monto],Banco[CtaCtbl],$C48,Banco[Periodo Contable],TEXT(AH$3,"mmm-yyyy"))</f>
        <v>0</v>
      </c>
      <c r="AI48" s="300">
        <f>SUM(Tabla17[[#This Row],[ene-23]:[dic-23]])</f>
        <v>0</v>
      </c>
      <c r="AJ48" s="49">
        <f>SUMIFS(Banco[Monto],Banco[CtaCtbl],$C48,Banco[Periodo Contable],TEXT(AJ$3,"mmm-yyyy"))</f>
        <v>0</v>
      </c>
      <c r="AK48" s="49">
        <f>SUMIFS(Banco[Monto],Banco[CtaCtbl],$C48,Banco[Periodo Contable],TEXT(AK$3,"mmm-yyyy"))</f>
        <v>0</v>
      </c>
      <c r="AL48" s="49">
        <f>SUMIFS(Banco[Monto],Banco[CtaCtbl],$C48,Banco[Periodo Contable],TEXT(AL$3,"mmm-yyyy"))</f>
        <v>0</v>
      </c>
      <c r="AM48" s="49">
        <f>SUMIFS(Banco[Monto],Banco[CtaCtbl],$C48,Banco[Periodo Contable],TEXT(AM$3,"mmm-yyyy"))</f>
        <v>0</v>
      </c>
      <c r="AN48" s="49">
        <f>SUMIFS(Banco[Monto],Banco[CtaCtbl],$C48,Banco[Periodo Contable],TEXT(AN$3,"mmm-yyyy"))</f>
        <v>0</v>
      </c>
      <c r="AO48" s="49">
        <f>SUMIFS(Banco[Monto],Banco[CtaCtbl],$C48,Banco[Periodo Contable],TEXT(AO$3,"mmm-yyyy"))</f>
        <v>0</v>
      </c>
      <c r="AP48" s="49">
        <f>SUMIFS(Banco[Monto],Banco[CtaCtbl],$C48,Banco[Periodo Contable],TEXT(AP$3,"mmm-yyyy"))</f>
        <v>0</v>
      </c>
      <c r="AQ48" s="49">
        <f>SUMIFS(Banco[Monto],Banco[CtaCtbl],$C48,Banco[Periodo Contable],TEXT(AQ$3,"mmm-yyyy"))</f>
        <v>0</v>
      </c>
      <c r="AR48" s="49">
        <f>SUMIFS(Banco[Monto],Banco[CtaCtbl],$C48,Banco[Periodo Contable],TEXT(AR$3,"mmm-yyyy"))</f>
        <v>0</v>
      </c>
      <c r="AS48" s="49">
        <f>SUMIFS(Banco[Monto],Banco[CtaCtbl],$C48,Banco[Periodo Contable],TEXT(AS$3,"mmm-yyyy"))</f>
        <v>-6284</v>
      </c>
      <c r="AT48" s="49">
        <f>SUMIFS(Banco[Monto],Banco[CtaCtbl],$C48,Banco[Periodo Contable],TEXT(AT$3,"mmm-yyyy"))</f>
        <v>0</v>
      </c>
      <c r="AU48" s="49">
        <f>SUMIFS(Banco[Monto],Banco[CtaCtbl],$C48,Banco[Periodo Contable],TEXT(AU$3,"mmm-yyyy"))</f>
        <v>0</v>
      </c>
      <c r="AV48" s="300">
        <f>SUM(Tabla17[[#This Row],[ene-24]:[dic-24]])</f>
        <v>-6284</v>
      </c>
      <c r="AW48" s="49">
        <f>SUMIFS(Banco[Monto],Banco[CtaCtbl],$C48,Banco[Periodo Contable],TEXT(AW$3,"mmm-yyyy"))</f>
        <v>0</v>
      </c>
      <c r="AX48" s="49">
        <f>SUMIFS(Banco[Monto],Banco[CtaCtbl],$C48,Banco[Periodo Contable],TEXT(AX$3,"mmm-yyyy"))</f>
        <v>0</v>
      </c>
      <c r="AY48" s="49">
        <f>SUMIFS(Banco[Monto],Banco[CtaCtbl],$C48,Banco[Periodo Contable],TEXT(AY$3,"mmm-yyyy"))</f>
        <v>0</v>
      </c>
      <c r="AZ48" s="49">
        <f>SUMIFS(Banco[Monto],Banco[CtaCtbl],$C48,Banco[Periodo Contable],TEXT(AZ$3,"mmm-yyyy"))</f>
        <v>0</v>
      </c>
      <c r="BA48" s="49">
        <f>SUMIFS(Banco[Monto],Banco[CtaCtbl],$C48,Banco[Periodo Contable],TEXT(BA$3,"mmm-yyyy"))</f>
        <v>0</v>
      </c>
      <c r="BB48" s="49">
        <f>SUMIFS(Banco[Monto],Banco[CtaCtbl],$C48,Banco[Periodo Contable],TEXT(BB$3,"mmm-yyyy"))</f>
        <v>0</v>
      </c>
      <c r="BC48" s="49">
        <f>SUMIFS(Banco[Monto],Banco[CtaCtbl],$C48,Banco[Periodo Contable],TEXT(BC$3,"mmm-yyyy"))</f>
        <v>0</v>
      </c>
      <c r="BD48" s="49">
        <f>SUMIFS(Banco[Monto],Banco[CtaCtbl],$C48,Banco[Periodo Contable],TEXT(BD$3,"mmm-yyyy"))</f>
        <v>-11388</v>
      </c>
      <c r="BE48" s="49">
        <f>SUMIFS(Banco[Monto],Banco[CtaCtbl],$C48,Banco[Periodo Contable],TEXT(BE$3,"mmm-yyyy"))</f>
        <v>0</v>
      </c>
      <c r="BF48" s="49">
        <f>SUMIFS(Banco[Monto],Banco[CtaCtbl],$C48,Banco[Periodo Contable],TEXT(BF$3,"mmm-yyyy"))</f>
        <v>-5793</v>
      </c>
      <c r="BG48" s="49">
        <f>SUMIFS(Banco[Monto],Banco[CtaCtbl],$C48,Banco[Periodo Contable],TEXT(BG$3,"mmm-yyyy"))</f>
        <v>-6294</v>
      </c>
      <c r="BH48" s="49">
        <f>SUMIFS(Banco[Monto],Banco[CtaCtbl],$C48,Banco[Periodo Contable],TEXT(BH$3,"mmm-yyyy"))</f>
        <v>0</v>
      </c>
      <c r="BI48" s="232">
        <f>SUM(Tabla17[[#This Row],[ene-25]:[dic-25]])</f>
        <v>-23475</v>
      </c>
      <c r="BJ48" s="49">
        <f>SUMIFS(Banco[Monto],Banco[CtaCtbl],$C48,Banco[Periodo Contable],TEXT(BJ$3,"mmm-yyyy"))</f>
        <v>0</v>
      </c>
      <c r="BK48" s="49">
        <f>SUMIFS(Banco[Monto],Banco[CtaCtbl],$C48,Banco[Periodo Contable],TEXT(BK$3,"mmm-yyyy"))</f>
        <v>0</v>
      </c>
      <c r="BL48" s="49">
        <f>SUMIFS(Banco[Monto],Banco[CtaCtbl],$C48,Banco[Periodo Contable],TEXT(BL$3,"mmm-yyyy"))</f>
        <v>0</v>
      </c>
      <c r="BM48" s="49">
        <f>SUMIFS(Banco[Monto],Banco[CtaCtbl],$C48,Banco[Periodo Contable],TEXT(BM$3,"mmm-yyyy"))</f>
        <v>0</v>
      </c>
      <c r="BN48" s="49">
        <f>SUMIFS(Banco[Monto],Banco[CtaCtbl],$C48,Banco[Periodo Contable],TEXT(BN$3,"mmm-yyyy"))</f>
        <v>0</v>
      </c>
      <c r="BO48" s="49">
        <f>SUMIFS(Banco[Monto],Banco[CtaCtbl],$C48,Banco[Periodo Contable],TEXT(BO$3,"mmm-yyyy"))</f>
        <v>0</v>
      </c>
      <c r="BP48" s="49">
        <f>SUMIFS(Banco[Monto],Banco[CtaCtbl],$C48,Banco[Periodo Contable],TEXT(BP$3,"mmm-yyyy"))</f>
        <v>0</v>
      </c>
      <c r="BQ48" s="49">
        <f>SUMIFS(Banco[Monto],Banco[CtaCtbl],$C48,Banco[Periodo Contable],TEXT(BQ$3,"mmm-yyyy"))</f>
        <v>0</v>
      </c>
      <c r="BR48" s="49">
        <f>SUMIFS(Banco[Monto],Banco[CtaCtbl],$C48,Banco[Periodo Contable],TEXT(BR$3,"mmm-yyyy"))</f>
        <v>0</v>
      </c>
      <c r="BS48" s="49">
        <f>SUMIFS(Banco[Monto],Banco[CtaCtbl],$C48,Banco[Periodo Contable],TEXT(BS$3,"mmm-yyyy"))</f>
        <v>0</v>
      </c>
      <c r="BT48" s="49">
        <f>SUMIFS(Banco[Monto],Banco[CtaCtbl],$C48,Banco[Periodo Contable],TEXT(BT$3,"mmm-yyyy"))</f>
        <v>0</v>
      </c>
      <c r="BU48" s="49">
        <f>SUMIFS(Banco[Monto],Banco[CtaCtbl],$C48,Banco[Periodo Contable],TEXT(BU$3,"mmm-yyyy"))</f>
        <v>0</v>
      </c>
      <c r="BV48" s="232">
        <f>SUM(Tabla17[[#This Row],[ene-26]:[dic-26]])</f>
        <v>0</v>
      </c>
      <c r="BW48" s="49">
        <f>SUMIFS(Banco[Monto],Banco[CtaCtbl],$C48,Banco[Periodo Contable],TEXT(BW$3,"mmm-yyyy"))</f>
        <v>0</v>
      </c>
    </row>
    <row r="49" spans="1:75" ht="21.6" outlineLevel="5">
      <c r="A49" s="36" t="s">
        <v>328</v>
      </c>
      <c r="B49" s="58" t="s">
        <v>329</v>
      </c>
      <c r="C49" s="22" t="str">
        <f>+Tabla17[[#This Row],[Cuenta]]&amp;" - "&amp;Tabla17[[#This Row],[Descripcion Cuenta]]</f>
        <v>2.01.03.03.1.8 - Peajes</v>
      </c>
      <c r="D49" s="37"/>
      <c r="E49" s="49">
        <f>SUMIFS(Banco[Monto],Banco[CtaCtbl],$C49,Banco[Periodo Contable],TEXT(E$3,"mmm-yyyy"))</f>
        <v>0</v>
      </c>
      <c r="F49" s="49">
        <f>SUMIFS(Banco[Monto],Banco[CtaCtbl],$C49,Banco[Periodo Contable],TEXT(F$3,"mmm-yyyy"))</f>
        <v>0</v>
      </c>
      <c r="G49" s="49">
        <f>SUMIFS(Banco[Monto],Banco[CtaCtbl],$C49,Banco[Periodo Contable],TEXT(G$3,"mmm-yyyy"))</f>
        <v>0</v>
      </c>
      <c r="H49" s="49">
        <f>SUMIFS(Banco[Monto],Banco[CtaCtbl],$C49,Banco[Periodo Contable],TEXT(H$3,"mmm-yyyy"))</f>
        <v>0</v>
      </c>
      <c r="I49" s="49">
        <f>SUM(Tabla17[[#This Row],[sept-21]:[dic-21]])</f>
        <v>0</v>
      </c>
      <c r="J49" s="49">
        <f>SUMIFS(Banco[Monto],Banco[CtaCtbl],$C49,Banco[Periodo Contable],TEXT(J$3,"mmm-yyyy"))</f>
        <v>0</v>
      </c>
      <c r="K49" s="49">
        <f>SUMIFS(Banco[Monto],Banco[CtaCtbl],$C49,Banco[Periodo Contable],TEXT(K$3,"mmm-yyyy"))</f>
        <v>0</v>
      </c>
      <c r="L49" s="49">
        <f>SUMIFS(Banco[Monto],Banco[CtaCtbl],$C49,Banco[Periodo Contable],TEXT(L$3,"mmm-yyyy"))</f>
        <v>0</v>
      </c>
      <c r="M49" s="49">
        <f>SUMIFS(Banco[Monto],Banco[CtaCtbl],$C49,Banco[Periodo Contable],TEXT(M$3,"mmm-yyyy"))</f>
        <v>0</v>
      </c>
      <c r="N49" s="49">
        <f>SUMIFS(Banco[Monto],Banco[CtaCtbl],$C49,Banco[Periodo Contable],TEXT(N$3,"mmm-yyyy"))</f>
        <v>0</v>
      </c>
      <c r="O49" s="49">
        <f>SUMIFS(Banco[Monto],Banco[CtaCtbl],$C49,Banco[Periodo Contable],TEXT(O$3,"mmm-yyyy"))</f>
        <v>0</v>
      </c>
      <c r="P49" s="49">
        <f>SUMIFS(Banco[Monto],Banco[CtaCtbl],$C49,Banco[Periodo Contable],TEXT(P$3,"mmm-yyyy"))</f>
        <v>0</v>
      </c>
      <c r="Q49" s="49">
        <f>SUMIFS(Banco[Monto],Banco[CtaCtbl],$C49,Banco[Periodo Contable],TEXT(Q$3,"mmm-yyyy"))</f>
        <v>0</v>
      </c>
      <c r="R49" s="49">
        <f>SUMIFS(Banco[Monto],Banco[CtaCtbl],$C49,Banco[Periodo Contable],TEXT(R$3,"mmm-yyyy"))</f>
        <v>0</v>
      </c>
      <c r="S49" s="49">
        <f>SUMIFS(Banco[Monto],Banco[CtaCtbl],$C49,Banco[Periodo Contable],TEXT(S$3,"mmm-yyyy"))</f>
        <v>0</v>
      </c>
      <c r="T49" s="49">
        <f>SUMIFS(Banco[Monto],Banco[CtaCtbl],$C49,Banco[Periodo Contable],TEXT(T$3,"mmm-yyyy"))</f>
        <v>0</v>
      </c>
      <c r="U49" s="49">
        <f>SUMIFS(Banco[Monto],Banco[CtaCtbl],$C49,Banco[Periodo Contable],TEXT(U$3,"mmm-yyyy"))</f>
        <v>0</v>
      </c>
      <c r="V49" s="300">
        <f>SUM(Tabla17[[#This Row],[ene-22]:[dic-22]])</f>
        <v>0</v>
      </c>
      <c r="W49" s="49">
        <f>SUMIFS(Banco[Monto],Banco[CtaCtbl],$C49,Banco[Periodo Contable],TEXT(W$3,"mmm-yyyy"))</f>
        <v>0</v>
      </c>
      <c r="X49" s="49">
        <f>SUMIFS(Banco[Monto],Banco[CtaCtbl],$C49,Banco[Periodo Contable],TEXT(X$3,"mmm-yyyy"))</f>
        <v>0</v>
      </c>
      <c r="Y49" s="49">
        <f>SUMIFS(Banco[Monto],Banco[CtaCtbl],$C49,Banco[Periodo Contable],TEXT(Y$3,"mmm-yyyy"))</f>
        <v>0</v>
      </c>
      <c r="Z49" s="49">
        <f>SUMIFS(Banco[Monto],Banco[CtaCtbl],$C49,Banco[Periodo Contable],TEXT(Z$3,"mmm-yyyy"))</f>
        <v>0</v>
      </c>
      <c r="AA49" s="49">
        <f>SUMIFS(Banco[Monto],Banco[CtaCtbl],$C49,Banco[Periodo Contable],TEXT(AA$3,"mmm-yyyy"))</f>
        <v>0</v>
      </c>
      <c r="AB49" s="49">
        <f>SUMIFS(Banco[Monto],Banco[CtaCtbl],$C49,Banco[Periodo Contable],TEXT(AB$3,"mmm-yyyy"))</f>
        <v>0</v>
      </c>
      <c r="AC49" s="49">
        <f>SUMIFS(Banco[Monto],Banco[CtaCtbl],$C49,Banco[Periodo Contable],TEXT(AC$3,"mmm-yyyy"))</f>
        <v>0</v>
      </c>
      <c r="AD49" s="49">
        <f>SUMIFS(Banco[Monto],Banco[CtaCtbl],$C49,Banco[Periodo Contable],TEXT(AD$3,"mmm-yyyy"))</f>
        <v>0</v>
      </c>
      <c r="AE49" s="49">
        <f>SUMIFS(Banco[Monto],Banco[CtaCtbl],$C49,Banco[Periodo Contable],TEXT(AE$3,"mmm-yyyy"))</f>
        <v>0</v>
      </c>
      <c r="AF49" s="49">
        <f>SUMIFS(Banco[Monto],Banco[CtaCtbl],$C49,Banco[Periodo Contable],TEXT(AF$3,"mmm-yyyy"))</f>
        <v>0</v>
      </c>
      <c r="AG49" s="49">
        <f>SUMIFS(Banco[Monto],Banco[CtaCtbl],$C49,Banco[Periodo Contable],TEXT(AG$3,"mmm-yyyy"))</f>
        <v>0</v>
      </c>
      <c r="AH49" s="49">
        <f>SUMIFS(Banco[Monto],Banco[CtaCtbl],$C49,Banco[Periodo Contable],TEXT(AH$3,"mmm-yyyy"))</f>
        <v>0</v>
      </c>
      <c r="AI49" s="300">
        <f>SUM(Tabla17[[#This Row],[ene-23]:[dic-23]])</f>
        <v>0</v>
      </c>
      <c r="AJ49" s="49">
        <f>SUMIFS(Banco[Monto],Banco[CtaCtbl],$C49,Banco[Periodo Contable],TEXT(AJ$3,"mmm-yyyy"))</f>
        <v>0</v>
      </c>
      <c r="AK49" s="49">
        <f>SUMIFS(Banco[Monto],Banco[CtaCtbl],$C49,Banco[Periodo Contable],TEXT(AK$3,"mmm-yyyy"))</f>
        <v>0</v>
      </c>
      <c r="AL49" s="49">
        <f>SUMIFS(Banco[Monto],Banco[CtaCtbl],$C49,Banco[Periodo Contable],TEXT(AL$3,"mmm-yyyy"))</f>
        <v>0</v>
      </c>
      <c r="AM49" s="49">
        <f>SUMIFS(Banco[Monto],Banco[CtaCtbl],$C49,Banco[Periodo Contable],TEXT(AM$3,"mmm-yyyy"))</f>
        <v>0</v>
      </c>
      <c r="AN49" s="49">
        <f>SUMIFS(Banco[Monto],Banco[CtaCtbl],$C49,Banco[Periodo Contable],TEXT(AN$3,"mmm-yyyy"))</f>
        <v>0</v>
      </c>
      <c r="AO49" s="49">
        <f>SUMIFS(Banco[Monto],Banco[CtaCtbl],$C49,Banco[Periodo Contable],TEXT(AO$3,"mmm-yyyy"))</f>
        <v>0</v>
      </c>
      <c r="AP49" s="49">
        <f>SUMIFS(Banco[Monto],Banco[CtaCtbl],$C49,Banco[Periodo Contable],TEXT(AP$3,"mmm-yyyy"))</f>
        <v>0</v>
      </c>
      <c r="AQ49" s="49">
        <f>SUMIFS(Banco[Monto],Banco[CtaCtbl],$C49,Banco[Periodo Contable],TEXT(AQ$3,"mmm-yyyy"))</f>
        <v>0</v>
      </c>
      <c r="AR49" s="49">
        <f>SUMIFS(Banco[Monto],Banco[CtaCtbl],$C49,Banco[Periodo Contable],TEXT(AR$3,"mmm-yyyy"))</f>
        <v>0</v>
      </c>
      <c r="AS49" s="49">
        <f>SUMIFS(Banco[Monto],Banco[CtaCtbl],$C49,Banco[Periodo Contable],TEXT(AS$3,"mmm-yyyy"))</f>
        <v>0</v>
      </c>
      <c r="AT49" s="49">
        <f>SUMIFS(Banco[Monto],Banco[CtaCtbl],$C49,Banco[Periodo Contable],TEXT(AT$3,"mmm-yyyy"))</f>
        <v>0</v>
      </c>
      <c r="AU49" s="49">
        <f>SUMIFS(Banco[Monto],Banco[CtaCtbl],$C49,Banco[Periodo Contable],TEXT(AU$3,"mmm-yyyy"))</f>
        <v>0</v>
      </c>
      <c r="AV49" s="300">
        <f>SUM(Tabla17[[#This Row],[ene-24]:[dic-24]])</f>
        <v>0</v>
      </c>
      <c r="AW49" s="49">
        <f>SUMIFS(Banco[Monto],Banco[CtaCtbl],$C49,Banco[Periodo Contable],TEXT(AW$3,"mmm-yyyy"))</f>
        <v>0</v>
      </c>
      <c r="AX49" s="49">
        <f>SUMIFS(Banco[Monto],Banco[CtaCtbl],$C49,Banco[Periodo Contable],TEXT(AX$3,"mmm-yyyy"))</f>
        <v>0</v>
      </c>
      <c r="AY49" s="49">
        <f>SUMIFS(Banco[Monto],Banco[CtaCtbl],$C49,Banco[Periodo Contable],TEXT(AY$3,"mmm-yyyy"))</f>
        <v>0</v>
      </c>
      <c r="AZ49" s="49">
        <f>SUMIFS(Banco[Monto],Banco[CtaCtbl],$C49,Banco[Periodo Contable],TEXT(AZ$3,"mmm-yyyy"))</f>
        <v>-145134</v>
      </c>
      <c r="BA49" s="49">
        <f>SUMIFS(Banco[Monto],Banco[CtaCtbl],$C49,Banco[Periodo Contable],TEXT(BA$3,"mmm-yyyy"))</f>
        <v>-67540</v>
      </c>
      <c r="BB49" s="49">
        <f>SUMIFS(Banco[Monto],Banco[CtaCtbl],$C49,Banco[Periodo Contable],TEXT(BB$3,"mmm-yyyy"))</f>
        <v>0</v>
      </c>
      <c r="BC49" s="49">
        <f>SUMIFS(Banco[Monto],Banco[CtaCtbl],$C49,Banco[Periodo Contable],TEXT(BC$3,"mmm-yyyy"))</f>
        <v>0</v>
      </c>
      <c r="BD49" s="49">
        <f>SUMIFS(Banco[Monto],Banco[CtaCtbl],$C49,Banco[Periodo Contable],TEXT(BD$3,"mmm-yyyy"))</f>
        <v>0</v>
      </c>
      <c r="BE49" s="49">
        <f>SUMIFS(Banco[Monto],Banco[CtaCtbl],$C49,Banco[Periodo Contable],TEXT(BE$3,"mmm-yyyy"))</f>
        <v>0</v>
      </c>
      <c r="BF49" s="49">
        <f>SUMIFS(Banco[Monto],Banco[CtaCtbl],$C49,Banco[Periodo Contable],TEXT(BF$3,"mmm-yyyy"))</f>
        <v>0</v>
      </c>
      <c r="BG49" s="49">
        <f>SUMIFS(Banco[Monto],Banco[CtaCtbl],$C49,Banco[Periodo Contable],TEXT(BG$3,"mmm-yyyy"))</f>
        <v>0</v>
      </c>
      <c r="BH49" s="49">
        <f>SUMIFS(Banco[Monto],Banco[CtaCtbl],$C49,Banco[Periodo Contable],TEXT(BH$3,"mmm-yyyy"))</f>
        <v>0</v>
      </c>
      <c r="BI49" s="232">
        <f>SUM(Tabla17[[#This Row],[ene-25]:[dic-25]])</f>
        <v>-212674</v>
      </c>
      <c r="BJ49" s="49">
        <f>SUMIFS(Banco[Monto],Banco[CtaCtbl],$C49,Banco[Periodo Contable],TEXT(BJ$3,"mmm-yyyy"))</f>
        <v>0</v>
      </c>
      <c r="BK49" s="49">
        <f>SUMIFS(Banco[Monto],Banco[CtaCtbl],$C49,Banco[Periodo Contable],TEXT(BK$3,"mmm-yyyy"))</f>
        <v>0</v>
      </c>
      <c r="BL49" s="49">
        <f>SUMIFS(Banco[Monto],Banco[CtaCtbl],$C49,Banco[Periodo Contable],TEXT(BL$3,"mmm-yyyy"))</f>
        <v>0</v>
      </c>
      <c r="BM49" s="49">
        <f>SUMIFS(Banco[Monto],Banco[CtaCtbl],$C49,Banco[Periodo Contable],TEXT(BM$3,"mmm-yyyy"))</f>
        <v>0</v>
      </c>
      <c r="BN49" s="49">
        <f>SUMIFS(Banco[Monto],Banco[CtaCtbl],$C49,Banco[Periodo Contable],TEXT(BN$3,"mmm-yyyy"))</f>
        <v>0</v>
      </c>
      <c r="BO49" s="49">
        <f>SUMIFS(Banco[Monto],Banco[CtaCtbl],$C49,Banco[Periodo Contable],TEXT(BO$3,"mmm-yyyy"))</f>
        <v>0</v>
      </c>
      <c r="BP49" s="49">
        <f>SUMIFS(Banco[Monto],Banco[CtaCtbl],$C49,Banco[Periodo Contable],TEXT(BP$3,"mmm-yyyy"))</f>
        <v>0</v>
      </c>
      <c r="BQ49" s="49">
        <f>SUMIFS(Banco[Monto],Banco[CtaCtbl],$C49,Banco[Periodo Contable],TEXT(BQ$3,"mmm-yyyy"))</f>
        <v>0</v>
      </c>
      <c r="BR49" s="49">
        <f>SUMIFS(Banco[Monto],Banco[CtaCtbl],$C49,Banco[Periodo Contable],TEXT(BR$3,"mmm-yyyy"))</f>
        <v>0</v>
      </c>
      <c r="BS49" s="49">
        <f>SUMIFS(Banco[Monto],Banco[CtaCtbl],$C49,Banco[Periodo Contable],TEXT(BS$3,"mmm-yyyy"))</f>
        <v>0</v>
      </c>
      <c r="BT49" s="49">
        <f>SUMIFS(Banco[Monto],Banco[CtaCtbl],$C49,Banco[Periodo Contable],TEXT(BT$3,"mmm-yyyy"))</f>
        <v>0</v>
      </c>
      <c r="BU49" s="49">
        <f>SUMIFS(Banco[Monto],Banco[CtaCtbl],$C49,Banco[Periodo Contable],TEXT(BU$3,"mmm-yyyy"))</f>
        <v>0</v>
      </c>
      <c r="BV49" s="232">
        <f>SUM(Tabla17[[#This Row],[ene-26]:[dic-26]])</f>
        <v>0</v>
      </c>
      <c r="BW49" s="49">
        <f>SUMIFS(Banco[Monto],Banco[CtaCtbl],$C49,Banco[Periodo Contable],TEXT(BW$3,"mmm-yyyy"))</f>
        <v>0</v>
      </c>
    </row>
    <row r="50" spans="1:75" ht="21.6" outlineLevel="5">
      <c r="A50" s="36" t="s">
        <v>330</v>
      </c>
      <c r="B50" s="58" t="s">
        <v>331</v>
      </c>
      <c r="C50" s="22" t="str">
        <f>+Tabla17[[#This Row],[Cuenta]]&amp;" - "&amp;Tabla17[[#This Row],[Descripcion Cuenta]]</f>
        <v>2.01.03.03.1.9 - Traslado Terrestre Van/Taxi,etc</v>
      </c>
      <c r="D50" s="37"/>
      <c r="E50" s="49">
        <f>SUMIFS(Banco[Monto],Banco[CtaCtbl],$C50,Banco[Periodo Contable],TEXT(E$3,"mmm-yyyy"))</f>
        <v>0</v>
      </c>
      <c r="F50" s="49">
        <f>SUMIFS(Banco[Monto],Banco[CtaCtbl],$C50,Banco[Periodo Contable],TEXT(F$3,"mmm-yyyy"))</f>
        <v>0</v>
      </c>
      <c r="G50" s="49">
        <f>SUMIFS(Banco[Monto],Banco[CtaCtbl],$C50,Banco[Periodo Contable],TEXT(G$3,"mmm-yyyy"))</f>
        <v>-614571</v>
      </c>
      <c r="H50" s="49">
        <f>SUMIFS(Banco[Monto],Banco[CtaCtbl],$C50,Banco[Periodo Contable],TEXT(H$3,"mmm-yyyy"))</f>
        <v>0</v>
      </c>
      <c r="I50" s="49">
        <f>SUM(Tabla17[[#This Row],[sept-21]:[dic-21]])</f>
        <v>-614571</v>
      </c>
      <c r="J50" s="49">
        <f>SUMIFS(Banco[Monto],Banco[CtaCtbl],$C50,Banco[Periodo Contable],TEXT(J$3,"mmm-yyyy"))</f>
        <v>-233827</v>
      </c>
      <c r="K50" s="49">
        <f>SUMIFS(Banco[Monto],Banco[CtaCtbl],$C50,Banco[Periodo Contable],TEXT(K$3,"mmm-yyyy"))</f>
        <v>-119949</v>
      </c>
      <c r="L50" s="49">
        <f>SUMIFS(Banco[Monto],Banco[CtaCtbl],$C50,Banco[Periodo Contable],TEXT(L$3,"mmm-yyyy"))</f>
        <v>-2300</v>
      </c>
      <c r="M50" s="49">
        <f>SUMIFS(Banco[Monto],Banco[CtaCtbl],$C50,Banco[Periodo Contable],TEXT(M$3,"mmm-yyyy"))</f>
        <v>0</v>
      </c>
      <c r="N50" s="49">
        <f>SUMIFS(Banco[Monto],Banco[CtaCtbl],$C50,Banco[Periodo Contable],TEXT(N$3,"mmm-yyyy"))</f>
        <v>0</v>
      </c>
      <c r="O50" s="49">
        <f>SUMIFS(Banco[Monto],Banco[CtaCtbl],$C50,Banco[Periodo Contable],TEXT(O$3,"mmm-yyyy"))</f>
        <v>0</v>
      </c>
      <c r="P50" s="49">
        <f>SUMIFS(Banco[Monto],Banco[CtaCtbl],$C50,Banco[Periodo Contable],TEXT(P$3,"mmm-yyyy"))</f>
        <v>0</v>
      </c>
      <c r="Q50" s="49">
        <f>SUMIFS(Banco[Monto],Banco[CtaCtbl],$C50,Banco[Periodo Contable],TEXT(Q$3,"mmm-yyyy"))</f>
        <v>0</v>
      </c>
      <c r="R50" s="49">
        <f>SUMIFS(Banco[Monto],Banco[CtaCtbl],$C50,Banco[Periodo Contable],TEXT(R$3,"mmm-yyyy"))</f>
        <v>0</v>
      </c>
      <c r="S50" s="49">
        <f>SUMIFS(Banco[Monto],Banco[CtaCtbl],$C50,Banco[Periodo Contable],TEXT(S$3,"mmm-yyyy"))</f>
        <v>0</v>
      </c>
      <c r="T50" s="49">
        <f>SUMIFS(Banco[Monto],Banco[CtaCtbl],$C50,Banco[Periodo Contable],TEXT(T$3,"mmm-yyyy"))</f>
        <v>0</v>
      </c>
      <c r="U50" s="49">
        <f>SUMIFS(Banco[Monto],Banco[CtaCtbl],$C50,Banco[Periodo Contable],TEXT(U$3,"mmm-yyyy"))</f>
        <v>0</v>
      </c>
      <c r="V50" s="300">
        <f>SUM(Tabla17[[#This Row],[ene-22]:[dic-22]])</f>
        <v>-356076</v>
      </c>
      <c r="W50" s="49">
        <f>SUMIFS(Banco[Monto],Banco[CtaCtbl],$C50,Banco[Periodo Contable],TEXT(W$3,"mmm-yyyy"))</f>
        <v>0</v>
      </c>
      <c r="X50" s="49">
        <f>SUMIFS(Banco[Monto],Banco[CtaCtbl],$C50,Banco[Periodo Contable],TEXT(X$3,"mmm-yyyy"))</f>
        <v>0</v>
      </c>
      <c r="Y50" s="49">
        <f>SUMIFS(Banco[Monto],Banco[CtaCtbl],$C50,Banco[Periodo Contable],TEXT(Y$3,"mmm-yyyy"))</f>
        <v>0</v>
      </c>
      <c r="Z50" s="49">
        <f>SUMIFS(Banco[Monto],Banco[CtaCtbl],$C50,Banco[Periodo Contable],TEXT(Z$3,"mmm-yyyy"))</f>
        <v>0</v>
      </c>
      <c r="AA50" s="49">
        <f>SUMIFS(Banco[Monto],Banco[CtaCtbl],$C50,Banco[Periodo Contable],TEXT(AA$3,"mmm-yyyy"))</f>
        <v>0</v>
      </c>
      <c r="AB50" s="49">
        <f>SUMIFS(Banco[Monto],Banco[CtaCtbl],$C50,Banco[Periodo Contable],TEXT(AB$3,"mmm-yyyy"))</f>
        <v>0</v>
      </c>
      <c r="AC50" s="49">
        <f>SUMIFS(Banco[Monto],Banco[CtaCtbl],$C50,Banco[Periodo Contable],TEXT(AC$3,"mmm-yyyy"))</f>
        <v>0</v>
      </c>
      <c r="AD50" s="49">
        <f>SUMIFS(Banco[Monto],Banco[CtaCtbl],$C50,Banco[Periodo Contable],TEXT(AD$3,"mmm-yyyy"))</f>
        <v>0</v>
      </c>
      <c r="AE50" s="49">
        <f>SUMIFS(Banco[Monto],Banco[CtaCtbl],$C50,Banco[Periodo Contable],TEXT(AE$3,"mmm-yyyy"))</f>
        <v>0</v>
      </c>
      <c r="AF50" s="49">
        <f>SUMIFS(Banco[Monto],Banco[CtaCtbl],$C50,Banco[Periodo Contable],TEXT(AF$3,"mmm-yyyy"))</f>
        <v>0</v>
      </c>
      <c r="AG50" s="49">
        <f>SUMIFS(Banco[Monto],Banco[CtaCtbl],$C50,Banco[Periodo Contable],TEXT(AG$3,"mmm-yyyy"))</f>
        <v>0</v>
      </c>
      <c r="AH50" s="49">
        <f>SUMIFS(Banco[Monto],Banco[CtaCtbl],$C50,Banco[Periodo Contable],TEXT(AH$3,"mmm-yyyy"))</f>
        <v>0</v>
      </c>
      <c r="AI50" s="300">
        <f>SUM(Tabla17[[#This Row],[ene-23]:[dic-23]])</f>
        <v>0</v>
      </c>
      <c r="AJ50" s="49">
        <f>SUMIFS(Banco[Monto],Banco[CtaCtbl],$C50,Banco[Periodo Contable],TEXT(AJ$3,"mmm-yyyy"))</f>
        <v>0</v>
      </c>
      <c r="AK50" s="49">
        <f>SUMIFS(Banco[Monto],Banco[CtaCtbl],$C50,Banco[Periodo Contable],TEXT(AK$3,"mmm-yyyy"))</f>
        <v>0</v>
      </c>
      <c r="AL50" s="49">
        <f>SUMIFS(Banco[Monto],Banco[CtaCtbl],$C50,Banco[Periodo Contable],TEXT(AL$3,"mmm-yyyy"))</f>
        <v>0</v>
      </c>
      <c r="AM50" s="49">
        <f>SUMIFS(Banco[Monto],Banco[CtaCtbl],$C50,Banco[Periodo Contable],TEXT(AM$3,"mmm-yyyy"))</f>
        <v>0</v>
      </c>
      <c r="AN50" s="49">
        <f>SUMIFS(Banco[Monto],Banco[CtaCtbl],$C50,Banco[Periodo Contable],TEXT(AN$3,"mmm-yyyy"))</f>
        <v>-587510</v>
      </c>
      <c r="AO50" s="49">
        <f>SUMIFS(Banco[Monto],Banco[CtaCtbl],$C50,Banco[Periodo Contable],TEXT(AO$3,"mmm-yyyy"))</f>
        <v>0</v>
      </c>
      <c r="AP50" s="49">
        <f>SUMIFS(Banco[Monto],Banco[CtaCtbl],$C50,Banco[Periodo Contable],TEXT(AP$3,"mmm-yyyy"))</f>
        <v>0</v>
      </c>
      <c r="AQ50" s="49">
        <f>SUMIFS(Banco[Monto],Banco[CtaCtbl],$C50,Banco[Periodo Contable],TEXT(AQ$3,"mmm-yyyy"))</f>
        <v>0</v>
      </c>
      <c r="AR50" s="49">
        <f>SUMIFS(Banco[Monto],Banco[CtaCtbl],$C50,Banco[Periodo Contable],TEXT(AR$3,"mmm-yyyy"))</f>
        <v>-115271</v>
      </c>
      <c r="AS50" s="49">
        <f>SUMIFS(Banco[Monto],Banco[CtaCtbl],$C50,Banco[Periodo Contable],TEXT(AS$3,"mmm-yyyy"))</f>
        <v>0</v>
      </c>
      <c r="AT50" s="49">
        <f>SUMIFS(Banco[Monto],Banco[CtaCtbl],$C50,Banco[Periodo Contable],TEXT(AT$3,"mmm-yyyy"))</f>
        <v>-93792</v>
      </c>
      <c r="AU50" s="49">
        <f>SUMIFS(Banco[Monto],Banco[CtaCtbl],$C50,Banco[Periodo Contable],TEXT(AU$3,"mmm-yyyy"))</f>
        <v>-721979</v>
      </c>
      <c r="AV50" s="300">
        <f>SUM(Tabla17[[#This Row],[ene-24]:[dic-24]])</f>
        <v>-1518552</v>
      </c>
      <c r="AW50" s="49">
        <f>SUMIFS(Banco[Monto],Banco[CtaCtbl],$C50,Banco[Periodo Contable],TEXT(AW$3,"mmm-yyyy"))</f>
        <v>0</v>
      </c>
      <c r="AX50" s="49">
        <f>SUMIFS(Banco[Monto],Banco[CtaCtbl],$C50,Banco[Periodo Contable],TEXT(AX$3,"mmm-yyyy"))</f>
        <v>0</v>
      </c>
      <c r="AY50" s="49">
        <f>SUMIFS(Banco[Monto],Banco[CtaCtbl],$C50,Banco[Periodo Contable],TEXT(AY$3,"mmm-yyyy"))</f>
        <v>0</v>
      </c>
      <c r="AZ50" s="49">
        <f>SUMIFS(Banco[Monto],Banco[CtaCtbl],$C50,Banco[Periodo Contable],TEXT(AZ$3,"mmm-yyyy"))</f>
        <v>0</v>
      </c>
      <c r="BA50" s="49">
        <f>SUMIFS(Banco[Monto],Banco[CtaCtbl],$C50,Banco[Periodo Contable],TEXT(BA$3,"mmm-yyyy"))</f>
        <v>0</v>
      </c>
      <c r="BB50" s="49">
        <f>SUMIFS(Banco[Monto],Banco[CtaCtbl],$C50,Banco[Periodo Contable],TEXT(BB$3,"mmm-yyyy"))</f>
        <v>0</v>
      </c>
      <c r="BC50" s="49">
        <f>SUMIFS(Banco[Monto],Banco[CtaCtbl],$C50,Banco[Periodo Contable],TEXT(BC$3,"mmm-yyyy"))</f>
        <v>0</v>
      </c>
      <c r="BD50" s="49">
        <f>SUMIFS(Banco[Monto],Banco[CtaCtbl],$C50,Banco[Periodo Contable],TEXT(BD$3,"mmm-yyyy"))</f>
        <v>0</v>
      </c>
      <c r="BE50" s="49">
        <f>SUMIFS(Banco[Monto],Banco[CtaCtbl],$C50,Banco[Periodo Contable],TEXT(BE$3,"mmm-yyyy"))</f>
        <v>0</v>
      </c>
      <c r="BF50" s="49">
        <f>SUMIFS(Banco[Monto],Banco[CtaCtbl],$C50,Banco[Periodo Contable],TEXT(BF$3,"mmm-yyyy"))</f>
        <v>0</v>
      </c>
      <c r="BG50" s="49">
        <f>SUMIFS(Banco[Monto],Banco[CtaCtbl],$C50,Banco[Periodo Contable],TEXT(BG$3,"mmm-yyyy"))</f>
        <v>0</v>
      </c>
      <c r="BH50" s="49">
        <f>SUMIFS(Banco[Monto],Banco[CtaCtbl],$C50,Banco[Periodo Contable],TEXT(BH$3,"mmm-yyyy"))</f>
        <v>0</v>
      </c>
      <c r="BI50" s="232">
        <f>SUM(Tabla17[[#This Row],[ene-25]:[dic-25]])</f>
        <v>0</v>
      </c>
      <c r="BJ50" s="49">
        <f>SUMIFS(Banco[Monto],Banco[CtaCtbl],$C50,Banco[Periodo Contable],TEXT(BJ$3,"mmm-yyyy"))</f>
        <v>0</v>
      </c>
      <c r="BK50" s="49">
        <f>SUMIFS(Banco[Monto],Banco[CtaCtbl],$C50,Banco[Periodo Contable],TEXT(BK$3,"mmm-yyyy"))</f>
        <v>0</v>
      </c>
      <c r="BL50" s="49">
        <f>SUMIFS(Banco[Monto],Banco[CtaCtbl],$C50,Banco[Periodo Contable],TEXT(BL$3,"mmm-yyyy"))</f>
        <v>0</v>
      </c>
      <c r="BM50" s="49">
        <f>SUMIFS(Banco[Monto],Banco[CtaCtbl],$C50,Banco[Periodo Contable],TEXT(BM$3,"mmm-yyyy"))</f>
        <v>0</v>
      </c>
      <c r="BN50" s="49">
        <f>SUMIFS(Banco[Monto],Banco[CtaCtbl],$C50,Banco[Periodo Contable],TEXT(BN$3,"mmm-yyyy"))</f>
        <v>0</v>
      </c>
      <c r="BO50" s="49">
        <f>SUMIFS(Banco[Monto],Banco[CtaCtbl],$C50,Banco[Periodo Contable],TEXT(BO$3,"mmm-yyyy"))</f>
        <v>0</v>
      </c>
      <c r="BP50" s="49">
        <f>SUMIFS(Banco[Monto],Banco[CtaCtbl],$C50,Banco[Periodo Contable],TEXT(BP$3,"mmm-yyyy"))</f>
        <v>0</v>
      </c>
      <c r="BQ50" s="49">
        <f>SUMIFS(Banco[Monto],Banco[CtaCtbl],$C50,Banco[Periodo Contable],TEXT(BQ$3,"mmm-yyyy"))</f>
        <v>0</v>
      </c>
      <c r="BR50" s="49">
        <f>SUMIFS(Banco[Monto],Banco[CtaCtbl],$C50,Banco[Periodo Contable],TEXT(BR$3,"mmm-yyyy"))</f>
        <v>0</v>
      </c>
      <c r="BS50" s="49">
        <f>SUMIFS(Banco[Monto],Banco[CtaCtbl],$C50,Banco[Periodo Contable],TEXT(BS$3,"mmm-yyyy"))</f>
        <v>0</v>
      </c>
      <c r="BT50" s="49">
        <f>SUMIFS(Banco[Monto],Banco[CtaCtbl],$C50,Banco[Periodo Contable],TEXT(BT$3,"mmm-yyyy"))</f>
        <v>0</v>
      </c>
      <c r="BU50" s="49">
        <f>SUMIFS(Banco[Monto],Banco[CtaCtbl],$C50,Banco[Periodo Contable],TEXT(BU$3,"mmm-yyyy"))</f>
        <v>0</v>
      </c>
      <c r="BV50" s="232">
        <f>SUM(Tabla17[[#This Row],[ene-26]:[dic-26]])</f>
        <v>0</v>
      </c>
      <c r="BW50" s="49">
        <f>SUMIFS(Banco[Monto],Banco[CtaCtbl],$C50,Banco[Periodo Contable],TEXT(BW$3,"mmm-yyyy"))</f>
        <v>0</v>
      </c>
    </row>
    <row r="51" spans="1:75" ht="21.6" outlineLevel="5">
      <c r="A51" s="36"/>
      <c r="B51" s="58"/>
      <c r="C51" s="22" t="str">
        <f>+Tabla17[[#This Row],[Cuenta]]&amp;" - "&amp;Tabla17[[#This Row],[Descripcion Cuenta]]</f>
        <v xml:space="preserve"> - </v>
      </c>
      <c r="D51" s="37"/>
      <c r="E51" s="49">
        <f>SUMIFS(Banco[Monto],Banco[CtaCtbl],$C51,Banco[Periodo Contable],TEXT(E$3,"mmm-yyyy"))</f>
        <v>0</v>
      </c>
      <c r="F51" s="49">
        <f>SUMIFS(Banco[Monto],Banco[CtaCtbl],$C51,Banco[Periodo Contable],TEXT(F$3,"mmm-yyyy"))</f>
        <v>0</v>
      </c>
      <c r="G51" s="49">
        <f>SUMIFS(Banco[Monto],Banco[CtaCtbl],$C51,Banco[Periodo Contable],TEXT(G$3,"mmm-yyyy"))</f>
        <v>0</v>
      </c>
      <c r="H51" s="49">
        <f>SUMIFS(Banco[Monto],Banco[CtaCtbl],$C51,Banco[Periodo Contable],TEXT(H$3,"mmm-yyyy"))</f>
        <v>0</v>
      </c>
      <c r="I51" s="49">
        <f>SUM(Tabla17[[#This Row],[sept-21]:[dic-21]])</f>
        <v>0</v>
      </c>
      <c r="J51" s="49">
        <f>SUMIFS(Banco[Monto],Banco[CtaCtbl],$C51,Banco[Periodo Contable],TEXT(J$3,"mmm-yyyy"))</f>
        <v>0</v>
      </c>
      <c r="K51" s="49">
        <f>SUMIFS(Banco[Monto],Banco[CtaCtbl],$C51,Banco[Periodo Contable],TEXT(K$3,"mmm-yyyy"))</f>
        <v>0</v>
      </c>
      <c r="L51" s="49">
        <f>SUMIFS(Banco[Monto],Banco[CtaCtbl],$C51,Banco[Periodo Contable],TEXT(L$3,"mmm-yyyy"))</f>
        <v>0</v>
      </c>
      <c r="M51" s="49">
        <f>SUMIFS(Banco[Monto],Banco[CtaCtbl],$C51,Banco[Periodo Contable],TEXT(M$3,"mmm-yyyy"))</f>
        <v>0</v>
      </c>
      <c r="N51" s="49">
        <f>SUMIFS(Banco[Monto],Banco[CtaCtbl],$C51,Banco[Periodo Contable],TEXT(N$3,"mmm-yyyy"))</f>
        <v>0</v>
      </c>
      <c r="O51" s="49">
        <f>SUMIFS(Banco[Monto],Banco[CtaCtbl],$C51,Banco[Periodo Contable],TEXT(O$3,"mmm-yyyy"))</f>
        <v>0</v>
      </c>
      <c r="P51" s="49">
        <f>SUMIFS(Banco[Monto],Banco[CtaCtbl],$C51,Banco[Periodo Contable],TEXT(P$3,"mmm-yyyy"))</f>
        <v>0</v>
      </c>
      <c r="Q51" s="49">
        <f>SUMIFS(Banco[Monto],Banco[CtaCtbl],$C51,Banco[Periodo Contable],TEXT(Q$3,"mmm-yyyy"))</f>
        <v>0</v>
      </c>
      <c r="R51" s="49">
        <f>SUMIFS(Banco[Monto],Banco[CtaCtbl],$C51,Banco[Periodo Contable],TEXT(R$3,"mmm-yyyy"))</f>
        <v>0</v>
      </c>
      <c r="S51" s="49">
        <f>SUMIFS(Banco[Monto],Banco[CtaCtbl],$C51,Banco[Periodo Contable],TEXT(S$3,"mmm-yyyy"))</f>
        <v>0</v>
      </c>
      <c r="T51" s="49">
        <f>SUMIFS(Banco[Monto],Banco[CtaCtbl],$C51,Banco[Periodo Contable],TEXT(T$3,"mmm-yyyy"))</f>
        <v>0</v>
      </c>
      <c r="U51" s="49">
        <f>SUMIFS(Banco[Monto],Banco[CtaCtbl],$C51,Banco[Periodo Contable],TEXT(U$3,"mmm-yyyy"))</f>
        <v>0</v>
      </c>
      <c r="V51" s="300">
        <f>SUM(Tabla17[[#This Row],[ene-22]:[dic-22]])</f>
        <v>0</v>
      </c>
      <c r="W51" s="49">
        <f>SUMIFS(Banco[Monto],Banco[CtaCtbl],$C51,Banco[Periodo Contable],TEXT(W$3,"mmm-yyyy"))</f>
        <v>0</v>
      </c>
      <c r="X51" s="49">
        <f>SUMIFS(Banco[Monto],Banco[CtaCtbl],$C51,Banco[Periodo Contable],TEXT(X$3,"mmm-yyyy"))</f>
        <v>0</v>
      </c>
      <c r="Y51" s="49">
        <f>SUMIFS(Banco[Monto],Banco[CtaCtbl],$C51,Banco[Periodo Contable],TEXT(Y$3,"mmm-yyyy"))</f>
        <v>0</v>
      </c>
      <c r="Z51" s="49">
        <f>SUMIFS(Banco[Monto],Banco[CtaCtbl],$C51,Banco[Periodo Contable],TEXT(Z$3,"mmm-yyyy"))</f>
        <v>0</v>
      </c>
      <c r="AA51" s="49">
        <f>SUMIFS(Banco[Monto],Banco[CtaCtbl],$C51,Banco[Periodo Contable],TEXT(AA$3,"mmm-yyyy"))</f>
        <v>0</v>
      </c>
      <c r="AB51" s="49">
        <f>SUMIFS(Banco[Monto],Banco[CtaCtbl],$C51,Banco[Periodo Contable],TEXT(AB$3,"mmm-yyyy"))</f>
        <v>0</v>
      </c>
      <c r="AC51" s="49">
        <f>SUMIFS(Banco[Monto],Banco[CtaCtbl],$C51,Banco[Periodo Contable],TEXT(AC$3,"mmm-yyyy"))</f>
        <v>0</v>
      </c>
      <c r="AD51" s="49">
        <f>SUMIFS(Banco[Monto],Banco[CtaCtbl],$C51,Banco[Periodo Contable],TEXT(AD$3,"mmm-yyyy"))</f>
        <v>0</v>
      </c>
      <c r="AE51" s="49">
        <f>SUMIFS(Banco[Monto],Banco[CtaCtbl],$C51,Banco[Periodo Contable],TEXT(AE$3,"mmm-yyyy"))</f>
        <v>0</v>
      </c>
      <c r="AF51" s="49">
        <f>SUMIFS(Banco[Monto],Banco[CtaCtbl],$C51,Banco[Periodo Contable],TEXT(AF$3,"mmm-yyyy"))</f>
        <v>0</v>
      </c>
      <c r="AG51" s="49">
        <f>SUMIFS(Banco[Monto],Banco[CtaCtbl],$C51,Banco[Periodo Contable],TEXT(AG$3,"mmm-yyyy"))</f>
        <v>0</v>
      </c>
      <c r="AH51" s="49">
        <f>SUMIFS(Banco[Monto],Banco[CtaCtbl],$C51,Banco[Periodo Contable],TEXT(AH$3,"mmm-yyyy"))</f>
        <v>0</v>
      </c>
      <c r="AI51" s="300">
        <f>SUM(Tabla17[[#This Row],[ene-23]:[dic-23]])</f>
        <v>0</v>
      </c>
      <c r="AJ51" s="49">
        <f>SUMIFS(Banco[Monto],Banco[CtaCtbl],$C51,Banco[Periodo Contable],TEXT(AJ$3,"mmm-yyyy"))</f>
        <v>0</v>
      </c>
      <c r="AK51" s="49">
        <f>SUMIFS(Banco[Monto],Banco[CtaCtbl],$C51,Banco[Periodo Contable],TEXT(AK$3,"mmm-yyyy"))</f>
        <v>0</v>
      </c>
      <c r="AL51" s="49">
        <f>SUMIFS(Banco[Monto],Banco[CtaCtbl],$C51,Banco[Periodo Contable],TEXT(AL$3,"mmm-yyyy"))</f>
        <v>0</v>
      </c>
      <c r="AM51" s="49">
        <f>SUMIFS(Banco[Monto],Banco[CtaCtbl],$C51,Banco[Periodo Contable],TEXT(AM$3,"mmm-yyyy"))</f>
        <v>0</v>
      </c>
      <c r="AN51" s="49">
        <f>SUMIFS(Banco[Monto],Banco[CtaCtbl],$C51,Banco[Periodo Contable],TEXT(AN$3,"mmm-yyyy"))</f>
        <v>0</v>
      </c>
      <c r="AO51" s="49">
        <f>SUMIFS(Banco[Monto],Banco[CtaCtbl],$C51,Banco[Periodo Contable],TEXT(AO$3,"mmm-yyyy"))</f>
        <v>0</v>
      </c>
      <c r="AP51" s="49">
        <f>SUMIFS(Banco[Monto],Banco[CtaCtbl],$C51,Banco[Periodo Contable],TEXT(AP$3,"mmm-yyyy"))</f>
        <v>0</v>
      </c>
      <c r="AQ51" s="49">
        <f>SUMIFS(Banco[Monto],Banco[CtaCtbl],$C51,Banco[Periodo Contable],TEXT(AQ$3,"mmm-yyyy"))</f>
        <v>0</v>
      </c>
      <c r="AR51" s="49">
        <f>SUMIFS(Banco[Monto],Banco[CtaCtbl],$C51,Banco[Periodo Contable],TEXT(AR$3,"mmm-yyyy"))</f>
        <v>0</v>
      </c>
      <c r="AS51" s="49">
        <f>SUMIFS(Banco[Monto],Banco[CtaCtbl],$C51,Banco[Periodo Contable],TEXT(AS$3,"mmm-yyyy"))</f>
        <v>0</v>
      </c>
      <c r="AT51" s="49">
        <f>SUMIFS(Banco[Monto],Banco[CtaCtbl],$C51,Banco[Periodo Contable],TEXT(AT$3,"mmm-yyyy"))</f>
        <v>0</v>
      </c>
      <c r="AU51" s="49">
        <f>SUMIFS(Banco[Monto],Banco[CtaCtbl],$C51,Banco[Periodo Contable],TEXT(AU$3,"mmm-yyyy"))</f>
        <v>0</v>
      </c>
      <c r="AV51" s="300">
        <f>SUM(Tabla17[[#This Row],[ene-24]:[dic-24]])</f>
        <v>0</v>
      </c>
      <c r="AW51" s="49">
        <f>SUMIFS(Banco[Monto],Banco[CtaCtbl],$C51,Banco[Periodo Contable],TEXT(AW$3,"mmm-yyyy"))</f>
        <v>0</v>
      </c>
      <c r="AX51" s="49">
        <f>SUMIFS(Banco[Monto],Banco[CtaCtbl],$C51,Banco[Periodo Contable],TEXT(AX$3,"mmm-yyyy"))</f>
        <v>0</v>
      </c>
      <c r="AY51" s="49">
        <f>SUMIFS(Banco[Monto],Banco[CtaCtbl],$C51,Banco[Periodo Contable],TEXT(AY$3,"mmm-yyyy"))</f>
        <v>0</v>
      </c>
      <c r="AZ51" s="49">
        <f>SUMIFS(Banco[Monto],Banco[CtaCtbl],$C51,Banco[Periodo Contable],TEXT(AZ$3,"mmm-yyyy"))</f>
        <v>0</v>
      </c>
      <c r="BA51" s="49">
        <f>SUMIFS(Banco[Monto],Banco[CtaCtbl],$C51,Banco[Periodo Contable],TEXT(BA$3,"mmm-yyyy"))</f>
        <v>0</v>
      </c>
      <c r="BB51" s="49">
        <f>SUMIFS(Banco[Monto],Banco[CtaCtbl],$C51,Banco[Periodo Contable],TEXT(BB$3,"mmm-yyyy"))</f>
        <v>0</v>
      </c>
      <c r="BC51" s="49">
        <f>SUMIFS(Banco[Monto],Banco[CtaCtbl],$C51,Banco[Periodo Contable],TEXT(BC$3,"mmm-yyyy"))</f>
        <v>0</v>
      </c>
      <c r="BD51" s="49">
        <f>SUMIFS(Banco[Monto],Banco[CtaCtbl],$C51,Banco[Periodo Contable],TEXT(BD$3,"mmm-yyyy"))</f>
        <v>0</v>
      </c>
      <c r="BE51" s="49">
        <f>SUMIFS(Banco[Monto],Banco[CtaCtbl],$C51,Banco[Periodo Contable],TEXT(BE$3,"mmm-yyyy"))</f>
        <v>0</v>
      </c>
      <c r="BF51" s="49">
        <f>SUMIFS(Banco[Monto],Banco[CtaCtbl],$C51,Banco[Periodo Contable],TEXT(BF$3,"mmm-yyyy"))</f>
        <v>0</v>
      </c>
      <c r="BG51" s="49">
        <f>SUMIFS(Banco[Monto],Banco[CtaCtbl],$C51,Banco[Periodo Contable],TEXT(BG$3,"mmm-yyyy"))</f>
        <v>0</v>
      </c>
      <c r="BH51" s="49">
        <f>SUMIFS(Banco[Monto],Banco[CtaCtbl],$C51,Banco[Periodo Contable],TEXT(BH$3,"mmm-yyyy"))</f>
        <v>0</v>
      </c>
      <c r="BI51" s="232">
        <f>SUM(Tabla17[[#This Row],[ene-25]:[dic-25]])</f>
        <v>0</v>
      </c>
      <c r="BJ51" s="49">
        <f>SUMIFS(Banco[Monto],Banco[CtaCtbl],$C51,Banco[Periodo Contable],TEXT(BJ$3,"mmm-yyyy"))</f>
        <v>0</v>
      </c>
      <c r="BK51" s="49">
        <f>SUMIFS(Banco[Monto],Banco[CtaCtbl],$C51,Banco[Periodo Contable],TEXT(BK$3,"mmm-yyyy"))</f>
        <v>0</v>
      </c>
      <c r="BL51" s="49">
        <f>SUMIFS(Banco[Monto],Banco[CtaCtbl],$C51,Banco[Periodo Contable],TEXT(BL$3,"mmm-yyyy"))</f>
        <v>0</v>
      </c>
      <c r="BM51" s="49">
        <f>SUMIFS(Banco[Monto],Banco[CtaCtbl],$C51,Banco[Periodo Contable],TEXT(BM$3,"mmm-yyyy"))</f>
        <v>0</v>
      </c>
      <c r="BN51" s="49">
        <f>SUMIFS(Banco[Monto],Banco[CtaCtbl],$C51,Banco[Periodo Contable],TEXT(BN$3,"mmm-yyyy"))</f>
        <v>0</v>
      </c>
      <c r="BO51" s="49">
        <f>SUMIFS(Banco[Monto],Banco[CtaCtbl],$C51,Banco[Periodo Contable],TEXT(BO$3,"mmm-yyyy"))</f>
        <v>0</v>
      </c>
      <c r="BP51" s="49">
        <f>SUMIFS(Banco[Monto],Banco[CtaCtbl],$C51,Banco[Periodo Contable],TEXT(BP$3,"mmm-yyyy"))</f>
        <v>0</v>
      </c>
      <c r="BQ51" s="49">
        <f>SUMIFS(Banco[Monto],Banco[CtaCtbl],$C51,Banco[Periodo Contable],TEXT(BQ$3,"mmm-yyyy"))</f>
        <v>0</v>
      </c>
      <c r="BR51" s="49">
        <f>SUMIFS(Banco[Monto],Banco[CtaCtbl],$C51,Banco[Periodo Contable],TEXT(BR$3,"mmm-yyyy"))</f>
        <v>0</v>
      </c>
      <c r="BS51" s="49">
        <f>SUMIFS(Banco[Monto],Banco[CtaCtbl],$C51,Banco[Periodo Contable],TEXT(BS$3,"mmm-yyyy"))</f>
        <v>0</v>
      </c>
      <c r="BT51" s="49">
        <f>SUMIFS(Banco[Monto],Banco[CtaCtbl],$C51,Banco[Periodo Contable],TEXT(BT$3,"mmm-yyyy"))</f>
        <v>0</v>
      </c>
      <c r="BU51" s="49">
        <f>SUMIFS(Banco[Monto],Banco[CtaCtbl],$C51,Banco[Periodo Contable],TEXT(BU$3,"mmm-yyyy"))</f>
        <v>0</v>
      </c>
      <c r="BV51" s="232">
        <f>SUM(Tabla17[[#This Row],[ene-26]:[dic-26]])</f>
        <v>0</v>
      </c>
      <c r="BW51" s="49">
        <f>SUMIFS(Banco[Monto],Banco[CtaCtbl],$C51,Banco[Periodo Contable],TEXT(BW$3,"mmm-yyyy"))</f>
        <v>0</v>
      </c>
    </row>
    <row r="52" spans="1:75" s="78" customFormat="1" ht="21.6" outlineLevel="4" collapsed="1">
      <c r="A52" s="64" t="s">
        <v>332</v>
      </c>
      <c r="B52" s="65" t="s">
        <v>333</v>
      </c>
      <c r="C52" s="66" t="str">
        <f>+Tabla17[[#This Row],[Cuenta]]&amp;" - "&amp;Tabla17[[#This Row],[Descripcion Cuenta]]</f>
        <v>2.01.03.03.2 - Transporte Aereo</v>
      </c>
      <c r="D52" s="67"/>
      <c r="E52" s="68">
        <f t="shared" ref="E52:BW52" si="163">SUBTOTAL(9,E53:E56)</f>
        <v>0</v>
      </c>
      <c r="F52" s="68">
        <f t="shared" si="163"/>
        <v>0</v>
      </c>
      <c r="G52" s="68">
        <f t="shared" si="163"/>
        <v>0</v>
      </c>
      <c r="H52" s="68">
        <f t="shared" si="163"/>
        <v>0</v>
      </c>
      <c r="I52" s="68">
        <f>SUM(Tabla17[[#This Row],[sept-21]:[dic-21]])</f>
        <v>0</v>
      </c>
      <c r="J52" s="68">
        <f t="shared" si="163"/>
        <v>0</v>
      </c>
      <c r="K52" s="68">
        <f t="shared" si="163"/>
        <v>0</v>
      </c>
      <c r="L52" s="68">
        <f t="shared" si="163"/>
        <v>0</v>
      </c>
      <c r="M52" s="68">
        <f t="shared" si="163"/>
        <v>0</v>
      </c>
      <c r="N52" s="68">
        <f t="shared" si="163"/>
        <v>0</v>
      </c>
      <c r="O52" s="68">
        <f t="shared" si="163"/>
        <v>0</v>
      </c>
      <c r="P52" s="68">
        <f t="shared" si="163"/>
        <v>0</v>
      </c>
      <c r="Q52" s="68">
        <f t="shared" si="163"/>
        <v>0</v>
      </c>
      <c r="R52" s="68">
        <f t="shared" si="163"/>
        <v>0</v>
      </c>
      <c r="S52" s="68">
        <f t="shared" si="163"/>
        <v>0</v>
      </c>
      <c r="T52" s="68">
        <f t="shared" si="163"/>
        <v>0</v>
      </c>
      <c r="U52" s="68">
        <f t="shared" si="163"/>
        <v>0</v>
      </c>
      <c r="V52" s="68">
        <f t="shared" si="163"/>
        <v>0</v>
      </c>
      <c r="W52" s="68">
        <f t="shared" si="163"/>
        <v>0</v>
      </c>
      <c r="X52" s="68">
        <f t="shared" si="163"/>
        <v>0</v>
      </c>
      <c r="Y52" s="68">
        <f t="shared" si="163"/>
        <v>0</v>
      </c>
      <c r="Z52" s="68">
        <f t="shared" si="163"/>
        <v>0</v>
      </c>
      <c r="AA52" s="68">
        <f t="shared" si="163"/>
        <v>0</v>
      </c>
      <c r="AB52" s="68">
        <f t="shared" si="163"/>
        <v>0</v>
      </c>
      <c r="AC52" s="68">
        <f t="shared" si="163"/>
        <v>0</v>
      </c>
      <c r="AD52" s="68">
        <f t="shared" si="163"/>
        <v>0</v>
      </c>
      <c r="AE52" s="68">
        <f t="shared" si="163"/>
        <v>0</v>
      </c>
      <c r="AF52" s="68">
        <f t="shared" si="163"/>
        <v>0</v>
      </c>
      <c r="AG52" s="68">
        <f t="shared" si="163"/>
        <v>0</v>
      </c>
      <c r="AH52" s="68">
        <f t="shared" si="163"/>
        <v>0</v>
      </c>
      <c r="AI52" s="68">
        <f t="shared" si="163"/>
        <v>0</v>
      </c>
      <c r="AJ52" s="68">
        <f t="shared" si="163"/>
        <v>0</v>
      </c>
      <c r="AK52" s="68">
        <f t="shared" si="163"/>
        <v>0</v>
      </c>
      <c r="AL52" s="68">
        <f t="shared" si="163"/>
        <v>0</v>
      </c>
      <c r="AM52" s="68">
        <f t="shared" si="163"/>
        <v>0</v>
      </c>
      <c r="AN52" s="68">
        <f t="shared" si="163"/>
        <v>0</v>
      </c>
      <c r="AO52" s="68">
        <f t="shared" si="163"/>
        <v>0</v>
      </c>
      <c r="AP52" s="68">
        <f t="shared" si="163"/>
        <v>0</v>
      </c>
      <c r="AQ52" s="68">
        <f t="shared" si="163"/>
        <v>0</v>
      </c>
      <c r="AR52" s="68">
        <f t="shared" si="163"/>
        <v>0</v>
      </c>
      <c r="AS52" s="68">
        <f t="shared" si="163"/>
        <v>0</v>
      </c>
      <c r="AT52" s="68">
        <f t="shared" si="163"/>
        <v>0</v>
      </c>
      <c r="AU52" s="68">
        <f t="shared" si="163"/>
        <v>0</v>
      </c>
      <c r="AV52" s="68">
        <f t="shared" si="163"/>
        <v>0</v>
      </c>
      <c r="AW52" s="68">
        <f>SUBTOTAL(9,AW53:AW56)</f>
        <v>0</v>
      </c>
      <c r="AX52" s="68">
        <f t="shared" ref="AX52:BH52" si="164">SUBTOTAL(9,AX53:AX56)</f>
        <v>0</v>
      </c>
      <c r="AY52" s="68">
        <f t="shared" si="164"/>
        <v>0</v>
      </c>
      <c r="AZ52" s="68">
        <f t="shared" si="164"/>
        <v>0</v>
      </c>
      <c r="BA52" s="68">
        <f t="shared" si="164"/>
        <v>0</v>
      </c>
      <c r="BB52" s="68">
        <f t="shared" si="164"/>
        <v>0</v>
      </c>
      <c r="BC52" s="68">
        <f t="shared" si="164"/>
        <v>0</v>
      </c>
      <c r="BD52" s="68">
        <f t="shared" si="164"/>
        <v>0</v>
      </c>
      <c r="BE52" s="68">
        <f t="shared" si="164"/>
        <v>0</v>
      </c>
      <c r="BF52" s="68">
        <f t="shared" si="164"/>
        <v>0</v>
      </c>
      <c r="BG52" s="68">
        <f t="shared" si="164"/>
        <v>0</v>
      </c>
      <c r="BH52" s="68">
        <f t="shared" si="164"/>
        <v>0</v>
      </c>
      <c r="BI52" s="68">
        <f t="shared" si="163"/>
        <v>0</v>
      </c>
      <c r="BJ52" s="68">
        <f t="shared" ref="BJ52" si="165">SUBTOTAL(9,BJ53:BJ56)</f>
        <v>0</v>
      </c>
      <c r="BK52" s="68">
        <f t="shared" ref="BK52" si="166">SUBTOTAL(9,BK53:BK56)</f>
        <v>0</v>
      </c>
      <c r="BL52" s="68">
        <f t="shared" ref="BL52" si="167">SUBTOTAL(9,BL53:BL56)</f>
        <v>0</v>
      </c>
      <c r="BM52" s="68">
        <f t="shared" ref="BM52" si="168">SUBTOTAL(9,BM53:BM56)</f>
        <v>0</v>
      </c>
      <c r="BN52" s="68">
        <f t="shared" ref="BN52" si="169">SUBTOTAL(9,BN53:BN56)</f>
        <v>0</v>
      </c>
      <c r="BO52" s="68">
        <f t="shared" ref="BO52" si="170">SUBTOTAL(9,BO53:BO56)</f>
        <v>0</v>
      </c>
      <c r="BP52" s="68">
        <f t="shared" ref="BP52" si="171">SUBTOTAL(9,BP53:BP56)</f>
        <v>0</v>
      </c>
      <c r="BQ52" s="68">
        <f t="shared" ref="BQ52" si="172">SUBTOTAL(9,BQ53:BQ56)</f>
        <v>0</v>
      </c>
      <c r="BR52" s="68">
        <f t="shared" ref="BR52" si="173">SUBTOTAL(9,BR53:BR56)</f>
        <v>0</v>
      </c>
      <c r="BS52" s="68">
        <f t="shared" ref="BS52" si="174">SUBTOTAL(9,BS53:BS56)</f>
        <v>0</v>
      </c>
      <c r="BT52" s="68">
        <f t="shared" ref="BT52" si="175">SUBTOTAL(9,BT53:BT56)</f>
        <v>0</v>
      </c>
      <c r="BU52" s="68">
        <f t="shared" ref="BU52:BV52" si="176">SUBTOTAL(9,BU53:BU56)</f>
        <v>0</v>
      </c>
      <c r="BV52" s="68">
        <f t="shared" si="176"/>
        <v>0</v>
      </c>
      <c r="BW52" s="68">
        <f t="shared" si="163"/>
        <v>0</v>
      </c>
    </row>
    <row r="53" spans="1:75" s="296" customFormat="1" ht="21.6" outlineLevel="4">
      <c r="A53" s="369" t="s">
        <v>334</v>
      </c>
      <c r="B53" s="235" t="s">
        <v>335</v>
      </c>
      <c r="C53" s="370" t="str">
        <f>+Tabla17[[#This Row],[Cuenta]]&amp;" - "&amp;Tabla17[[#This Row],[Descripcion Cuenta]]</f>
        <v>2.01.03.03.2.1 - Pasaje Aereo</v>
      </c>
      <c r="D53" s="371"/>
      <c r="E53" s="372">
        <f>SUMIFS(Banco[Monto],Banco[CtaCtbl],$C53,Banco[Periodo Contable],TEXT(E$3,"mmm-yyyy"))</f>
        <v>0</v>
      </c>
      <c r="F53" s="372">
        <f>SUMIFS(Banco[Monto],Banco[CtaCtbl],$C53,Banco[Periodo Contable],TEXT(F$3,"mmm-yyyy"))</f>
        <v>0</v>
      </c>
      <c r="G53" s="372">
        <f>SUMIFS(Banco[Monto],Banco[CtaCtbl],$C53,Banco[Periodo Contable],TEXT(G$3,"mmm-yyyy"))</f>
        <v>0</v>
      </c>
      <c r="H53" s="372">
        <f>SUMIFS(Banco[Monto],Banco[CtaCtbl],$C53,Banco[Periodo Contable],TEXT(H$3,"mmm-yyyy"))</f>
        <v>0</v>
      </c>
      <c r="I53" s="372">
        <f>SUM(Tabla17[[#This Row],[sept-21]:[dic-21]])</f>
        <v>0</v>
      </c>
      <c r="J53" s="372">
        <f>SUMIFS(Banco[Monto],Banco[CtaCtbl],$C53,Banco[Periodo Contable],TEXT(J$3,"mmm-yyyy"))</f>
        <v>0</v>
      </c>
      <c r="K53" s="372">
        <f>SUMIFS(Banco[Monto],Banco[CtaCtbl],$C53,Banco[Periodo Contable],TEXT(K$3,"mmm-yyyy"))</f>
        <v>0</v>
      </c>
      <c r="L53" s="372">
        <f>SUMIFS(Banco[Monto],Banco[CtaCtbl],$C53,Banco[Periodo Contable],TEXT(L$3,"mmm-yyyy"))</f>
        <v>0</v>
      </c>
      <c r="M53" s="372">
        <f>SUMIFS(Banco[Monto],Banco[CtaCtbl],$C53,Banco[Periodo Contable],TEXT(M$3,"mmm-yyyy"))</f>
        <v>0</v>
      </c>
      <c r="N53" s="372">
        <f>SUMIFS(Banco[Monto],Banco[CtaCtbl],$C53,Banco[Periodo Contable],TEXT(N$3,"mmm-yyyy"))</f>
        <v>0</v>
      </c>
      <c r="O53" s="372">
        <f>SUMIFS(Banco[Monto],Banco[CtaCtbl],$C53,Banco[Periodo Contable],TEXT(O$3,"mmm-yyyy"))</f>
        <v>0</v>
      </c>
      <c r="P53" s="372">
        <f>SUMIFS(Banco[Monto],Banco[CtaCtbl],$C53,Banco[Periodo Contable],TEXT(P$3,"mmm-yyyy"))</f>
        <v>0</v>
      </c>
      <c r="Q53" s="372">
        <f>SUMIFS(Banco[Monto],Banco[CtaCtbl],$C53,Banco[Periodo Contable],TEXT(Q$3,"mmm-yyyy"))</f>
        <v>0</v>
      </c>
      <c r="R53" s="372">
        <f>SUMIFS(Banco[Monto],Banco[CtaCtbl],$C53,Banco[Periodo Contable],TEXT(R$3,"mmm-yyyy"))</f>
        <v>0</v>
      </c>
      <c r="S53" s="372">
        <f>SUMIFS(Banco[Monto],Banco[CtaCtbl],$C53,Banco[Periodo Contable],TEXT(S$3,"mmm-yyyy"))</f>
        <v>0</v>
      </c>
      <c r="T53" s="372">
        <f>SUMIFS(Banco[Monto],Banco[CtaCtbl],$C53,Banco[Periodo Contable],TEXT(T$3,"mmm-yyyy"))</f>
        <v>0</v>
      </c>
      <c r="U53" s="372">
        <f>SUMIFS(Banco[Monto],Banco[CtaCtbl],$C53,Banco[Periodo Contable],TEXT(U$3,"mmm-yyyy"))</f>
        <v>0</v>
      </c>
      <c r="V53" s="373">
        <f>SUM(Tabla17[[#This Row],[ene-22]:[dic-22]])</f>
        <v>0</v>
      </c>
      <c r="W53" s="372">
        <f>SUMIFS(Banco[Monto],Banco[CtaCtbl],$C53,Banco[Periodo Contable],TEXT(W$3,"mmm-yyyy"))</f>
        <v>0</v>
      </c>
      <c r="X53" s="372">
        <f>SUMIFS(Banco[Monto],Banco[CtaCtbl],$C53,Banco[Periodo Contable],TEXT(X$3,"mmm-yyyy"))</f>
        <v>0</v>
      </c>
      <c r="Y53" s="372">
        <f>SUMIFS(Banco[Monto],Banco[CtaCtbl],$C53,Banco[Periodo Contable],TEXT(Y$3,"mmm-yyyy"))</f>
        <v>0</v>
      </c>
      <c r="Z53" s="372">
        <f>SUMIFS(Banco[Monto],Banco[CtaCtbl],$C53,Banco[Periodo Contable],TEXT(Z$3,"mmm-yyyy"))</f>
        <v>0</v>
      </c>
      <c r="AA53" s="372">
        <f>SUMIFS(Banco[Monto],Banco[CtaCtbl],$C53,Banco[Periodo Contable],TEXT(AA$3,"mmm-yyyy"))</f>
        <v>0</v>
      </c>
      <c r="AB53" s="372">
        <f>SUMIFS(Banco[Monto],Banco[CtaCtbl],$C53,Banco[Periodo Contable],TEXT(AB$3,"mmm-yyyy"))</f>
        <v>0</v>
      </c>
      <c r="AC53" s="372">
        <f>SUMIFS(Banco[Monto],Banco[CtaCtbl],$C53,Banco[Periodo Contable],TEXT(AC$3,"mmm-yyyy"))</f>
        <v>0</v>
      </c>
      <c r="AD53" s="372">
        <f>SUMIFS(Banco[Monto],Banco[CtaCtbl],$C53,Banco[Periodo Contable],TEXT(AD$3,"mmm-yyyy"))</f>
        <v>0</v>
      </c>
      <c r="AE53" s="372">
        <f>SUMIFS(Banco[Monto],Banco[CtaCtbl],$C53,Banco[Periodo Contable],TEXT(AE$3,"mmm-yyyy"))</f>
        <v>0</v>
      </c>
      <c r="AF53" s="372">
        <f>SUMIFS(Banco[Monto],Banco[CtaCtbl],$C53,Banco[Periodo Contable],TEXT(AF$3,"mmm-yyyy"))</f>
        <v>0</v>
      </c>
      <c r="AG53" s="372">
        <f>SUMIFS(Banco[Monto],Banco[CtaCtbl],$C53,Banco[Periodo Contable],TEXT(AG$3,"mmm-yyyy"))</f>
        <v>0</v>
      </c>
      <c r="AH53" s="372">
        <f>SUMIFS(Banco[Monto],Banco[CtaCtbl],$C53,Banco[Periodo Contable],TEXT(AH$3,"mmm-yyyy"))</f>
        <v>0</v>
      </c>
      <c r="AI53" s="373">
        <f>SUM(Tabla17[[#This Row],[ene-23]:[dic-23]])</f>
        <v>0</v>
      </c>
      <c r="AJ53" s="372">
        <f>SUMIFS(Banco[Monto],Banco[CtaCtbl],$C53,Banco[Periodo Contable],TEXT(AJ$3,"mmm-yyyy"))</f>
        <v>0</v>
      </c>
      <c r="AK53" s="372">
        <f>SUMIFS(Banco[Monto],Banco[CtaCtbl],$C53,Banco[Periodo Contable],TEXT(AK$3,"mmm-yyyy"))</f>
        <v>0</v>
      </c>
      <c r="AL53" s="372">
        <f>SUMIFS(Banco[Monto],Banco[CtaCtbl],$C53,Banco[Periodo Contable],TEXT(AL$3,"mmm-yyyy"))</f>
        <v>0</v>
      </c>
      <c r="AM53" s="372">
        <f>SUMIFS(Banco[Monto],Banco[CtaCtbl],$C53,Banco[Periodo Contable],TEXT(AM$3,"mmm-yyyy"))</f>
        <v>0</v>
      </c>
      <c r="AN53" s="372">
        <f>SUMIFS(Banco[Monto],Banco[CtaCtbl],$C53,Banco[Periodo Contable],TEXT(AN$3,"mmm-yyyy"))</f>
        <v>0</v>
      </c>
      <c r="AO53" s="372">
        <f>SUMIFS(Banco[Monto],Banco[CtaCtbl],$C53,Banco[Periodo Contable],TEXT(AO$3,"mmm-yyyy"))</f>
        <v>0</v>
      </c>
      <c r="AP53" s="372">
        <f>SUMIFS(Banco[Monto],Banco[CtaCtbl],$C53,Banco[Periodo Contable],TEXT(AP$3,"mmm-yyyy"))</f>
        <v>0</v>
      </c>
      <c r="AQ53" s="372">
        <f>SUMIFS(Banco[Monto],Banco[CtaCtbl],$C53,Banco[Periodo Contable],TEXT(AQ$3,"mmm-yyyy"))</f>
        <v>0</v>
      </c>
      <c r="AR53" s="372">
        <f>SUMIFS(Banco[Monto],Banco[CtaCtbl],$C53,Banco[Periodo Contable],TEXT(AR$3,"mmm-yyyy"))</f>
        <v>0</v>
      </c>
      <c r="AS53" s="372">
        <f>SUMIFS(Banco[Monto],Banco[CtaCtbl],$C53,Banco[Periodo Contable],TEXT(AS$3,"mmm-yyyy"))</f>
        <v>0</v>
      </c>
      <c r="AT53" s="372">
        <f>SUMIFS(Banco[Monto],Banco[CtaCtbl],$C53,Banco[Periodo Contable],TEXT(AT$3,"mmm-yyyy"))</f>
        <v>0</v>
      </c>
      <c r="AU53" s="372">
        <f>SUMIFS(Banco[Monto],Banco[CtaCtbl],$C53,Banco[Periodo Contable],TEXT(AU$3,"mmm-yyyy"))</f>
        <v>0</v>
      </c>
      <c r="AV53" s="373">
        <f>SUM(Tabla17[[#This Row],[ene-24]:[dic-24]])</f>
        <v>0</v>
      </c>
      <c r="AW53" s="372">
        <f>SUMIFS(Banco[Monto],Banco[CtaCtbl],$C53,Banco[Periodo Contable],TEXT(AW$3,"mmm-yyyy"))</f>
        <v>0</v>
      </c>
      <c r="AX53" s="372">
        <f>SUMIFS(Banco[Monto],Banco[CtaCtbl],$C53,Banco[Periodo Contable],TEXT(AX$3,"mmm-yyyy"))</f>
        <v>0</v>
      </c>
      <c r="AY53" s="372">
        <f>SUMIFS(Banco[Monto],Banco[CtaCtbl],$C53,Banco[Periodo Contable],TEXT(AY$3,"mmm-yyyy"))</f>
        <v>0</v>
      </c>
      <c r="AZ53" s="372">
        <f>SUMIFS(Banco[Monto],Banco[CtaCtbl],$C53,Banco[Periodo Contable],TEXT(AZ$3,"mmm-yyyy"))</f>
        <v>0</v>
      </c>
      <c r="BA53" s="372">
        <f>SUMIFS(Banco[Monto],Banco[CtaCtbl],$C53,Banco[Periodo Contable],TEXT(BA$3,"mmm-yyyy"))</f>
        <v>0</v>
      </c>
      <c r="BB53" s="372">
        <f>SUMIFS(Banco[Monto],Banco[CtaCtbl],$C53,Banco[Periodo Contable],TEXT(BB$3,"mmm-yyyy"))</f>
        <v>0</v>
      </c>
      <c r="BC53" s="372">
        <f>SUMIFS(Banco[Monto],Banco[CtaCtbl],$C53,Banco[Periodo Contable],TEXT(BC$3,"mmm-yyyy"))</f>
        <v>0</v>
      </c>
      <c r="BD53" s="372">
        <f>SUMIFS(Banco[Monto],Banco[CtaCtbl],$C53,Banco[Periodo Contable],TEXT(BD$3,"mmm-yyyy"))</f>
        <v>0</v>
      </c>
      <c r="BE53" s="372">
        <f>SUMIFS(Banco[Monto],Banco[CtaCtbl],$C53,Banco[Periodo Contable],TEXT(BE$3,"mmm-yyyy"))</f>
        <v>0</v>
      </c>
      <c r="BF53" s="372">
        <f>SUMIFS(Banco[Monto],Banco[CtaCtbl],$C53,Banco[Periodo Contable],TEXT(BF$3,"mmm-yyyy"))</f>
        <v>0</v>
      </c>
      <c r="BG53" s="372">
        <f>SUMIFS(Banco[Monto],Banco[CtaCtbl],$C53,Banco[Periodo Contable],TEXT(BG$3,"mmm-yyyy"))</f>
        <v>0</v>
      </c>
      <c r="BH53" s="372">
        <f>SUMIFS(Banco[Monto],Banco[CtaCtbl],$C53,Banco[Periodo Contable],TEXT(BH$3,"mmm-yyyy"))</f>
        <v>0</v>
      </c>
      <c r="BI53" s="374">
        <f>SUM(Tabla17[[#This Row],[ene-25]:[dic-25]])</f>
        <v>0</v>
      </c>
      <c r="BJ53" s="372">
        <f>SUMIFS(Banco[Monto],Banco[CtaCtbl],$C53,Banco[Periodo Contable],TEXT(BJ$3,"mmm-yyyy"))</f>
        <v>0</v>
      </c>
      <c r="BK53" s="372">
        <f>SUMIFS(Banco[Monto],Banco[CtaCtbl],$C53,Banco[Periodo Contable],TEXT(BK$3,"mmm-yyyy"))</f>
        <v>0</v>
      </c>
      <c r="BL53" s="372">
        <f>SUMIFS(Banco[Monto],Banco[CtaCtbl],$C53,Banco[Periodo Contable],TEXT(BL$3,"mmm-yyyy"))</f>
        <v>0</v>
      </c>
      <c r="BM53" s="372">
        <f>SUMIFS(Banco[Monto],Banco[CtaCtbl],$C53,Banco[Periodo Contable],TEXT(BM$3,"mmm-yyyy"))</f>
        <v>0</v>
      </c>
      <c r="BN53" s="372">
        <f>SUMIFS(Banco[Monto],Banco[CtaCtbl],$C53,Banco[Periodo Contable],TEXT(BN$3,"mmm-yyyy"))</f>
        <v>0</v>
      </c>
      <c r="BO53" s="372">
        <f>SUMIFS(Banco[Monto],Banco[CtaCtbl],$C53,Banco[Periodo Contable],TEXT(BO$3,"mmm-yyyy"))</f>
        <v>0</v>
      </c>
      <c r="BP53" s="372">
        <f>SUMIFS(Banco[Monto],Banco[CtaCtbl],$C53,Banco[Periodo Contable],TEXT(BP$3,"mmm-yyyy"))</f>
        <v>0</v>
      </c>
      <c r="BQ53" s="372">
        <f>SUMIFS(Banco[Monto],Banco[CtaCtbl],$C53,Banco[Periodo Contable],TEXT(BQ$3,"mmm-yyyy"))</f>
        <v>0</v>
      </c>
      <c r="BR53" s="372">
        <f>SUMIFS(Banco[Monto],Banco[CtaCtbl],$C53,Banco[Periodo Contable],TEXT(BR$3,"mmm-yyyy"))</f>
        <v>0</v>
      </c>
      <c r="BS53" s="372">
        <f>SUMIFS(Banco[Monto],Banco[CtaCtbl],$C53,Banco[Periodo Contable],TEXT(BS$3,"mmm-yyyy"))</f>
        <v>0</v>
      </c>
      <c r="BT53" s="372">
        <f>SUMIFS(Banco[Monto],Banco[CtaCtbl],$C53,Banco[Periodo Contable],TEXT(BT$3,"mmm-yyyy"))</f>
        <v>0</v>
      </c>
      <c r="BU53" s="372">
        <f>SUMIFS(Banco[Monto],Banco[CtaCtbl],$C53,Banco[Periodo Contable],TEXT(BU$3,"mmm-yyyy"))</f>
        <v>0</v>
      </c>
      <c r="BV53" s="232">
        <f>SUM(Tabla17[[#This Row],[ene-26]:[dic-26]])</f>
        <v>0</v>
      </c>
      <c r="BW53" s="372">
        <f>SUMIFS(Banco[Monto],Banco[CtaCtbl],$C53,Banco[Periodo Contable],TEXT(BW$3,"mmm-yyyy"))</f>
        <v>0</v>
      </c>
    </row>
    <row r="54" spans="1:75" s="296" customFormat="1" ht="21.6" outlineLevel="4">
      <c r="A54" s="369" t="s">
        <v>336</v>
      </c>
      <c r="B54" s="235" t="s">
        <v>337</v>
      </c>
      <c r="C54" s="370" t="str">
        <f>+Tabla17[[#This Row],[Cuenta]]&amp;" - "&amp;Tabla17[[#This Row],[Descripcion Cuenta]]</f>
        <v>2.01.03.03.2.2 - Otros (Multas, Reemision, etc)</v>
      </c>
      <c r="D54" s="371"/>
      <c r="E54" s="372">
        <f>SUMIFS(Banco[Monto],Banco[CtaCtbl],$C54,Banco[Periodo Contable],TEXT(E$3,"mmm-yyyy"))</f>
        <v>0</v>
      </c>
      <c r="F54" s="372">
        <f>SUMIFS(Banco[Monto],Banco[CtaCtbl],$C54,Banco[Periodo Contable],TEXT(F$3,"mmm-yyyy"))</f>
        <v>0</v>
      </c>
      <c r="G54" s="372">
        <f>SUMIFS(Banco[Monto],Banco[CtaCtbl],$C54,Banco[Periodo Contable],TEXT(G$3,"mmm-yyyy"))</f>
        <v>0</v>
      </c>
      <c r="H54" s="372">
        <f>SUMIFS(Banco[Monto],Banco[CtaCtbl],$C54,Banco[Periodo Contable],TEXT(H$3,"mmm-yyyy"))</f>
        <v>0</v>
      </c>
      <c r="I54" s="372">
        <f>SUM(Tabla17[[#This Row],[sept-21]:[dic-21]])</f>
        <v>0</v>
      </c>
      <c r="J54" s="372">
        <f>SUMIFS(Banco[Monto],Banco[CtaCtbl],$C54,Banco[Periodo Contable],TEXT(J$3,"mmm-yyyy"))</f>
        <v>0</v>
      </c>
      <c r="K54" s="372">
        <f>SUMIFS(Banco[Monto],Banco[CtaCtbl],$C54,Banco[Periodo Contable],TEXT(K$3,"mmm-yyyy"))</f>
        <v>0</v>
      </c>
      <c r="L54" s="372">
        <f>SUMIFS(Banco[Monto],Banco[CtaCtbl],$C54,Banco[Periodo Contable],TEXT(L$3,"mmm-yyyy"))</f>
        <v>0</v>
      </c>
      <c r="M54" s="372">
        <f>SUMIFS(Banco[Monto],Banco[CtaCtbl],$C54,Banco[Periodo Contable],TEXT(M$3,"mmm-yyyy"))</f>
        <v>0</v>
      </c>
      <c r="N54" s="372">
        <f>SUMIFS(Banco[Monto],Banco[CtaCtbl],$C54,Banco[Periodo Contable],TEXT(N$3,"mmm-yyyy"))</f>
        <v>0</v>
      </c>
      <c r="O54" s="372">
        <f>SUMIFS(Banco[Monto],Banco[CtaCtbl],$C54,Banco[Periodo Contable],TEXT(O$3,"mmm-yyyy"))</f>
        <v>0</v>
      </c>
      <c r="P54" s="372">
        <f>SUMIFS(Banco[Monto],Banco[CtaCtbl],$C54,Banco[Periodo Contable],TEXT(P$3,"mmm-yyyy"))</f>
        <v>0</v>
      </c>
      <c r="Q54" s="372">
        <f>SUMIFS(Banco[Monto],Banco[CtaCtbl],$C54,Banco[Periodo Contable],TEXT(Q$3,"mmm-yyyy"))</f>
        <v>0</v>
      </c>
      <c r="R54" s="372">
        <f>SUMIFS(Banco[Monto],Banco[CtaCtbl],$C54,Banco[Periodo Contable],TEXT(R$3,"mmm-yyyy"))</f>
        <v>0</v>
      </c>
      <c r="S54" s="372">
        <f>SUMIFS(Banco[Monto],Banco[CtaCtbl],$C54,Banco[Periodo Contable],TEXT(S$3,"mmm-yyyy"))</f>
        <v>0</v>
      </c>
      <c r="T54" s="372">
        <f>SUMIFS(Banco[Monto],Banco[CtaCtbl],$C54,Banco[Periodo Contable],TEXT(T$3,"mmm-yyyy"))</f>
        <v>0</v>
      </c>
      <c r="U54" s="372">
        <f>SUMIFS(Banco[Monto],Banco[CtaCtbl],$C54,Banco[Periodo Contable],TEXT(U$3,"mmm-yyyy"))</f>
        <v>0</v>
      </c>
      <c r="V54" s="373">
        <f>SUM(Tabla17[[#This Row],[ene-22]:[dic-22]])</f>
        <v>0</v>
      </c>
      <c r="W54" s="372">
        <f>SUMIFS(Banco[Monto],Banco[CtaCtbl],$C54,Banco[Periodo Contable],TEXT(W$3,"mmm-yyyy"))</f>
        <v>0</v>
      </c>
      <c r="X54" s="372">
        <f>SUMIFS(Banco[Monto],Banco[CtaCtbl],$C54,Banco[Periodo Contable],TEXT(X$3,"mmm-yyyy"))</f>
        <v>0</v>
      </c>
      <c r="Y54" s="372">
        <f>SUMIFS(Banco[Monto],Banco[CtaCtbl],$C54,Banco[Periodo Contable],TEXT(Y$3,"mmm-yyyy"))</f>
        <v>0</v>
      </c>
      <c r="Z54" s="372">
        <f>SUMIFS(Banco[Monto],Banco[CtaCtbl],$C54,Banco[Periodo Contable],TEXT(Z$3,"mmm-yyyy"))</f>
        <v>0</v>
      </c>
      <c r="AA54" s="372">
        <f>SUMIFS(Banco[Monto],Banco[CtaCtbl],$C54,Banco[Periodo Contable],TEXT(AA$3,"mmm-yyyy"))</f>
        <v>0</v>
      </c>
      <c r="AB54" s="372">
        <f>SUMIFS(Banco[Monto],Banco[CtaCtbl],$C54,Banco[Periodo Contable],TEXT(AB$3,"mmm-yyyy"))</f>
        <v>0</v>
      </c>
      <c r="AC54" s="372">
        <f>SUMIFS(Banco[Monto],Banco[CtaCtbl],$C54,Banco[Periodo Contable],TEXT(AC$3,"mmm-yyyy"))</f>
        <v>0</v>
      </c>
      <c r="AD54" s="372">
        <f>SUMIFS(Banco[Monto],Banco[CtaCtbl],$C54,Banco[Periodo Contable],TEXT(AD$3,"mmm-yyyy"))</f>
        <v>0</v>
      </c>
      <c r="AE54" s="372">
        <f>SUMIFS(Banco[Monto],Banco[CtaCtbl],$C54,Banco[Periodo Contable],TEXT(AE$3,"mmm-yyyy"))</f>
        <v>0</v>
      </c>
      <c r="AF54" s="372">
        <f>SUMIFS(Banco[Monto],Banco[CtaCtbl],$C54,Banco[Periodo Contable],TEXT(AF$3,"mmm-yyyy"))</f>
        <v>0</v>
      </c>
      <c r="AG54" s="372">
        <f>SUMIFS(Banco[Monto],Banco[CtaCtbl],$C54,Banco[Periodo Contable],TEXT(AG$3,"mmm-yyyy"))</f>
        <v>0</v>
      </c>
      <c r="AH54" s="372">
        <f>SUMIFS(Banco[Monto],Banco[CtaCtbl],$C54,Banco[Periodo Contable],TEXT(AH$3,"mmm-yyyy"))</f>
        <v>0</v>
      </c>
      <c r="AI54" s="373">
        <f>SUM(Tabla17[[#This Row],[ene-23]:[dic-23]])</f>
        <v>0</v>
      </c>
      <c r="AJ54" s="372">
        <f>SUMIFS(Banco[Monto],Banco[CtaCtbl],$C54,Banco[Periodo Contable],TEXT(AJ$3,"mmm-yyyy"))</f>
        <v>0</v>
      </c>
      <c r="AK54" s="372">
        <f>SUMIFS(Banco[Monto],Banco[CtaCtbl],$C54,Banco[Periodo Contable],TEXT(AK$3,"mmm-yyyy"))</f>
        <v>0</v>
      </c>
      <c r="AL54" s="372">
        <f>SUMIFS(Banco[Monto],Banco[CtaCtbl],$C54,Banco[Periodo Contable],TEXT(AL$3,"mmm-yyyy"))</f>
        <v>0</v>
      </c>
      <c r="AM54" s="372">
        <f>SUMIFS(Banco[Monto],Banco[CtaCtbl],$C54,Banco[Periodo Contable],TEXT(AM$3,"mmm-yyyy"))</f>
        <v>0</v>
      </c>
      <c r="AN54" s="372">
        <f>SUMIFS(Banco[Monto],Banco[CtaCtbl],$C54,Banco[Periodo Contable],TEXT(AN$3,"mmm-yyyy"))</f>
        <v>0</v>
      </c>
      <c r="AO54" s="372">
        <f>SUMIFS(Banco[Monto],Banco[CtaCtbl],$C54,Banco[Periodo Contable],TEXT(AO$3,"mmm-yyyy"))</f>
        <v>0</v>
      </c>
      <c r="AP54" s="372">
        <f>SUMIFS(Banco[Monto],Banco[CtaCtbl],$C54,Banco[Periodo Contable],TEXT(AP$3,"mmm-yyyy"))</f>
        <v>0</v>
      </c>
      <c r="AQ54" s="372">
        <f>SUMIFS(Banco[Monto],Banco[CtaCtbl],$C54,Banco[Periodo Contable],TEXT(AQ$3,"mmm-yyyy"))</f>
        <v>0</v>
      </c>
      <c r="AR54" s="372">
        <f>SUMIFS(Banco[Monto],Banco[CtaCtbl],$C54,Banco[Periodo Contable],TEXT(AR$3,"mmm-yyyy"))</f>
        <v>0</v>
      </c>
      <c r="AS54" s="372">
        <f>SUMIFS(Banco[Monto],Banco[CtaCtbl],$C54,Banco[Periodo Contable],TEXT(AS$3,"mmm-yyyy"))</f>
        <v>0</v>
      </c>
      <c r="AT54" s="372">
        <f>SUMIFS(Banco[Monto],Banco[CtaCtbl],$C54,Banco[Periodo Contable],TEXT(AT$3,"mmm-yyyy"))</f>
        <v>0</v>
      </c>
      <c r="AU54" s="372">
        <f>SUMIFS(Banco[Monto],Banco[CtaCtbl],$C54,Banco[Periodo Contable],TEXT(AU$3,"mmm-yyyy"))</f>
        <v>0</v>
      </c>
      <c r="AV54" s="373">
        <f>SUM(Tabla17[[#This Row],[ene-24]:[dic-24]])</f>
        <v>0</v>
      </c>
      <c r="AW54" s="372">
        <f>SUMIFS(Banco[Monto],Banco[CtaCtbl],$C54,Banco[Periodo Contable],TEXT(AW$3,"mmm-yyyy"))</f>
        <v>0</v>
      </c>
      <c r="AX54" s="372">
        <f>SUMIFS(Banco[Monto],Banco[CtaCtbl],$C54,Banco[Periodo Contable],TEXT(AX$3,"mmm-yyyy"))</f>
        <v>0</v>
      </c>
      <c r="AY54" s="372">
        <f>SUMIFS(Banco[Monto],Banco[CtaCtbl],$C54,Banco[Periodo Contable],TEXT(AY$3,"mmm-yyyy"))</f>
        <v>0</v>
      </c>
      <c r="AZ54" s="372">
        <f>SUMIFS(Banco[Monto],Banco[CtaCtbl],$C54,Banco[Periodo Contable],TEXT(AZ$3,"mmm-yyyy"))</f>
        <v>0</v>
      </c>
      <c r="BA54" s="372">
        <f>SUMIFS(Banco[Monto],Banco[CtaCtbl],$C54,Banco[Periodo Contable],TEXT(BA$3,"mmm-yyyy"))</f>
        <v>0</v>
      </c>
      <c r="BB54" s="372">
        <f>SUMIFS(Banco[Monto],Banco[CtaCtbl],$C54,Banco[Periodo Contable],TEXT(BB$3,"mmm-yyyy"))</f>
        <v>0</v>
      </c>
      <c r="BC54" s="372">
        <f>SUMIFS(Banco[Monto],Banco[CtaCtbl],$C54,Banco[Periodo Contable],TEXT(BC$3,"mmm-yyyy"))</f>
        <v>0</v>
      </c>
      <c r="BD54" s="372">
        <f>SUMIFS(Banco[Monto],Banco[CtaCtbl],$C54,Banco[Periodo Contable],TEXT(BD$3,"mmm-yyyy"))</f>
        <v>0</v>
      </c>
      <c r="BE54" s="372">
        <f>SUMIFS(Banco[Monto],Banco[CtaCtbl],$C54,Banco[Periodo Contable],TEXT(BE$3,"mmm-yyyy"))</f>
        <v>0</v>
      </c>
      <c r="BF54" s="372">
        <f>SUMIFS(Banco[Monto],Banco[CtaCtbl],$C54,Banco[Periodo Contable],TEXT(BF$3,"mmm-yyyy"))</f>
        <v>0</v>
      </c>
      <c r="BG54" s="372">
        <f>SUMIFS(Banco[Monto],Banco[CtaCtbl],$C54,Banco[Periodo Contable],TEXT(BG$3,"mmm-yyyy"))</f>
        <v>0</v>
      </c>
      <c r="BH54" s="372">
        <f>SUMIFS(Banco[Monto],Banco[CtaCtbl],$C54,Banco[Periodo Contable],TEXT(BH$3,"mmm-yyyy"))</f>
        <v>0</v>
      </c>
      <c r="BI54" s="374">
        <f>SUM(Tabla17[[#This Row],[ene-25]:[dic-25]])</f>
        <v>0</v>
      </c>
      <c r="BJ54" s="372">
        <f>SUMIFS(Banco[Monto],Banco[CtaCtbl],$C54,Banco[Periodo Contable],TEXT(BJ$3,"mmm-yyyy"))</f>
        <v>0</v>
      </c>
      <c r="BK54" s="372">
        <f>SUMIFS(Banco[Monto],Banco[CtaCtbl],$C54,Banco[Periodo Contable],TEXT(BK$3,"mmm-yyyy"))</f>
        <v>0</v>
      </c>
      <c r="BL54" s="372">
        <f>SUMIFS(Banco[Monto],Banco[CtaCtbl],$C54,Banco[Periodo Contable],TEXT(BL$3,"mmm-yyyy"))</f>
        <v>0</v>
      </c>
      <c r="BM54" s="372">
        <f>SUMIFS(Banco[Monto],Banco[CtaCtbl],$C54,Banco[Periodo Contable],TEXT(BM$3,"mmm-yyyy"))</f>
        <v>0</v>
      </c>
      <c r="BN54" s="372">
        <f>SUMIFS(Banco[Monto],Banco[CtaCtbl],$C54,Banco[Periodo Contable],TEXT(BN$3,"mmm-yyyy"))</f>
        <v>0</v>
      </c>
      <c r="BO54" s="372">
        <f>SUMIFS(Banco[Monto],Banco[CtaCtbl],$C54,Banco[Periodo Contable],TEXT(BO$3,"mmm-yyyy"))</f>
        <v>0</v>
      </c>
      <c r="BP54" s="372">
        <f>SUMIFS(Banco[Monto],Banco[CtaCtbl],$C54,Banco[Periodo Contable],TEXT(BP$3,"mmm-yyyy"))</f>
        <v>0</v>
      </c>
      <c r="BQ54" s="372">
        <f>SUMIFS(Banco[Monto],Banco[CtaCtbl],$C54,Banco[Periodo Contable],TEXT(BQ$3,"mmm-yyyy"))</f>
        <v>0</v>
      </c>
      <c r="BR54" s="372">
        <f>SUMIFS(Banco[Monto],Banco[CtaCtbl],$C54,Banco[Periodo Contable],TEXT(BR$3,"mmm-yyyy"))</f>
        <v>0</v>
      </c>
      <c r="BS54" s="372">
        <f>SUMIFS(Banco[Monto],Banco[CtaCtbl],$C54,Banco[Periodo Contable],TEXT(BS$3,"mmm-yyyy"))</f>
        <v>0</v>
      </c>
      <c r="BT54" s="372">
        <f>SUMIFS(Banco[Monto],Banco[CtaCtbl],$C54,Banco[Periodo Contable],TEXT(BT$3,"mmm-yyyy"))</f>
        <v>0</v>
      </c>
      <c r="BU54" s="372">
        <f>SUMIFS(Banco[Monto],Banco[CtaCtbl],$C54,Banco[Periodo Contable],TEXT(BU$3,"mmm-yyyy"))</f>
        <v>0</v>
      </c>
      <c r="BV54" s="232">
        <f>SUM(Tabla17[[#This Row],[ene-26]:[dic-26]])</f>
        <v>0</v>
      </c>
      <c r="BW54" s="372">
        <f>SUMIFS(Banco[Monto],Banco[CtaCtbl],$C54,Banco[Periodo Contable],TEXT(BW$3,"mmm-yyyy"))</f>
        <v>0</v>
      </c>
    </row>
    <row r="55" spans="1:75" s="296" customFormat="1" ht="21.6" outlineLevel="4">
      <c r="A55" s="369" t="s">
        <v>338</v>
      </c>
      <c r="B55" s="235" t="s">
        <v>339</v>
      </c>
      <c r="C55" s="370" t="str">
        <f>+Tabla17[[#This Row],[Cuenta]]&amp;" - "&amp;Tabla17[[#This Row],[Descripcion Cuenta]]</f>
        <v>2.01.03.03.2.3 - Sobre Equipaje</v>
      </c>
      <c r="D55" s="371"/>
      <c r="E55" s="372">
        <f>SUMIFS(Banco[Monto],Banco[CtaCtbl],$C55,Banco[Periodo Contable],TEXT(E$3,"mmm-yyyy"))</f>
        <v>0</v>
      </c>
      <c r="F55" s="372">
        <f>SUMIFS(Banco[Monto],Banco[CtaCtbl],$C55,Banco[Periodo Contable],TEXT(F$3,"mmm-yyyy"))</f>
        <v>0</v>
      </c>
      <c r="G55" s="372">
        <f>SUMIFS(Banco[Monto],Banco[CtaCtbl],$C55,Banco[Periodo Contable],TEXT(G$3,"mmm-yyyy"))</f>
        <v>0</v>
      </c>
      <c r="H55" s="372">
        <f>SUMIFS(Banco[Monto],Banco[CtaCtbl],$C55,Banco[Periodo Contable],TEXT(H$3,"mmm-yyyy"))</f>
        <v>0</v>
      </c>
      <c r="I55" s="372">
        <f>SUM(Tabla17[[#This Row],[sept-21]:[dic-21]])</f>
        <v>0</v>
      </c>
      <c r="J55" s="372">
        <f>SUMIFS(Banco[Monto],Banco[CtaCtbl],$C55,Banco[Periodo Contable],TEXT(J$3,"mmm-yyyy"))</f>
        <v>0</v>
      </c>
      <c r="K55" s="372">
        <f>SUMIFS(Banco[Monto],Banco[CtaCtbl],$C55,Banco[Periodo Contable],TEXT(K$3,"mmm-yyyy"))</f>
        <v>0</v>
      </c>
      <c r="L55" s="372">
        <f>SUMIFS(Banco[Monto],Banco[CtaCtbl],$C55,Banco[Periodo Contable],TEXT(L$3,"mmm-yyyy"))</f>
        <v>0</v>
      </c>
      <c r="M55" s="372">
        <f>SUMIFS(Banco[Monto],Banco[CtaCtbl],$C55,Banco[Periodo Contable],TEXT(M$3,"mmm-yyyy"))</f>
        <v>0</v>
      </c>
      <c r="N55" s="372">
        <f>SUMIFS(Banco[Monto],Banco[CtaCtbl],$C55,Banco[Periodo Contable],TEXT(N$3,"mmm-yyyy"))</f>
        <v>0</v>
      </c>
      <c r="O55" s="372">
        <f>SUMIFS(Banco[Monto],Banco[CtaCtbl],$C55,Banco[Periodo Contable],TEXT(O$3,"mmm-yyyy"))</f>
        <v>0</v>
      </c>
      <c r="P55" s="372">
        <f>SUMIFS(Banco[Monto],Banco[CtaCtbl],$C55,Banco[Periodo Contable],TEXT(P$3,"mmm-yyyy"))</f>
        <v>0</v>
      </c>
      <c r="Q55" s="372">
        <f>SUMIFS(Banco[Monto],Banco[CtaCtbl],$C55,Banco[Periodo Contable],TEXT(Q$3,"mmm-yyyy"))</f>
        <v>0</v>
      </c>
      <c r="R55" s="372">
        <f>SUMIFS(Banco[Monto],Banco[CtaCtbl],$C55,Banco[Periodo Contable],TEXT(R$3,"mmm-yyyy"))</f>
        <v>0</v>
      </c>
      <c r="S55" s="372">
        <f>SUMIFS(Banco[Monto],Banco[CtaCtbl],$C55,Banco[Periodo Contable],TEXT(S$3,"mmm-yyyy"))</f>
        <v>0</v>
      </c>
      <c r="T55" s="372">
        <f>SUMIFS(Banco[Monto],Banco[CtaCtbl],$C55,Banco[Periodo Contable],TEXT(T$3,"mmm-yyyy"))</f>
        <v>0</v>
      </c>
      <c r="U55" s="372">
        <f>SUMIFS(Banco[Monto],Banco[CtaCtbl],$C55,Banco[Periodo Contable],TEXT(U$3,"mmm-yyyy"))</f>
        <v>0</v>
      </c>
      <c r="V55" s="373">
        <f>SUM(Tabla17[[#This Row],[ene-22]:[dic-22]])</f>
        <v>0</v>
      </c>
      <c r="W55" s="372">
        <f>SUMIFS(Banco[Monto],Banco[CtaCtbl],$C55,Banco[Periodo Contable],TEXT(W$3,"mmm-yyyy"))</f>
        <v>0</v>
      </c>
      <c r="X55" s="372">
        <f>SUMIFS(Banco[Monto],Banco[CtaCtbl],$C55,Banco[Periodo Contable],TEXT(X$3,"mmm-yyyy"))</f>
        <v>0</v>
      </c>
      <c r="Y55" s="372">
        <f>SUMIFS(Banco[Monto],Banco[CtaCtbl],$C55,Banco[Periodo Contable],TEXT(Y$3,"mmm-yyyy"))</f>
        <v>0</v>
      </c>
      <c r="Z55" s="372">
        <f>SUMIFS(Banco[Monto],Banco[CtaCtbl],$C55,Banco[Periodo Contable],TEXT(Z$3,"mmm-yyyy"))</f>
        <v>0</v>
      </c>
      <c r="AA55" s="372">
        <f>SUMIFS(Banco[Monto],Banco[CtaCtbl],$C55,Banco[Periodo Contable],TEXT(AA$3,"mmm-yyyy"))</f>
        <v>0</v>
      </c>
      <c r="AB55" s="372">
        <f>SUMIFS(Banco[Monto],Banco[CtaCtbl],$C55,Banco[Periodo Contable],TEXT(AB$3,"mmm-yyyy"))</f>
        <v>0</v>
      </c>
      <c r="AC55" s="372">
        <f>SUMIFS(Banco[Monto],Banco[CtaCtbl],$C55,Banco[Periodo Contable],TEXT(AC$3,"mmm-yyyy"))</f>
        <v>0</v>
      </c>
      <c r="AD55" s="372">
        <f>SUMIFS(Banco[Monto],Banco[CtaCtbl],$C55,Banco[Periodo Contable],TEXT(AD$3,"mmm-yyyy"))</f>
        <v>0</v>
      </c>
      <c r="AE55" s="372">
        <f>SUMIFS(Banco[Monto],Banco[CtaCtbl],$C55,Banco[Periodo Contable],TEXT(AE$3,"mmm-yyyy"))</f>
        <v>0</v>
      </c>
      <c r="AF55" s="372">
        <f>SUMIFS(Banco[Monto],Banco[CtaCtbl],$C55,Banco[Periodo Contable],TEXT(AF$3,"mmm-yyyy"))</f>
        <v>0</v>
      </c>
      <c r="AG55" s="372">
        <f>SUMIFS(Banco[Monto],Banco[CtaCtbl],$C55,Banco[Periodo Contable],TEXT(AG$3,"mmm-yyyy"))</f>
        <v>0</v>
      </c>
      <c r="AH55" s="372">
        <f>SUMIFS(Banco[Monto],Banco[CtaCtbl],$C55,Banco[Periodo Contable],TEXT(AH$3,"mmm-yyyy"))</f>
        <v>0</v>
      </c>
      <c r="AI55" s="373">
        <f>SUM(Tabla17[[#This Row],[ene-23]:[dic-23]])</f>
        <v>0</v>
      </c>
      <c r="AJ55" s="372">
        <f>SUMIFS(Banco[Monto],Banco[CtaCtbl],$C55,Banco[Periodo Contable],TEXT(AJ$3,"mmm-yyyy"))</f>
        <v>0</v>
      </c>
      <c r="AK55" s="372">
        <f>SUMIFS(Banco[Monto],Banco[CtaCtbl],$C55,Banco[Periodo Contable],TEXT(AK$3,"mmm-yyyy"))</f>
        <v>0</v>
      </c>
      <c r="AL55" s="372">
        <f>SUMIFS(Banco[Monto],Banco[CtaCtbl],$C55,Banco[Periodo Contable],TEXT(AL$3,"mmm-yyyy"))</f>
        <v>0</v>
      </c>
      <c r="AM55" s="372">
        <f>SUMIFS(Banco[Monto],Banco[CtaCtbl],$C55,Banco[Periodo Contable],TEXT(AM$3,"mmm-yyyy"))</f>
        <v>0</v>
      </c>
      <c r="AN55" s="372">
        <f>SUMIFS(Banco[Monto],Banco[CtaCtbl],$C55,Banco[Periodo Contable],TEXT(AN$3,"mmm-yyyy"))</f>
        <v>0</v>
      </c>
      <c r="AO55" s="372">
        <f>SUMIFS(Banco[Monto],Banco[CtaCtbl],$C55,Banco[Periodo Contable],TEXT(AO$3,"mmm-yyyy"))</f>
        <v>0</v>
      </c>
      <c r="AP55" s="372">
        <f>SUMIFS(Banco[Monto],Banco[CtaCtbl],$C55,Banco[Periodo Contable],TEXT(AP$3,"mmm-yyyy"))</f>
        <v>0</v>
      </c>
      <c r="AQ55" s="372">
        <f>SUMIFS(Banco[Monto],Banco[CtaCtbl],$C55,Banco[Periodo Contable],TEXT(AQ$3,"mmm-yyyy"))</f>
        <v>0</v>
      </c>
      <c r="AR55" s="372">
        <f>SUMIFS(Banco[Monto],Banco[CtaCtbl],$C55,Banco[Periodo Contable],TEXT(AR$3,"mmm-yyyy"))</f>
        <v>0</v>
      </c>
      <c r="AS55" s="372">
        <f>SUMIFS(Banco[Monto],Banco[CtaCtbl],$C55,Banco[Periodo Contable],TEXT(AS$3,"mmm-yyyy"))</f>
        <v>0</v>
      </c>
      <c r="AT55" s="372">
        <f>SUMIFS(Banco[Monto],Banco[CtaCtbl],$C55,Banco[Periodo Contable],TEXT(AT$3,"mmm-yyyy"))</f>
        <v>0</v>
      </c>
      <c r="AU55" s="372">
        <f>SUMIFS(Banco[Monto],Banco[CtaCtbl],$C55,Banco[Periodo Contable],TEXT(AU$3,"mmm-yyyy"))</f>
        <v>0</v>
      </c>
      <c r="AV55" s="373">
        <f>SUM(Tabla17[[#This Row],[ene-24]:[dic-24]])</f>
        <v>0</v>
      </c>
      <c r="AW55" s="372">
        <f>SUMIFS(Banco[Monto],Banco[CtaCtbl],$C55,Banco[Periodo Contable],TEXT(AW$3,"mmm-yyyy"))</f>
        <v>0</v>
      </c>
      <c r="AX55" s="372">
        <f>SUMIFS(Banco[Monto],Banco[CtaCtbl],$C55,Banco[Periodo Contable],TEXT(AX$3,"mmm-yyyy"))</f>
        <v>0</v>
      </c>
      <c r="AY55" s="372">
        <f>SUMIFS(Banco[Monto],Banco[CtaCtbl],$C55,Banco[Periodo Contable],TEXT(AY$3,"mmm-yyyy"))</f>
        <v>0</v>
      </c>
      <c r="AZ55" s="372">
        <f>SUMIFS(Banco[Monto],Banco[CtaCtbl],$C55,Banco[Periodo Contable],TEXT(AZ$3,"mmm-yyyy"))</f>
        <v>0</v>
      </c>
      <c r="BA55" s="372">
        <f>SUMIFS(Banco[Monto],Banco[CtaCtbl],$C55,Banco[Periodo Contable],TEXT(BA$3,"mmm-yyyy"))</f>
        <v>0</v>
      </c>
      <c r="BB55" s="372">
        <f>SUMIFS(Banco[Monto],Banco[CtaCtbl],$C55,Banco[Periodo Contable],TEXT(BB$3,"mmm-yyyy"))</f>
        <v>0</v>
      </c>
      <c r="BC55" s="372">
        <f>SUMIFS(Banco[Monto],Banco[CtaCtbl],$C55,Banco[Periodo Contable],TEXT(BC$3,"mmm-yyyy"))</f>
        <v>0</v>
      </c>
      <c r="BD55" s="372">
        <f>SUMIFS(Banco[Monto],Banco[CtaCtbl],$C55,Banco[Periodo Contable],TEXT(BD$3,"mmm-yyyy"))</f>
        <v>0</v>
      </c>
      <c r="BE55" s="372">
        <f>SUMIFS(Banco[Monto],Banco[CtaCtbl],$C55,Banco[Periodo Contable],TEXT(BE$3,"mmm-yyyy"))</f>
        <v>0</v>
      </c>
      <c r="BF55" s="372">
        <f>SUMIFS(Banco[Monto],Banco[CtaCtbl],$C55,Banco[Periodo Contable],TEXT(BF$3,"mmm-yyyy"))</f>
        <v>0</v>
      </c>
      <c r="BG55" s="372">
        <f>SUMIFS(Banco[Monto],Banco[CtaCtbl],$C55,Banco[Periodo Contable],TEXT(BG$3,"mmm-yyyy"))</f>
        <v>0</v>
      </c>
      <c r="BH55" s="372">
        <f>SUMIFS(Banco[Monto],Banco[CtaCtbl],$C55,Banco[Periodo Contable],TEXT(BH$3,"mmm-yyyy"))</f>
        <v>0</v>
      </c>
      <c r="BI55" s="374">
        <f>SUM(Tabla17[[#This Row],[ene-25]:[dic-25]])</f>
        <v>0</v>
      </c>
      <c r="BJ55" s="372">
        <f>SUMIFS(Banco[Monto],Banco[CtaCtbl],$C55,Banco[Periodo Contable],TEXT(BJ$3,"mmm-yyyy"))</f>
        <v>0</v>
      </c>
      <c r="BK55" s="372">
        <f>SUMIFS(Banco[Monto],Banco[CtaCtbl],$C55,Banco[Periodo Contable],TEXT(BK$3,"mmm-yyyy"))</f>
        <v>0</v>
      </c>
      <c r="BL55" s="372">
        <f>SUMIFS(Banco[Monto],Banco[CtaCtbl],$C55,Banco[Periodo Contable],TEXT(BL$3,"mmm-yyyy"))</f>
        <v>0</v>
      </c>
      <c r="BM55" s="372">
        <f>SUMIFS(Banco[Monto],Banco[CtaCtbl],$C55,Banco[Periodo Contable],TEXT(BM$3,"mmm-yyyy"))</f>
        <v>0</v>
      </c>
      <c r="BN55" s="372">
        <f>SUMIFS(Banco[Monto],Banco[CtaCtbl],$C55,Banco[Periodo Contable],TEXT(BN$3,"mmm-yyyy"))</f>
        <v>0</v>
      </c>
      <c r="BO55" s="372">
        <f>SUMIFS(Banco[Monto],Banco[CtaCtbl],$C55,Banco[Periodo Contable],TEXT(BO$3,"mmm-yyyy"))</f>
        <v>0</v>
      </c>
      <c r="BP55" s="372">
        <f>SUMIFS(Banco[Monto],Banco[CtaCtbl],$C55,Banco[Periodo Contable],TEXT(BP$3,"mmm-yyyy"))</f>
        <v>0</v>
      </c>
      <c r="BQ55" s="372">
        <f>SUMIFS(Banco[Monto],Banco[CtaCtbl],$C55,Banco[Periodo Contable],TEXT(BQ$3,"mmm-yyyy"))</f>
        <v>0</v>
      </c>
      <c r="BR55" s="372">
        <f>SUMIFS(Banco[Monto],Banco[CtaCtbl],$C55,Banco[Periodo Contable],TEXT(BR$3,"mmm-yyyy"))</f>
        <v>0</v>
      </c>
      <c r="BS55" s="372">
        <f>SUMIFS(Banco[Monto],Banco[CtaCtbl],$C55,Banco[Periodo Contable],TEXT(BS$3,"mmm-yyyy"))</f>
        <v>0</v>
      </c>
      <c r="BT55" s="372">
        <f>SUMIFS(Banco[Monto],Banco[CtaCtbl],$C55,Banco[Periodo Contable],TEXT(BT$3,"mmm-yyyy"))</f>
        <v>0</v>
      </c>
      <c r="BU55" s="372">
        <f>SUMIFS(Banco[Monto],Banco[CtaCtbl],$C55,Banco[Periodo Contable],TEXT(BU$3,"mmm-yyyy"))</f>
        <v>0</v>
      </c>
      <c r="BV55" s="232">
        <f>SUM(Tabla17[[#This Row],[ene-26]:[dic-26]])</f>
        <v>0</v>
      </c>
      <c r="BW55" s="372">
        <f>SUMIFS(Banco[Monto],Banco[CtaCtbl],$C55,Banco[Periodo Contable],TEXT(BW$3,"mmm-yyyy"))</f>
        <v>0</v>
      </c>
    </row>
    <row r="56" spans="1:75" s="296" customFormat="1" ht="21.6" outlineLevel="4">
      <c r="A56" s="369" t="s">
        <v>340</v>
      </c>
      <c r="B56" s="235"/>
      <c r="C56" s="370" t="str">
        <f>+Tabla17[[#This Row],[Cuenta]]&amp;" - "&amp;Tabla17[[#This Row],[Descripcion Cuenta]]</f>
        <v xml:space="preserve">2.01.03.03.2.4 - </v>
      </c>
      <c r="D56" s="371"/>
      <c r="E56" s="372">
        <f>SUMIFS(Banco[Monto],Banco[CtaCtbl],$C56,Banco[Periodo Contable],TEXT(E$3,"mmm-yyyy"))</f>
        <v>0</v>
      </c>
      <c r="F56" s="372">
        <f>SUMIFS(Banco[Monto],Banco[CtaCtbl],$C56,Banco[Periodo Contable],TEXT(F$3,"mmm-yyyy"))</f>
        <v>0</v>
      </c>
      <c r="G56" s="372">
        <f>SUMIFS(Banco[Monto],Banco[CtaCtbl],$C56,Banco[Periodo Contable],TEXT(G$3,"mmm-yyyy"))</f>
        <v>0</v>
      </c>
      <c r="H56" s="372">
        <f>SUMIFS(Banco[Monto],Banco[CtaCtbl],$C56,Banco[Periodo Contable],TEXT(H$3,"mmm-yyyy"))</f>
        <v>0</v>
      </c>
      <c r="I56" s="372">
        <f>SUM(Tabla17[[#This Row],[sept-21]:[dic-21]])</f>
        <v>0</v>
      </c>
      <c r="J56" s="372">
        <f>SUMIFS(Banco[Monto],Banco[CtaCtbl],$C56,Banco[Periodo Contable],TEXT(J$3,"mmm-yyyy"))</f>
        <v>0</v>
      </c>
      <c r="K56" s="372">
        <f>SUMIFS(Banco[Monto],Banco[CtaCtbl],$C56,Banco[Periodo Contable],TEXT(K$3,"mmm-yyyy"))</f>
        <v>0</v>
      </c>
      <c r="L56" s="372">
        <f>SUMIFS(Banco[Monto],Banco[CtaCtbl],$C56,Banco[Periodo Contable],TEXT(L$3,"mmm-yyyy"))</f>
        <v>0</v>
      </c>
      <c r="M56" s="372">
        <f>SUMIFS(Banco[Monto],Banco[CtaCtbl],$C56,Banco[Periodo Contable],TEXT(M$3,"mmm-yyyy"))</f>
        <v>0</v>
      </c>
      <c r="N56" s="372">
        <f>SUMIFS(Banco[Monto],Banco[CtaCtbl],$C56,Banco[Periodo Contable],TEXT(N$3,"mmm-yyyy"))</f>
        <v>0</v>
      </c>
      <c r="O56" s="372">
        <f>SUMIFS(Banco[Monto],Banco[CtaCtbl],$C56,Banco[Periodo Contable],TEXT(O$3,"mmm-yyyy"))</f>
        <v>0</v>
      </c>
      <c r="P56" s="372">
        <f>SUMIFS(Banco[Monto],Banco[CtaCtbl],$C56,Banco[Periodo Contable],TEXT(P$3,"mmm-yyyy"))</f>
        <v>0</v>
      </c>
      <c r="Q56" s="372">
        <f>SUMIFS(Banco[Monto],Banco[CtaCtbl],$C56,Banco[Periodo Contable],TEXT(Q$3,"mmm-yyyy"))</f>
        <v>0</v>
      </c>
      <c r="R56" s="372">
        <f>SUMIFS(Banco[Monto],Banco[CtaCtbl],$C56,Banco[Periodo Contable],TEXT(R$3,"mmm-yyyy"))</f>
        <v>0</v>
      </c>
      <c r="S56" s="372">
        <f>SUMIFS(Banco[Monto],Banco[CtaCtbl],$C56,Banco[Periodo Contable],TEXT(S$3,"mmm-yyyy"))</f>
        <v>0</v>
      </c>
      <c r="T56" s="372">
        <f>SUMIFS(Banco[Monto],Banco[CtaCtbl],$C56,Banco[Periodo Contable],TEXT(T$3,"mmm-yyyy"))</f>
        <v>0</v>
      </c>
      <c r="U56" s="372">
        <f>SUMIFS(Banco[Monto],Banco[CtaCtbl],$C56,Banco[Periodo Contable],TEXT(U$3,"mmm-yyyy"))</f>
        <v>0</v>
      </c>
      <c r="V56" s="373">
        <f>SUM(Tabla17[[#This Row],[ene-22]:[dic-22]])</f>
        <v>0</v>
      </c>
      <c r="W56" s="372">
        <f>SUMIFS(Banco[Monto],Banco[CtaCtbl],$C56,Banco[Periodo Contable],TEXT(W$3,"mmm-yyyy"))</f>
        <v>0</v>
      </c>
      <c r="X56" s="372">
        <f>SUMIFS(Banco[Monto],Banco[CtaCtbl],$C56,Banco[Periodo Contable],TEXT(X$3,"mmm-yyyy"))</f>
        <v>0</v>
      </c>
      <c r="Y56" s="372">
        <f>SUMIFS(Banco[Monto],Banco[CtaCtbl],$C56,Banco[Periodo Contable],TEXT(Y$3,"mmm-yyyy"))</f>
        <v>0</v>
      </c>
      <c r="Z56" s="372">
        <f>SUMIFS(Banco[Monto],Banco[CtaCtbl],$C56,Banco[Periodo Contable],TEXT(Z$3,"mmm-yyyy"))</f>
        <v>0</v>
      </c>
      <c r="AA56" s="372">
        <f>SUMIFS(Banco[Monto],Banco[CtaCtbl],$C56,Banco[Periodo Contable],TEXT(AA$3,"mmm-yyyy"))</f>
        <v>0</v>
      </c>
      <c r="AB56" s="372">
        <f>SUMIFS(Banco[Monto],Banco[CtaCtbl],$C56,Banco[Periodo Contable],TEXT(AB$3,"mmm-yyyy"))</f>
        <v>0</v>
      </c>
      <c r="AC56" s="372">
        <f>SUMIFS(Banco[Monto],Banco[CtaCtbl],$C56,Banco[Periodo Contable],TEXT(AC$3,"mmm-yyyy"))</f>
        <v>0</v>
      </c>
      <c r="AD56" s="372">
        <f>SUMIFS(Banco[Monto],Banco[CtaCtbl],$C56,Banco[Periodo Contable],TEXT(AD$3,"mmm-yyyy"))</f>
        <v>0</v>
      </c>
      <c r="AE56" s="372">
        <f>SUMIFS(Banco[Monto],Banco[CtaCtbl],$C56,Banco[Periodo Contable],TEXT(AE$3,"mmm-yyyy"))</f>
        <v>0</v>
      </c>
      <c r="AF56" s="372">
        <f>SUMIFS(Banco[Monto],Banco[CtaCtbl],$C56,Banco[Periodo Contable],TEXT(AF$3,"mmm-yyyy"))</f>
        <v>0</v>
      </c>
      <c r="AG56" s="372">
        <f>SUMIFS(Banco[Monto],Banco[CtaCtbl],$C56,Banco[Periodo Contable],TEXT(AG$3,"mmm-yyyy"))</f>
        <v>0</v>
      </c>
      <c r="AH56" s="372">
        <f>SUMIFS(Banco[Monto],Banco[CtaCtbl],$C56,Banco[Periodo Contable],TEXT(AH$3,"mmm-yyyy"))</f>
        <v>0</v>
      </c>
      <c r="AI56" s="373">
        <f>SUM(Tabla17[[#This Row],[ene-23]:[dic-23]])</f>
        <v>0</v>
      </c>
      <c r="AJ56" s="372">
        <f>SUMIFS(Banco[Monto],Banco[CtaCtbl],$C56,Banco[Periodo Contable],TEXT(AJ$3,"mmm-yyyy"))</f>
        <v>0</v>
      </c>
      <c r="AK56" s="372">
        <f>SUMIFS(Banco[Monto],Banco[CtaCtbl],$C56,Banco[Periodo Contable],TEXT(AK$3,"mmm-yyyy"))</f>
        <v>0</v>
      </c>
      <c r="AL56" s="372">
        <f>SUMIFS(Banco[Monto],Banco[CtaCtbl],$C56,Banco[Periodo Contable],TEXT(AL$3,"mmm-yyyy"))</f>
        <v>0</v>
      </c>
      <c r="AM56" s="372">
        <f>SUMIFS(Banco[Monto],Banco[CtaCtbl],$C56,Banco[Periodo Contable],TEXT(AM$3,"mmm-yyyy"))</f>
        <v>0</v>
      </c>
      <c r="AN56" s="372">
        <f>SUMIFS(Banco[Monto],Banco[CtaCtbl],$C56,Banco[Periodo Contable],TEXT(AN$3,"mmm-yyyy"))</f>
        <v>0</v>
      </c>
      <c r="AO56" s="372">
        <f>SUMIFS(Banco[Monto],Banco[CtaCtbl],$C56,Banco[Periodo Contable],TEXT(AO$3,"mmm-yyyy"))</f>
        <v>0</v>
      </c>
      <c r="AP56" s="372">
        <f>SUMIFS(Banco[Monto],Banco[CtaCtbl],$C56,Banco[Periodo Contable],TEXT(AP$3,"mmm-yyyy"))</f>
        <v>0</v>
      </c>
      <c r="AQ56" s="372">
        <f>SUMIFS(Banco[Monto],Banco[CtaCtbl],$C56,Banco[Periodo Contable],TEXT(AQ$3,"mmm-yyyy"))</f>
        <v>0</v>
      </c>
      <c r="AR56" s="372">
        <f>SUMIFS(Banco[Monto],Banco[CtaCtbl],$C56,Banco[Periodo Contable],TEXT(AR$3,"mmm-yyyy"))</f>
        <v>0</v>
      </c>
      <c r="AS56" s="372">
        <f>SUMIFS(Banco[Monto],Banco[CtaCtbl],$C56,Banco[Periodo Contable],TEXT(AS$3,"mmm-yyyy"))</f>
        <v>0</v>
      </c>
      <c r="AT56" s="372">
        <f>SUMIFS(Banco[Monto],Banco[CtaCtbl],$C56,Banco[Periodo Contable],TEXT(AT$3,"mmm-yyyy"))</f>
        <v>0</v>
      </c>
      <c r="AU56" s="372">
        <f>SUMIFS(Banco[Monto],Banco[CtaCtbl],$C56,Banco[Periodo Contable],TEXT(AU$3,"mmm-yyyy"))</f>
        <v>0</v>
      </c>
      <c r="AV56" s="373">
        <f>SUM(Tabla17[[#This Row],[ene-24]:[dic-24]])</f>
        <v>0</v>
      </c>
      <c r="AW56" s="372">
        <f>SUMIFS(Banco[Monto],Banco[CtaCtbl],$C56,Banco[Periodo Contable],TEXT(AW$3,"mmm-yyyy"))</f>
        <v>0</v>
      </c>
      <c r="AX56" s="372">
        <f>SUMIFS(Banco[Monto],Banco[CtaCtbl],$C56,Banco[Periodo Contable],TEXT(AX$3,"mmm-yyyy"))</f>
        <v>0</v>
      </c>
      <c r="AY56" s="372">
        <f>SUMIFS(Banco[Monto],Banco[CtaCtbl],$C56,Banco[Periodo Contable],TEXT(AY$3,"mmm-yyyy"))</f>
        <v>0</v>
      </c>
      <c r="AZ56" s="372">
        <f>SUMIFS(Banco[Monto],Banco[CtaCtbl],$C56,Banco[Periodo Contable],TEXT(AZ$3,"mmm-yyyy"))</f>
        <v>0</v>
      </c>
      <c r="BA56" s="372">
        <f>SUMIFS(Banco[Monto],Banco[CtaCtbl],$C56,Banco[Periodo Contable],TEXT(BA$3,"mmm-yyyy"))</f>
        <v>0</v>
      </c>
      <c r="BB56" s="372">
        <f>SUMIFS(Banco[Monto],Banco[CtaCtbl],$C56,Banco[Periodo Contable],TEXT(BB$3,"mmm-yyyy"))</f>
        <v>0</v>
      </c>
      <c r="BC56" s="372">
        <f>SUMIFS(Banco[Monto],Banco[CtaCtbl],$C56,Banco[Periodo Contable],TEXT(BC$3,"mmm-yyyy"))</f>
        <v>0</v>
      </c>
      <c r="BD56" s="372">
        <f>SUMIFS(Banco[Monto],Banco[CtaCtbl],$C56,Banco[Periodo Contable],TEXT(BD$3,"mmm-yyyy"))</f>
        <v>0</v>
      </c>
      <c r="BE56" s="372">
        <f>SUMIFS(Banco[Monto],Banco[CtaCtbl],$C56,Banco[Periodo Contable],TEXT(BE$3,"mmm-yyyy"))</f>
        <v>0</v>
      </c>
      <c r="BF56" s="372">
        <f>SUMIFS(Banco[Monto],Banco[CtaCtbl],$C56,Banco[Periodo Contable],TEXT(BF$3,"mmm-yyyy"))</f>
        <v>0</v>
      </c>
      <c r="BG56" s="372">
        <f>SUMIFS(Banco[Monto],Banco[CtaCtbl],$C56,Banco[Periodo Contable],TEXT(BG$3,"mmm-yyyy"))</f>
        <v>0</v>
      </c>
      <c r="BH56" s="372">
        <f>SUMIFS(Banco[Monto],Banco[CtaCtbl],$C56,Banco[Periodo Contable],TEXT(BH$3,"mmm-yyyy"))</f>
        <v>0</v>
      </c>
      <c r="BI56" s="374">
        <f>SUM(Tabla17[[#This Row],[ene-25]:[dic-25]])</f>
        <v>0</v>
      </c>
      <c r="BJ56" s="372">
        <f>SUMIFS(Banco[Monto],Banco[CtaCtbl],$C56,Banco[Periodo Contable],TEXT(BJ$3,"mmm-yyyy"))</f>
        <v>0</v>
      </c>
      <c r="BK56" s="372">
        <f>SUMIFS(Banco[Monto],Banco[CtaCtbl],$C56,Banco[Periodo Contable],TEXT(BK$3,"mmm-yyyy"))</f>
        <v>0</v>
      </c>
      <c r="BL56" s="372">
        <f>SUMIFS(Banco[Monto],Banco[CtaCtbl],$C56,Banco[Periodo Contable],TEXT(BL$3,"mmm-yyyy"))</f>
        <v>0</v>
      </c>
      <c r="BM56" s="372">
        <f>SUMIFS(Banco[Monto],Banco[CtaCtbl],$C56,Banco[Periodo Contable],TEXT(BM$3,"mmm-yyyy"))</f>
        <v>0</v>
      </c>
      <c r="BN56" s="372">
        <f>SUMIFS(Banco[Monto],Banco[CtaCtbl],$C56,Banco[Periodo Contable],TEXT(BN$3,"mmm-yyyy"))</f>
        <v>0</v>
      </c>
      <c r="BO56" s="372">
        <f>SUMIFS(Banco[Monto],Banco[CtaCtbl],$C56,Banco[Periodo Contable],TEXT(BO$3,"mmm-yyyy"))</f>
        <v>0</v>
      </c>
      <c r="BP56" s="372">
        <f>SUMIFS(Banco[Monto],Banco[CtaCtbl],$C56,Banco[Periodo Contable],TEXT(BP$3,"mmm-yyyy"))</f>
        <v>0</v>
      </c>
      <c r="BQ56" s="372">
        <f>SUMIFS(Banco[Monto],Banco[CtaCtbl],$C56,Banco[Periodo Contable],TEXT(BQ$3,"mmm-yyyy"))</f>
        <v>0</v>
      </c>
      <c r="BR56" s="372">
        <f>SUMIFS(Banco[Monto],Banco[CtaCtbl],$C56,Banco[Periodo Contable],TEXT(BR$3,"mmm-yyyy"))</f>
        <v>0</v>
      </c>
      <c r="BS56" s="372">
        <f>SUMIFS(Banco[Monto],Banco[CtaCtbl],$C56,Banco[Periodo Contable],TEXT(BS$3,"mmm-yyyy"))</f>
        <v>0</v>
      </c>
      <c r="BT56" s="372">
        <f>SUMIFS(Banco[Monto],Banco[CtaCtbl],$C56,Banco[Periodo Contable],TEXT(BT$3,"mmm-yyyy"))</f>
        <v>0</v>
      </c>
      <c r="BU56" s="372">
        <f>SUMIFS(Banco[Monto],Banco[CtaCtbl],$C56,Banco[Periodo Contable],TEXT(BU$3,"mmm-yyyy"))</f>
        <v>0</v>
      </c>
      <c r="BV56" s="232">
        <f>SUM(Tabla17[[#This Row],[ene-26]:[dic-26]])</f>
        <v>0</v>
      </c>
      <c r="BW56" s="372">
        <f>SUMIFS(Banco[Monto],Banco[CtaCtbl],$C56,Banco[Periodo Contable],TEXT(BW$3,"mmm-yyyy"))</f>
        <v>0</v>
      </c>
    </row>
    <row r="57" spans="1:75" ht="21.6" outlineLevel="3">
      <c r="A57" s="36" t="s">
        <v>341</v>
      </c>
      <c r="B57" s="16" t="s">
        <v>342</v>
      </c>
      <c r="C57" s="22" t="str">
        <f>+Tabla17[[#This Row],[Cuenta]]&amp;" - "&amp;Tabla17[[#This Row],[Descripcion Cuenta]]</f>
        <v>2.01.03.04 - Comunicaciones</v>
      </c>
      <c r="D57" s="37"/>
      <c r="E57" s="49">
        <f>SUMIFS(Banco[Monto],Banco[CtaCtbl],$C57,Banco[Periodo Contable],TEXT(E$3,"mmm-yyyy"))</f>
        <v>0</v>
      </c>
      <c r="F57" s="49">
        <f>SUMIFS(Banco[Monto],Banco[CtaCtbl],$C57,Banco[Periodo Contable],TEXT(F$3,"mmm-yyyy"))</f>
        <v>0</v>
      </c>
      <c r="G57" s="49">
        <f>SUMIFS(Banco[Monto],Banco[CtaCtbl],$C57,Banco[Periodo Contable],TEXT(G$3,"mmm-yyyy"))</f>
        <v>0</v>
      </c>
      <c r="H57" s="49">
        <f>SUMIFS(Banco[Monto],Banco[CtaCtbl],$C57,Banco[Periodo Contable],TEXT(H$3,"mmm-yyyy"))</f>
        <v>0</v>
      </c>
      <c r="I57" s="49">
        <f>SUM(Tabla17[[#This Row],[sept-21]:[dic-21]])</f>
        <v>0</v>
      </c>
      <c r="J57" s="49">
        <f>SUMIFS(Banco[Monto],Banco[CtaCtbl],$C57,Banco[Periodo Contable],TEXT(J$3,"mmm-yyyy"))</f>
        <v>0</v>
      </c>
      <c r="K57" s="49">
        <f>SUMIFS(Banco[Monto],Banco[CtaCtbl],$C57,Banco[Periodo Contable],TEXT(K$3,"mmm-yyyy"))</f>
        <v>0</v>
      </c>
      <c r="L57" s="49">
        <f>SUMIFS(Banco[Monto],Banco[CtaCtbl],$C57,Banco[Periodo Contable],TEXT(L$3,"mmm-yyyy"))</f>
        <v>0</v>
      </c>
      <c r="M57" s="49">
        <f>SUMIFS(Banco[Monto],Banco[CtaCtbl],$C57,Banco[Periodo Contable],TEXT(M$3,"mmm-yyyy"))</f>
        <v>0</v>
      </c>
      <c r="N57" s="49">
        <f>SUMIFS(Banco[Monto],Banco[CtaCtbl],$C57,Banco[Periodo Contable],TEXT(N$3,"mmm-yyyy"))</f>
        <v>0</v>
      </c>
      <c r="O57" s="49">
        <f>SUMIFS(Banco[Monto],Banco[CtaCtbl],$C57,Banco[Periodo Contable],TEXT(O$3,"mmm-yyyy"))</f>
        <v>0</v>
      </c>
      <c r="P57" s="49">
        <f>SUMIFS(Banco[Monto],Banco[CtaCtbl],$C57,Banco[Periodo Contable],TEXT(P$3,"mmm-yyyy"))</f>
        <v>0</v>
      </c>
      <c r="Q57" s="49">
        <f>SUMIFS(Banco[Monto],Banco[CtaCtbl],$C57,Banco[Periodo Contable],TEXT(Q$3,"mmm-yyyy"))</f>
        <v>0</v>
      </c>
      <c r="R57" s="49">
        <f>SUMIFS(Banco[Monto],Banco[CtaCtbl],$C57,Banco[Periodo Contable],TEXT(R$3,"mmm-yyyy"))</f>
        <v>0</v>
      </c>
      <c r="S57" s="49">
        <f>SUMIFS(Banco[Monto],Banco[CtaCtbl],$C57,Banco[Periodo Contable],TEXT(S$3,"mmm-yyyy"))</f>
        <v>0</v>
      </c>
      <c r="T57" s="49">
        <f>SUMIFS(Banco[Monto],Banco[CtaCtbl],$C57,Banco[Periodo Contable],TEXT(T$3,"mmm-yyyy"))</f>
        <v>0</v>
      </c>
      <c r="U57" s="49">
        <f>SUMIFS(Banco[Monto],Banco[CtaCtbl],$C57,Banco[Periodo Contable],TEXT(U$3,"mmm-yyyy"))</f>
        <v>0</v>
      </c>
      <c r="V57" s="300">
        <f>SUM(Tabla17[[#This Row],[ene-22]:[dic-22]])</f>
        <v>0</v>
      </c>
      <c r="W57" s="49">
        <f>SUMIFS(Banco[Monto],Banco[CtaCtbl],$C57,Banco[Periodo Contable],TEXT(W$3,"mmm-yyyy"))</f>
        <v>0</v>
      </c>
      <c r="X57" s="49">
        <f>SUMIFS(Banco[Monto],Banco[CtaCtbl],$C57,Banco[Periodo Contable],TEXT(X$3,"mmm-yyyy"))</f>
        <v>0</v>
      </c>
      <c r="Y57" s="49">
        <f>SUMIFS(Banco[Monto],Banco[CtaCtbl],$C57,Banco[Periodo Contable],TEXT(Y$3,"mmm-yyyy"))</f>
        <v>0</v>
      </c>
      <c r="Z57" s="49">
        <f>SUMIFS(Banco[Monto],Banco[CtaCtbl],$C57,Banco[Periodo Contable],TEXT(Z$3,"mmm-yyyy"))</f>
        <v>0</v>
      </c>
      <c r="AA57" s="49">
        <f>SUMIFS(Banco[Monto],Banco[CtaCtbl],$C57,Banco[Periodo Contable],TEXT(AA$3,"mmm-yyyy"))</f>
        <v>0</v>
      </c>
      <c r="AB57" s="49">
        <f>SUMIFS(Banco[Monto],Banco[CtaCtbl],$C57,Banco[Periodo Contable],TEXT(AB$3,"mmm-yyyy"))</f>
        <v>0</v>
      </c>
      <c r="AC57" s="49">
        <f>SUMIFS(Banco[Monto],Banco[CtaCtbl],$C57,Banco[Periodo Contable],TEXT(AC$3,"mmm-yyyy"))</f>
        <v>0</v>
      </c>
      <c r="AD57" s="49">
        <f>SUMIFS(Banco[Monto],Banco[CtaCtbl],$C57,Banco[Periodo Contable],TEXT(AD$3,"mmm-yyyy"))</f>
        <v>0</v>
      </c>
      <c r="AE57" s="49">
        <f>SUMIFS(Banco[Monto],Banco[CtaCtbl],$C57,Banco[Periodo Contable],TEXT(AE$3,"mmm-yyyy"))</f>
        <v>0</v>
      </c>
      <c r="AF57" s="49">
        <f>SUMIFS(Banco[Monto],Banco[CtaCtbl],$C57,Banco[Periodo Contable],TEXT(AF$3,"mmm-yyyy"))</f>
        <v>0</v>
      </c>
      <c r="AG57" s="49">
        <f>SUMIFS(Banco[Monto],Banco[CtaCtbl],$C57,Banco[Periodo Contable],TEXT(AG$3,"mmm-yyyy"))</f>
        <v>0</v>
      </c>
      <c r="AH57" s="49">
        <f>SUMIFS(Banco[Monto],Banco[CtaCtbl],$C57,Banco[Periodo Contable],TEXT(AH$3,"mmm-yyyy"))</f>
        <v>0</v>
      </c>
      <c r="AI57" s="300">
        <f>SUM(Tabla17[[#This Row],[ene-23]:[dic-23]])</f>
        <v>0</v>
      </c>
      <c r="AJ57" s="49">
        <f>SUMIFS(Banco[Monto],Banco[CtaCtbl],$C57,Banco[Periodo Contable],TEXT(AJ$3,"mmm-yyyy"))</f>
        <v>0</v>
      </c>
      <c r="AK57" s="49">
        <f>SUMIFS(Banco[Monto],Banco[CtaCtbl],$C57,Banco[Periodo Contable],TEXT(AK$3,"mmm-yyyy"))</f>
        <v>0</v>
      </c>
      <c r="AL57" s="49">
        <f>SUMIFS(Banco[Monto],Banco[CtaCtbl],$C57,Banco[Periodo Contable],TEXT(AL$3,"mmm-yyyy"))</f>
        <v>0</v>
      </c>
      <c r="AM57" s="49">
        <f>SUMIFS(Banco[Monto],Banco[CtaCtbl],$C57,Banco[Periodo Contable],TEXT(AM$3,"mmm-yyyy"))</f>
        <v>0</v>
      </c>
      <c r="AN57" s="49">
        <f>SUMIFS(Banco[Monto],Banco[CtaCtbl],$C57,Banco[Periodo Contable],TEXT(AN$3,"mmm-yyyy"))</f>
        <v>0</v>
      </c>
      <c r="AO57" s="49">
        <f>SUMIFS(Banco[Monto],Banco[CtaCtbl],$C57,Banco[Periodo Contable],TEXT(AO$3,"mmm-yyyy"))</f>
        <v>0</v>
      </c>
      <c r="AP57" s="49">
        <f>SUMIFS(Banco[Monto],Banco[CtaCtbl],$C57,Banco[Periodo Contable],TEXT(AP$3,"mmm-yyyy"))</f>
        <v>0</v>
      </c>
      <c r="AQ57" s="49">
        <f>SUMIFS(Banco[Monto],Banco[CtaCtbl],$C57,Banco[Periodo Contable],TEXT(AQ$3,"mmm-yyyy"))</f>
        <v>0</v>
      </c>
      <c r="AR57" s="49">
        <f>SUMIFS(Banco[Monto],Banco[CtaCtbl],$C57,Banco[Periodo Contable],TEXT(AR$3,"mmm-yyyy"))</f>
        <v>0</v>
      </c>
      <c r="AS57" s="49">
        <f>SUMIFS(Banco[Monto],Banco[CtaCtbl],$C57,Banco[Periodo Contable],TEXT(AS$3,"mmm-yyyy"))</f>
        <v>0</v>
      </c>
      <c r="AT57" s="49">
        <f>SUMIFS(Banco[Monto],Banco[CtaCtbl],$C57,Banco[Periodo Contable],TEXT(AT$3,"mmm-yyyy"))</f>
        <v>0</v>
      </c>
      <c r="AU57" s="49">
        <f>SUMIFS(Banco[Monto],Banco[CtaCtbl],$C57,Banco[Periodo Contable],TEXT(AU$3,"mmm-yyyy"))</f>
        <v>0</v>
      </c>
      <c r="AV57" s="300">
        <f>SUM(Tabla17[[#This Row],[ene-24]:[dic-24]])</f>
        <v>0</v>
      </c>
      <c r="AW57" s="49">
        <f>SUMIFS(Banco[Monto],Banco[CtaCtbl],$C57,Banco[Periodo Contable],TEXT(AW$3,"mmm-yyyy"))</f>
        <v>0</v>
      </c>
      <c r="AX57" s="49">
        <f>SUMIFS(Banco[Monto],Banco[CtaCtbl],$C57,Banco[Periodo Contable],TEXT(AX$3,"mmm-yyyy"))</f>
        <v>0</v>
      </c>
      <c r="AY57" s="49">
        <f>SUMIFS(Banco[Monto],Banco[CtaCtbl],$C57,Banco[Periodo Contable],TEXT(AY$3,"mmm-yyyy"))</f>
        <v>0</v>
      </c>
      <c r="AZ57" s="49">
        <f>SUMIFS(Banco[Monto],Banco[CtaCtbl],$C57,Banco[Periodo Contable],TEXT(AZ$3,"mmm-yyyy"))</f>
        <v>0</v>
      </c>
      <c r="BA57" s="49">
        <f>SUMIFS(Banco[Monto],Banco[CtaCtbl],$C57,Banco[Periodo Contable],TEXT(BA$3,"mmm-yyyy"))</f>
        <v>0</v>
      </c>
      <c r="BB57" s="49">
        <f>SUMIFS(Banco[Monto],Banco[CtaCtbl],$C57,Banco[Periodo Contable],TEXT(BB$3,"mmm-yyyy"))</f>
        <v>0</v>
      </c>
      <c r="BC57" s="49">
        <f>SUMIFS(Banco[Monto],Banco[CtaCtbl],$C57,Banco[Periodo Contable],TEXT(BC$3,"mmm-yyyy"))</f>
        <v>0</v>
      </c>
      <c r="BD57" s="49">
        <f>SUMIFS(Banco[Monto],Banco[CtaCtbl],$C57,Banco[Periodo Contable],TEXT(BD$3,"mmm-yyyy"))</f>
        <v>0</v>
      </c>
      <c r="BE57" s="49">
        <f>SUMIFS(Banco[Monto],Banco[CtaCtbl],$C57,Banco[Periodo Contable],TEXT(BE$3,"mmm-yyyy"))</f>
        <v>0</v>
      </c>
      <c r="BF57" s="49">
        <f>SUMIFS(Banco[Monto],Banco[CtaCtbl],$C57,Banco[Periodo Contable],TEXT(BF$3,"mmm-yyyy"))</f>
        <v>-154283</v>
      </c>
      <c r="BG57" s="49">
        <f>SUMIFS(Banco[Monto],Banco[CtaCtbl],$C57,Banco[Periodo Contable],TEXT(BG$3,"mmm-yyyy"))</f>
        <v>0</v>
      </c>
      <c r="BH57" s="49">
        <f>SUMIFS(Banco[Monto],Banco[CtaCtbl],$C57,Banco[Periodo Contable],TEXT(BH$3,"mmm-yyyy"))</f>
        <v>0</v>
      </c>
      <c r="BI57" s="232">
        <f>SUM(Tabla17[[#This Row],[ene-25]:[dic-25]])</f>
        <v>-154283</v>
      </c>
      <c r="BJ57" s="49">
        <f>SUMIFS(Banco[Monto],Banco[CtaCtbl],$C57,Banco[Periodo Contable],TEXT(BJ$3,"mmm-yyyy"))</f>
        <v>0</v>
      </c>
      <c r="BK57" s="49">
        <f>SUMIFS(Banco[Monto],Banco[CtaCtbl],$C57,Banco[Periodo Contable],TEXT(BK$3,"mmm-yyyy"))</f>
        <v>0</v>
      </c>
      <c r="BL57" s="49">
        <f>SUMIFS(Banco[Monto],Banco[CtaCtbl],$C57,Banco[Periodo Contable],TEXT(BL$3,"mmm-yyyy"))</f>
        <v>0</v>
      </c>
      <c r="BM57" s="49">
        <f>SUMIFS(Banco[Monto],Banco[CtaCtbl],$C57,Banco[Periodo Contable],TEXT(BM$3,"mmm-yyyy"))</f>
        <v>0</v>
      </c>
      <c r="BN57" s="49">
        <f>SUMIFS(Banco[Monto],Banco[CtaCtbl],$C57,Banco[Periodo Contable],TEXT(BN$3,"mmm-yyyy"))</f>
        <v>0</v>
      </c>
      <c r="BO57" s="49">
        <f>SUMIFS(Banco[Monto],Banco[CtaCtbl],$C57,Banco[Periodo Contable],TEXT(BO$3,"mmm-yyyy"))</f>
        <v>0</v>
      </c>
      <c r="BP57" s="49">
        <f>SUMIFS(Banco[Monto],Banco[CtaCtbl],$C57,Banco[Periodo Contable],TEXT(BP$3,"mmm-yyyy"))</f>
        <v>0</v>
      </c>
      <c r="BQ57" s="49">
        <f>SUMIFS(Banco[Monto],Banco[CtaCtbl],$C57,Banco[Periodo Contable],TEXT(BQ$3,"mmm-yyyy"))</f>
        <v>0</v>
      </c>
      <c r="BR57" s="49">
        <f>SUMIFS(Banco[Monto],Banco[CtaCtbl],$C57,Banco[Periodo Contable],TEXT(BR$3,"mmm-yyyy"))</f>
        <v>0</v>
      </c>
      <c r="BS57" s="49">
        <f>SUMIFS(Banco[Monto],Banco[CtaCtbl],$C57,Banco[Periodo Contable],TEXT(BS$3,"mmm-yyyy"))</f>
        <v>0</v>
      </c>
      <c r="BT57" s="49">
        <f>SUMIFS(Banco[Monto],Banco[CtaCtbl],$C57,Banco[Periodo Contable],TEXT(BT$3,"mmm-yyyy"))</f>
        <v>0</v>
      </c>
      <c r="BU57" s="49">
        <f>SUMIFS(Banco[Monto],Banco[CtaCtbl],$C57,Banco[Periodo Contable],TEXT(BU$3,"mmm-yyyy"))</f>
        <v>0</v>
      </c>
      <c r="BV57" s="232">
        <f>SUM(Tabla17[[#This Row],[ene-26]:[dic-26]])</f>
        <v>0</v>
      </c>
      <c r="BW57" s="49">
        <f>SUMIFS(Banco[Monto],Banco[CtaCtbl],$C57,Banco[Periodo Contable],TEXT(BW$3,"mmm-yyyy"))</f>
        <v>0</v>
      </c>
    </row>
    <row r="58" spans="1:75" ht="21.6" outlineLevel="3">
      <c r="A58" s="36" t="s">
        <v>343</v>
      </c>
      <c r="B58" s="16" t="s">
        <v>344</v>
      </c>
      <c r="C58" s="22" t="str">
        <f>+Tabla17[[#This Row],[Cuenta]]&amp;" - "&amp;Tabla17[[#This Row],[Descripcion Cuenta]]</f>
        <v xml:space="preserve">2.01.03.05 - Otros Servicios </v>
      </c>
      <c r="D58" s="37"/>
      <c r="E58" s="49">
        <f>SUMIFS(Banco[Monto],Banco[CtaCtbl],$C58,Banco[Periodo Contable],TEXT(E$3,"mmm-yyyy"))</f>
        <v>0</v>
      </c>
      <c r="F58" s="49">
        <f>SUMIFS(Banco[Monto],Banco[CtaCtbl],$C58,Banco[Periodo Contable],TEXT(F$3,"mmm-yyyy"))</f>
        <v>0</v>
      </c>
      <c r="G58" s="49">
        <f>SUMIFS(Banco[Monto],Banco[CtaCtbl],$C58,Banco[Periodo Contable],TEXT(G$3,"mmm-yyyy"))</f>
        <v>0</v>
      </c>
      <c r="H58" s="49">
        <f>SUMIFS(Banco[Monto],Banco[CtaCtbl],$C58,Banco[Periodo Contable],TEXT(H$3,"mmm-yyyy"))</f>
        <v>0</v>
      </c>
      <c r="I58" s="49">
        <f>SUM(Tabla17[[#This Row],[sept-21]:[dic-21]])</f>
        <v>0</v>
      </c>
      <c r="J58" s="49">
        <f>SUMIFS(Banco[Monto],Banco[CtaCtbl],$C58,Banco[Periodo Contable],TEXT(J$3,"mmm-yyyy"))</f>
        <v>0</v>
      </c>
      <c r="K58" s="49">
        <f>SUMIFS(Banco[Monto],Banco[CtaCtbl],$C58,Banco[Periodo Contable],TEXT(K$3,"mmm-yyyy"))</f>
        <v>0</v>
      </c>
      <c r="L58" s="49">
        <f>SUMIFS(Banco[Monto],Banco[CtaCtbl],$C58,Banco[Periodo Contable],TEXT(L$3,"mmm-yyyy"))</f>
        <v>0</v>
      </c>
      <c r="M58" s="49">
        <f>SUMIFS(Banco[Monto],Banco[CtaCtbl],$C58,Banco[Periodo Contable],TEXT(M$3,"mmm-yyyy"))</f>
        <v>0</v>
      </c>
      <c r="N58" s="49">
        <f>SUMIFS(Banco[Monto],Banco[CtaCtbl],$C58,Banco[Periodo Contable],TEXT(N$3,"mmm-yyyy"))</f>
        <v>0</v>
      </c>
      <c r="O58" s="49">
        <f>SUMIFS(Banco[Monto],Banco[CtaCtbl],$C58,Banco[Periodo Contable],TEXT(O$3,"mmm-yyyy"))</f>
        <v>0</v>
      </c>
      <c r="P58" s="49">
        <f>SUMIFS(Banco[Monto],Banco[CtaCtbl],$C58,Banco[Periodo Contable],TEXT(P$3,"mmm-yyyy"))</f>
        <v>0</v>
      </c>
      <c r="Q58" s="49">
        <f>SUMIFS(Banco[Monto],Banco[CtaCtbl],$C58,Banco[Periodo Contable],TEXT(Q$3,"mmm-yyyy"))</f>
        <v>0</v>
      </c>
      <c r="R58" s="49">
        <f>SUMIFS(Banco[Monto],Banco[CtaCtbl],$C58,Banco[Periodo Contable],TEXT(R$3,"mmm-yyyy"))</f>
        <v>0</v>
      </c>
      <c r="S58" s="49">
        <f>SUMIFS(Banco[Monto],Banco[CtaCtbl],$C58,Banco[Periodo Contable],TEXT(S$3,"mmm-yyyy"))</f>
        <v>0</v>
      </c>
      <c r="T58" s="49">
        <f>SUMIFS(Banco[Monto],Banco[CtaCtbl],$C58,Banco[Periodo Contable],TEXT(T$3,"mmm-yyyy"))</f>
        <v>0</v>
      </c>
      <c r="U58" s="49">
        <f>SUMIFS(Banco[Monto],Banco[CtaCtbl],$C58,Banco[Periodo Contable],TEXT(U$3,"mmm-yyyy"))</f>
        <v>0</v>
      </c>
      <c r="V58" s="300">
        <f>SUM(Tabla17[[#This Row],[ene-22]:[dic-22]])</f>
        <v>0</v>
      </c>
      <c r="W58" s="49">
        <f>SUMIFS(Banco[Monto],Banco[CtaCtbl],$C58,Banco[Periodo Contable],TEXT(W$3,"mmm-yyyy"))</f>
        <v>0</v>
      </c>
      <c r="X58" s="49">
        <f>SUMIFS(Banco[Monto],Banco[CtaCtbl],$C58,Banco[Periodo Contable],TEXT(X$3,"mmm-yyyy"))</f>
        <v>0</v>
      </c>
      <c r="Y58" s="49">
        <f>SUMIFS(Banco[Monto],Banco[CtaCtbl],$C58,Banco[Periodo Contable],TEXT(Y$3,"mmm-yyyy"))</f>
        <v>0</v>
      </c>
      <c r="Z58" s="49">
        <f>SUMIFS(Banco[Monto],Banco[CtaCtbl],$C58,Banco[Periodo Contable],TEXT(Z$3,"mmm-yyyy"))</f>
        <v>0</v>
      </c>
      <c r="AA58" s="49">
        <f>SUMIFS(Banco[Monto],Banco[CtaCtbl],$C58,Banco[Periodo Contable],TEXT(AA$3,"mmm-yyyy"))</f>
        <v>0</v>
      </c>
      <c r="AB58" s="49">
        <f>SUMIFS(Banco[Monto],Banco[CtaCtbl],$C58,Banco[Periodo Contable],TEXT(AB$3,"mmm-yyyy"))</f>
        <v>0</v>
      </c>
      <c r="AC58" s="49">
        <f>SUMIFS(Banco[Monto],Banco[CtaCtbl],$C58,Banco[Periodo Contable],TEXT(AC$3,"mmm-yyyy"))</f>
        <v>0</v>
      </c>
      <c r="AD58" s="49">
        <f>SUMIFS(Banco[Monto],Banco[CtaCtbl],$C58,Banco[Periodo Contable],TEXT(AD$3,"mmm-yyyy"))</f>
        <v>0</v>
      </c>
      <c r="AE58" s="49">
        <f>SUMIFS(Banco[Monto],Banco[CtaCtbl],$C58,Banco[Periodo Contable],TEXT(AE$3,"mmm-yyyy"))</f>
        <v>0</v>
      </c>
      <c r="AF58" s="49">
        <f>SUMIFS(Banco[Monto],Banco[CtaCtbl],$C58,Banco[Periodo Contable],TEXT(AF$3,"mmm-yyyy"))</f>
        <v>0</v>
      </c>
      <c r="AG58" s="49">
        <f>SUMIFS(Banco[Monto],Banco[CtaCtbl],$C58,Banco[Periodo Contable],TEXT(AG$3,"mmm-yyyy"))</f>
        <v>0</v>
      </c>
      <c r="AH58" s="49">
        <f>SUMIFS(Banco[Monto],Banco[CtaCtbl],$C58,Banco[Periodo Contable],TEXT(AH$3,"mmm-yyyy"))</f>
        <v>0</v>
      </c>
      <c r="AI58" s="300">
        <f>SUM(Tabla17[[#This Row],[ene-23]:[dic-23]])</f>
        <v>0</v>
      </c>
      <c r="AJ58" s="49">
        <f>SUMIFS(Banco[Monto],Banco[CtaCtbl],$C58,Banco[Periodo Contable],TEXT(AJ$3,"mmm-yyyy"))</f>
        <v>0</v>
      </c>
      <c r="AK58" s="49">
        <f>SUMIFS(Banco[Monto],Banco[CtaCtbl],$C58,Banco[Periodo Contable],TEXT(AK$3,"mmm-yyyy"))</f>
        <v>0</v>
      </c>
      <c r="AL58" s="49">
        <f>SUMIFS(Banco[Monto],Banco[CtaCtbl],$C58,Banco[Periodo Contable],TEXT(AL$3,"mmm-yyyy"))</f>
        <v>0</v>
      </c>
      <c r="AM58" s="49">
        <f>SUMIFS(Banco[Monto],Banco[CtaCtbl],$C58,Banco[Periodo Contable],TEXT(AM$3,"mmm-yyyy"))</f>
        <v>0</v>
      </c>
      <c r="AN58" s="49">
        <f>SUMIFS(Banco[Monto],Banco[CtaCtbl],$C58,Banco[Periodo Contable],TEXT(AN$3,"mmm-yyyy"))</f>
        <v>0</v>
      </c>
      <c r="AO58" s="49">
        <f>SUMIFS(Banco[Monto],Banco[CtaCtbl],$C58,Banco[Periodo Contable],TEXT(AO$3,"mmm-yyyy"))</f>
        <v>0</v>
      </c>
      <c r="AP58" s="49">
        <f>SUMIFS(Banco[Monto],Banco[CtaCtbl],$C58,Banco[Periodo Contable],TEXT(AP$3,"mmm-yyyy"))</f>
        <v>0</v>
      </c>
      <c r="AQ58" s="49">
        <f>SUMIFS(Banco[Monto],Banco[CtaCtbl],$C58,Banco[Periodo Contable],TEXT(AQ$3,"mmm-yyyy"))</f>
        <v>0</v>
      </c>
      <c r="AR58" s="49">
        <f>SUMIFS(Banco[Monto],Banco[CtaCtbl],$C58,Banco[Periodo Contable],TEXT(AR$3,"mmm-yyyy"))</f>
        <v>0</v>
      </c>
      <c r="AS58" s="49">
        <f>SUMIFS(Banco[Monto],Banco[CtaCtbl],$C58,Banco[Periodo Contable],TEXT(AS$3,"mmm-yyyy"))</f>
        <v>0</v>
      </c>
      <c r="AT58" s="49">
        <f>SUMIFS(Banco[Monto],Banco[CtaCtbl],$C58,Banco[Periodo Contable],TEXT(AT$3,"mmm-yyyy"))</f>
        <v>0</v>
      </c>
      <c r="AU58" s="49">
        <f>SUMIFS(Banco[Monto],Banco[CtaCtbl],$C58,Banco[Periodo Contable],TEXT(AU$3,"mmm-yyyy"))</f>
        <v>0</v>
      </c>
      <c r="AV58" s="300">
        <f>SUM(Tabla17[[#This Row],[ene-24]:[dic-24]])</f>
        <v>0</v>
      </c>
      <c r="AW58" s="49">
        <f>SUMIFS(Banco[Monto],Banco[CtaCtbl],$C58,Banco[Periodo Contable],TEXT(AW$3,"mmm-yyyy"))</f>
        <v>0</v>
      </c>
      <c r="AX58" s="49">
        <f>SUMIFS(Banco[Monto],Banco[CtaCtbl],$C58,Banco[Periodo Contable],TEXT(AX$3,"mmm-yyyy"))</f>
        <v>0</v>
      </c>
      <c r="AY58" s="49">
        <f>SUMIFS(Banco[Monto],Banco[CtaCtbl],$C58,Banco[Periodo Contable],TEXT(AY$3,"mmm-yyyy"))</f>
        <v>0</v>
      </c>
      <c r="AZ58" s="49">
        <f>SUMIFS(Banco[Monto],Banco[CtaCtbl],$C58,Banco[Periodo Contable],TEXT(AZ$3,"mmm-yyyy"))</f>
        <v>0</v>
      </c>
      <c r="BA58" s="49">
        <f>SUMIFS(Banco[Monto],Banco[CtaCtbl],$C58,Banco[Periodo Contable],TEXT(BA$3,"mmm-yyyy"))</f>
        <v>0</v>
      </c>
      <c r="BB58" s="49">
        <f>SUMIFS(Banco[Monto],Banco[CtaCtbl],$C58,Banco[Periodo Contable],TEXT(BB$3,"mmm-yyyy"))</f>
        <v>0</v>
      </c>
      <c r="BC58" s="49">
        <f>SUMIFS(Banco[Monto],Banco[CtaCtbl],$C58,Banco[Periodo Contable],TEXT(BC$3,"mmm-yyyy"))</f>
        <v>0</v>
      </c>
      <c r="BD58" s="49">
        <f>SUMIFS(Banco[Monto],Banco[CtaCtbl],$C58,Banco[Periodo Contable],TEXT(BD$3,"mmm-yyyy"))</f>
        <v>0</v>
      </c>
      <c r="BE58" s="49">
        <f>SUMIFS(Banco[Monto],Banco[CtaCtbl],$C58,Banco[Periodo Contable],TEXT(BE$3,"mmm-yyyy"))</f>
        <v>0</v>
      </c>
      <c r="BF58" s="49">
        <f>SUMIFS(Banco[Monto],Banco[CtaCtbl],$C58,Banco[Periodo Contable],TEXT(BF$3,"mmm-yyyy"))</f>
        <v>0</v>
      </c>
      <c r="BG58" s="49">
        <f>SUMIFS(Banco[Monto],Banco[CtaCtbl],$C58,Banco[Periodo Contable],TEXT(BG$3,"mmm-yyyy"))</f>
        <v>0</v>
      </c>
      <c r="BH58" s="49">
        <f>SUMIFS(Banco[Monto],Banco[CtaCtbl],$C58,Banco[Periodo Contable],TEXT(BH$3,"mmm-yyyy"))</f>
        <v>0</v>
      </c>
      <c r="BI58" s="232">
        <f>SUM(Tabla17[[#This Row],[ene-25]:[dic-25]])</f>
        <v>0</v>
      </c>
      <c r="BJ58" s="49">
        <f>SUMIFS(Banco[Monto],Banco[CtaCtbl],$C58,Banco[Periodo Contable],TEXT(BJ$3,"mmm-yyyy"))</f>
        <v>0</v>
      </c>
      <c r="BK58" s="49">
        <f>SUMIFS(Banco[Monto],Banco[CtaCtbl],$C58,Banco[Periodo Contable],TEXT(BK$3,"mmm-yyyy"))</f>
        <v>0</v>
      </c>
      <c r="BL58" s="49">
        <f>SUMIFS(Banco[Monto],Banco[CtaCtbl],$C58,Banco[Periodo Contable],TEXT(BL$3,"mmm-yyyy"))</f>
        <v>0</v>
      </c>
      <c r="BM58" s="49">
        <f>SUMIFS(Banco[Monto],Banco[CtaCtbl],$C58,Banco[Periodo Contable],TEXT(BM$3,"mmm-yyyy"))</f>
        <v>0</v>
      </c>
      <c r="BN58" s="49">
        <f>SUMIFS(Banco[Monto],Banco[CtaCtbl],$C58,Banco[Periodo Contable],TEXT(BN$3,"mmm-yyyy"))</f>
        <v>0</v>
      </c>
      <c r="BO58" s="49">
        <f>SUMIFS(Banco[Monto],Banco[CtaCtbl],$C58,Banco[Periodo Contable],TEXT(BO$3,"mmm-yyyy"))</f>
        <v>0</v>
      </c>
      <c r="BP58" s="49">
        <f>SUMIFS(Banco[Monto],Banco[CtaCtbl],$C58,Banco[Periodo Contable],TEXT(BP$3,"mmm-yyyy"))</f>
        <v>0</v>
      </c>
      <c r="BQ58" s="49">
        <f>SUMIFS(Banco[Monto],Banco[CtaCtbl],$C58,Banco[Periodo Contable],TEXT(BQ$3,"mmm-yyyy"))</f>
        <v>0</v>
      </c>
      <c r="BR58" s="49">
        <f>SUMIFS(Banco[Monto],Banco[CtaCtbl],$C58,Banco[Periodo Contable],TEXT(BR$3,"mmm-yyyy"))</f>
        <v>0</v>
      </c>
      <c r="BS58" s="49">
        <f>SUMIFS(Banco[Monto],Banco[CtaCtbl],$C58,Banco[Periodo Contable],TEXT(BS$3,"mmm-yyyy"))</f>
        <v>0</v>
      </c>
      <c r="BT58" s="49">
        <f>SUMIFS(Banco[Monto],Banco[CtaCtbl],$C58,Banco[Periodo Contable],TEXT(BT$3,"mmm-yyyy"))</f>
        <v>0</v>
      </c>
      <c r="BU58" s="49">
        <f>SUMIFS(Banco[Monto],Banco[CtaCtbl],$C58,Banco[Periodo Contable],TEXT(BU$3,"mmm-yyyy"))</f>
        <v>0</v>
      </c>
      <c r="BV58" s="232">
        <f>SUM(Tabla17[[#This Row],[ene-26]:[dic-26]])</f>
        <v>0</v>
      </c>
      <c r="BW58" s="49">
        <f>SUMIFS(Banco[Monto],Banco[CtaCtbl],$C58,Banco[Periodo Contable],TEXT(BW$3,"mmm-yyyy"))</f>
        <v>0</v>
      </c>
    </row>
    <row r="59" spans="1:75" ht="21.6" outlineLevel="2" collapsed="1">
      <c r="A59" s="38" t="s">
        <v>345</v>
      </c>
      <c r="B59" s="18" t="s">
        <v>346</v>
      </c>
      <c r="C59" s="19" t="str">
        <f>+Tabla17[[#This Row],[Cuenta]]&amp;" - "&amp;Tabla17[[#This Row],[Descripcion Cuenta]]</f>
        <v>2.01.04 - Representacion</v>
      </c>
      <c r="D59" s="39"/>
      <c r="E59" s="44">
        <f t="shared" ref="E59:BW59" si="177">SUBTOTAL(9,E60:E65)</f>
        <v>0</v>
      </c>
      <c r="F59" s="44">
        <f t="shared" si="177"/>
        <v>0</v>
      </c>
      <c r="G59" s="44">
        <f t="shared" si="177"/>
        <v>0</v>
      </c>
      <c r="H59" s="44">
        <f t="shared" si="177"/>
        <v>0</v>
      </c>
      <c r="I59" s="44">
        <f>SUM(Tabla17[[#This Row],[sept-21]:[dic-21]])</f>
        <v>0</v>
      </c>
      <c r="J59" s="44">
        <f t="shared" si="177"/>
        <v>-200010</v>
      </c>
      <c r="K59" s="44">
        <f t="shared" si="177"/>
        <v>0</v>
      </c>
      <c r="L59" s="44">
        <f t="shared" si="177"/>
        <v>0</v>
      </c>
      <c r="M59" s="44">
        <f t="shared" si="177"/>
        <v>0</v>
      </c>
      <c r="N59" s="44">
        <f t="shared" si="177"/>
        <v>0</v>
      </c>
      <c r="O59" s="44">
        <f t="shared" si="177"/>
        <v>0</v>
      </c>
      <c r="P59" s="44">
        <f t="shared" si="177"/>
        <v>0</v>
      </c>
      <c r="Q59" s="44">
        <f t="shared" si="177"/>
        <v>0</v>
      </c>
      <c r="R59" s="44">
        <f t="shared" si="177"/>
        <v>0</v>
      </c>
      <c r="S59" s="44">
        <f t="shared" si="177"/>
        <v>0</v>
      </c>
      <c r="T59" s="44">
        <f t="shared" si="177"/>
        <v>0</v>
      </c>
      <c r="U59" s="44">
        <f t="shared" si="177"/>
        <v>0</v>
      </c>
      <c r="V59" s="44">
        <f t="shared" si="177"/>
        <v>-200010</v>
      </c>
      <c r="W59" s="44">
        <f t="shared" si="177"/>
        <v>0</v>
      </c>
      <c r="X59" s="44">
        <f t="shared" si="177"/>
        <v>0</v>
      </c>
      <c r="Y59" s="44">
        <f t="shared" si="177"/>
        <v>0</v>
      </c>
      <c r="Z59" s="44">
        <f t="shared" si="177"/>
        <v>0</v>
      </c>
      <c r="AA59" s="44">
        <f t="shared" si="177"/>
        <v>0</v>
      </c>
      <c r="AB59" s="44">
        <f t="shared" si="177"/>
        <v>0</v>
      </c>
      <c r="AC59" s="44">
        <f t="shared" si="177"/>
        <v>0</v>
      </c>
      <c r="AD59" s="44">
        <f t="shared" si="177"/>
        <v>0</v>
      </c>
      <c r="AE59" s="44">
        <f t="shared" si="177"/>
        <v>0</v>
      </c>
      <c r="AF59" s="44">
        <f t="shared" si="177"/>
        <v>0</v>
      </c>
      <c r="AG59" s="44">
        <f t="shared" si="177"/>
        <v>0</v>
      </c>
      <c r="AH59" s="44">
        <f t="shared" si="177"/>
        <v>0</v>
      </c>
      <c r="AI59" s="44">
        <f t="shared" si="177"/>
        <v>0</v>
      </c>
      <c r="AJ59" s="44">
        <f t="shared" si="177"/>
        <v>0</v>
      </c>
      <c r="AK59" s="44">
        <f t="shared" si="177"/>
        <v>0</v>
      </c>
      <c r="AL59" s="44">
        <f t="shared" si="177"/>
        <v>0</v>
      </c>
      <c r="AM59" s="44">
        <f t="shared" si="177"/>
        <v>0</v>
      </c>
      <c r="AN59" s="44">
        <f t="shared" si="177"/>
        <v>0</v>
      </c>
      <c r="AO59" s="44">
        <f t="shared" si="177"/>
        <v>0</v>
      </c>
      <c r="AP59" s="44">
        <f t="shared" si="177"/>
        <v>0</v>
      </c>
      <c r="AQ59" s="44">
        <f t="shared" si="177"/>
        <v>0</v>
      </c>
      <c r="AR59" s="44">
        <f t="shared" si="177"/>
        <v>0</v>
      </c>
      <c r="AS59" s="44">
        <f t="shared" si="177"/>
        <v>0</v>
      </c>
      <c r="AT59" s="44">
        <f t="shared" si="177"/>
        <v>0</v>
      </c>
      <c r="AU59" s="44">
        <f t="shared" si="177"/>
        <v>0</v>
      </c>
      <c r="AV59" s="44">
        <f t="shared" si="177"/>
        <v>0</v>
      </c>
      <c r="AW59" s="44">
        <f>SUBTOTAL(9,AW60:AW66)</f>
        <v>0</v>
      </c>
      <c r="AX59" s="44">
        <f t="shared" ref="AX59:BH59" si="178">SUBTOTAL(9,AX60:AX66)</f>
        <v>0</v>
      </c>
      <c r="AY59" s="44">
        <f t="shared" si="178"/>
        <v>0</v>
      </c>
      <c r="AZ59" s="44">
        <f t="shared" si="178"/>
        <v>-714285</v>
      </c>
      <c r="BA59" s="44">
        <f t="shared" si="178"/>
        <v>-14669</v>
      </c>
      <c r="BB59" s="44">
        <f t="shared" si="178"/>
        <v>0</v>
      </c>
      <c r="BC59" s="44">
        <f t="shared" si="178"/>
        <v>0</v>
      </c>
      <c r="BD59" s="44">
        <f t="shared" si="178"/>
        <v>0</v>
      </c>
      <c r="BE59" s="44">
        <f t="shared" si="178"/>
        <v>0</v>
      </c>
      <c r="BF59" s="44">
        <f t="shared" si="178"/>
        <v>0</v>
      </c>
      <c r="BG59" s="44">
        <f t="shared" si="178"/>
        <v>0</v>
      </c>
      <c r="BH59" s="44">
        <f t="shared" si="178"/>
        <v>0</v>
      </c>
      <c r="BI59" s="44">
        <f t="shared" si="177"/>
        <v>-722100</v>
      </c>
      <c r="BJ59" s="44">
        <f t="shared" ref="BJ59" si="179">SUBTOTAL(9,BJ60:BJ66)</f>
        <v>0</v>
      </c>
      <c r="BK59" s="44">
        <f t="shared" ref="BK59" si="180">SUBTOTAL(9,BK60:BK66)</f>
        <v>0</v>
      </c>
      <c r="BL59" s="44">
        <f t="shared" ref="BL59" si="181">SUBTOTAL(9,BL60:BL66)</f>
        <v>-35200</v>
      </c>
      <c r="BM59" s="44">
        <f t="shared" ref="BM59" si="182">SUBTOTAL(9,BM60:BM66)</f>
        <v>0</v>
      </c>
      <c r="BN59" s="44">
        <f t="shared" ref="BN59" si="183">SUBTOTAL(9,BN60:BN66)</f>
        <v>0</v>
      </c>
      <c r="BO59" s="44">
        <f t="shared" ref="BO59" si="184">SUBTOTAL(9,BO60:BO66)</f>
        <v>0</v>
      </c>
      <c r="BP59" s="44">
        <f t="shared" ref="BP59" si="185">SUBTOTAL(9,BP60:BP66)</f>
        <v>0</v>
      </c>
      <c r="BQ59" s="44">
        <f t="shared" ref="BQ59" si="186">SUBTOTAL(9,BQ60:BQ66)</f>
        <v>0</v>
      </c>
      <c r="BR59" s="44">
        <f t="shared" ref="BR59" si="187">SUBTOTAL(9,BR60:BR66)</f>
        <v>0</v>
      </c>
      <c r="BS59" s="44">
        <f t="shared" ref="BS59" si="188">SUBTOTAL(9,BS60:BS66)</f>
        <v>0</v>
      </c>
      <c r="BT59" s="44">
        <f t="shared" ref="BT59" si="189">SUBTOTAL(9,BT60:BT66)</f>
        <v>0</v>
      </c>
      <c r="BU59" s="44">
        <f t="shared" ref="BU59" si="190">SUBTOTAL(9,BU60:BU66)</f>
        <v>0</v>
      </c>
      <c r="BV59" s="44">
        <f t="shared" ref="BV59" si="191">SUBTOTAL(9,BV60:BV65)</f>
        <v>-35200</v>
      </c>
      <c r="BW59" s="44">
        <f t="shared" si="177"/>
        <v>0</v>
      </c>
    </row>
    <row r="60" spans="1:75" s="296" customFormat="1" ht="21.6" outlineLevel="2">
      <c r="A60" s="210" t="s">
        <v>347</v>
      </c>
      <c r="B60" s="65" t="s">
        <v>348</v>
      </c>
      <c r="C60" s="211" t="str">
        <f>+Tabla17[[#This Row],[Cuenta]]&amp;" - "&amp;Tabla17[[#This Row],[Descripcion Cuenta]]</f>
        <v>2.01.04.01 - Alimentacion</v>
      </c>
      <c r="D60" s="212"/>
      <c r="E60" s="213">
        <f t="shared" ref="E60:BW60" si="192">SUBTOTAL(9,E61:E64)</f>
        <v>0</v>
      </c>
      <c r="F60" s="213">
        <f t="shared" si="192"/>
        <v>0</v>
      </c>
      <c r="G60" s="213">
        <f t="shared" si="192"/>
        <v>0</v>
      </c>
      <c r="H60" s="213">
        <f t="shared" si="192"/>
        <v>0</v>
      </c>
      <c r="I60" s="213">
        <f>SUM(Tabla17[[#This Row],[sept-21]:[dic-21]])</f>
        <v>0</v>
      </c>
      <c r="J60" s="213">
        <f t="shared" si="192"/>
        <v>-34560</v>
      </c>
      <c r="K60" s="213">
        <f t="shared" si="192"/>
        <v>0</v>
      </c>
      <c r="L60" s="213">
        <f t="shared" si="192"/>
        <v>0</v>
      </c>
      <c r="M60" s="213">
        <f t="shared" si="192"/>
        <v>0</v>
      </c>
      <c r="N60" s="213">
        <f t="shared" si="192"/>
        <v>0</v>
      </c>
      <c r="O60" s="213">
        <f t="shared" si="192"/>
        <v>0</v>
      </c>
      <c r="P60" s="213">
        <f t="shared" si="192"/>
        <v>0</v>
      </c>
      <c r="Q60" s="213">
        <f t="shared" si="192"/>
        <v>0</v>
      </c>
      <c r="R60" s="213">
        <f t="shared" si="192"/>
        <v>0</v>
      </c>
      <c r="S60" s="213">
        <f t="shared" si="192"/>
        <v>0</v>
      </c>
      <c r="T60" s="213">
        <f t="shared" si="192"/>
        <v>0</v>
      </c>
      <c r="U60" s="213">
        <f t="shared" si="192"/>
        <v>0</v>
      </c>
      <c r="V60" s="213">
        <f t="shared" si="192"/>
        <v>-34560</v>
      </c>
      <c r="W60" s="213">
        <f t="shared" si="192"/>
        <v>0</v>
      </c>
      <c r="X60" s="213">
        <f t="shared" si="192"/>
        <v>0</v>
      </c>
      <c r="Y60" s="213">
        <f t="shared" si="192"/>
        <v>0</v>
      </c>
      <c r="Z60" s="213">
        <f t="shared" si="192"/>
        <v>0</v>
      </c>
      <c r="AA60" s="213">
        <f t="shared" si="192"/>
        <v>0</v>
      </c>
      <c r="AB60" s="213">
        <f t="shared" si="192"/>
        <v>0</v>
      </c>
      <c r="AC60" s="213">
        <f t="shared" si="192"/>
        <v>0</v>
      </c>
      <c r="AD60" s="213">
        <f t="shared" si="192"/>
        <v>0</v>
      </c>
      <c r="AE60" s="213">
        <f t="shared" si="192"/>
        <v>0</v>
      </c>
      <c r="AF60" s="213">
        <f t="shared" si="192"/>
        <v>0</v>
      </c>
      <c r="AG60" s="213">
        <f t="shared" si="192"/>
        <v>0</v>
      </c>
      <c r="AH60" s="213">
        <f t="shared" si="192"/>
        <v>0</v>
      </c>
      <c r="AI60" s="213">
        <f t="shared" si="192"/>
        <v>0</v>
      </c>
      <c r="AJ60" s="213">
        <f t="shared" si="192"/>
        <v>0</v>
      </c>
      <c r="AK60" s="213">
        <f t="shared" si="192"/>
        <v>0</v>
      </c>
      <c r="AL60" s="213">
        <f t="shared" si="192"/>
        <v>0</v>
      </c>
      <c r="AM60" s="213">
        <f t="shared" si="192"/>
        <v>0</v>
      </c>
      <c r="AN60" s="213">
        <f t="shared" si="192"/>
        <v>0</v>
      </c>
      <c r="AO60" s="213">
        <f t="shared" si="192"/>
        <v>0</v>
      </c>
      <c r="AP60" s="213">
        <f t="shared" si="192"/>
        <v>0</v>
      </c>
      <c r="AQ60" s="213">
        <f t="shared" si="192"/>
        <v>0</v>
      </c>
      <c r="AR60" s="213">
        <f t="shared" si="192"/>
        <v>0</v>
      </c>
      <c r="AS60" s="213">
        <f t="shared" si="192"/>
        <v>0</v>
      </c>
      <c r="AT60" s="213">
        <f t="shared" si="192"/>
        <v>0</v>
      </c>
      <c r="AU60" s="213">
        <f t="shared" si="192"/>
        <v>0</v>
      </c>
      <c r="AV60" s="213">
        <f t="shared" si="192"/>
        <v>0</v>
      </c>
      <c r="AW60" s="213">
        <f>SUBTOTAL(9,AW61:AW64)</f>
        <v>0</v>
      </c>
      <c r="AX60" s="213">
        <f t="shared" ref="AX60:BH60" si="193">SUBTOTAL(9,AX61:AX64)</f>
        <v>0</v>
      </c>
      <c r="AY60" s="213">
        <f t="shared" si="193"/>
        <v>0</v>
      </c>
      <c r="AZ60" s="213">
        <f t="shared" si="193"/>
        <v>-284981</v>
      </c>
      <c r="BA60" s="213">
        <f t="shared" si="193"/>
        <v>-14669</v>
      </c>
      <c r="BB60" s="213">
        <f t="shared" si="193"/>
        <v>0</v>
      </c>
      <c r="BC60" s="213">
        <f t="shared" si="193"/>
        <v>0</v>
      </c>
      <c r="BD60" s="213">
        <f t="shared" si="193"/>
        <v>0</v>
      </c>
      <c r="BE60" s="213">
        <f t="shared" si="193"/>
        <v>0</v>
      </c>
      <c r="BF60" s="213">
        <f t="shared" si="193"/>
        <v>0</v>
      </c>
      <c r="BG60" s="213">
        <f t="shared" si="193"/>
        <v>0</v>
      </c>
      <c r="BH60" s="213">
        <f t="shared" si="193"/>
        <v>0</v>
      </c>
      <c r="BI60" s="213">
        <f t="shared" si="192"/>
        <v>-299650</v>
      </c>
      <c r="BJ60" s="213">
        <f t="shared" ref="BJ60" si="194">SUBTOTAL(9,BJ61:BJ64)</f>
        <v>0</v>
      </c>
      <c r="BK60" s="213">
        <f t="shared" ref="BK60" si="195">SUBTOTAL(9,BK61:BK64)</f>
        <v>0</v>
      </c>
      <c r="BL60" s="213">
        <f t="shared" ref="BL60" si="196">SUBTOTAL(9,BL61:BL64)</f>
        <v>-35200</v>
      </c>
      <c r="BM60" s="213">
        <f t="shared" ref="BM60" si="197">SUBTOTAL(9,BM61:BM64)</f>
        <v>0</v>
      </c>
      <c r="BN60" s="213">
        <f t="shared" ref="BN60" si="198">SUBTOTAL(9,BN61:BN64)</f>
        <v>0</v>
      </c>
      <c r="BO60" s="213">
        <f t="shared" ref="BO60" si="199">SUBTOTAL(9,BO61:BO64)</f>
        <v>0</v>
      </c>
      <c r="BP60" s="213">
        <f t="shared" ref="BP60" si="200">SUBTOTAL(9,BP61:BP64)</f>
        <v>0</v>
      </c>
      <c r="BQ60" s="213">
        <f t="shared" ref="BQ60" si="201">SUBTOTAL(9,BQ61:BQ64)</f>
        <v>0</v>
      </c>
      <c r="BR60" s="213">
        <f t="shared" ref="BR60" si="202">SUBTOTAL(9,BR61:BR64)</f>
        <v>0</v>
      </c>
      <c r="BS60" s="213">
        <f t="shared" ref="BS60" si="203">SUBTOTAL(9,BS61:BS64)</f>
        <v>0</v>
      </c>
      <c r="BT60" s="213">
        <f t="shared" ref="BT60" si="204">SUBTOTAL(9,BT61:BT64)</f>
        <v>0</v>
      </c>
      <c r="BU60" s="213">
        <f t="shared" ref="BU60:BV60" si="205">SUBTOTAL(9,BU61:BU64)</f>
        <v>0</v>
      </c>
      <c r="BV60" s="213">
        <f t="shared" si="205"/>
        <v>-35200</v>
      </c>
      <c r="BW60" s="213">
        <f t="shared" si="192"/>
        <v>0</v>
      </c>
    </row>
    <row r="61" spans="1:75" s="297" customFormat="1" ht="21.6" outlineLevel="3">
      <c r="A61" s="234" t="s">
        <v>349</v>
      </c>
      <c r="B61" s="235" t="s">
        <v>350</v>
      </c>
      <c r="C61" s="236" t="str">
        <f>+Tabla17[[#This Row],[Cuenta]]&amp;" - "&amp;Tabla17[[#This Row],[Descripcion Cuenta]]</f>
        <v>2.01.04.01.1 - Desayuno</v>
      </c>
      <c r="D61" s="237"/>
      <c r="E61" s="238">
        <f>SUMIFS(Banco[Monto],Banco[CtaCtbl],$C61,Banco[Periodo Contable],TEXT(E$3,"mmm-yyyy"))</f>
        <v>0</v>
      </c>
      <c r="F61" s="238">
        <f>SUMIFS(Banco[Monto],Banco[CtaCtbl],$C61,Banco[Periodo Contable],TEXT(F$3,"mmm-yyyy"))</f>
        <v>0</v>
      </c>
      <c r="G61" s="238">
        <f>SUMIFS(Banco[Monto],Banco[CtaCtbl],$C61,Banco[Periodo Contable],TEXT(G$3,"mmm-yyyy"))</f>
        <v>0</v>
      </c>
      <c r="H61" s="238">
        <f>SUMIFS(Banco[Monto],Banco[CtaCtbl],$C61,Banco[Periodo Contable],TEXT(H$3,"mmm-yyyy"))</f>
        <v>0</v>
      </c>
      <c r="I61" s="238">
        <f>SUM(Tabla17[[#This Row],[sept-21]:[dic-21]])</f>
        <v>0</v>
      </c>
      <c r="J61" s="238">
        <f>SUMIFS(Banco[Monto],Banco[CtaCtbl],$C61,Banco[Periodo Contable],TEXT(J$3,"mmm-yyyy"))</f>
        <v>0</v>
      </c>
      <c r="K61" s="238">
        <f>SUMIFS(Banco[Monto],Banco[CtaCtbl],$C61,Banco[Periodo Contable],TEXT(K$3,"mmm-yyyy"))</f>
        <v>0</v>
      </c>
      <c r="L61" s="238">
        <f>SUMIFS(Banco[Monto],Banco[CtaCtbl],$C61,Banco[Periodo Contable],TEXT(L$3,"mmm-yyyy"))</f>
        <v>0</v>
      </c>
      <c r="M61" s="238">
        <f>SUMIFS(Banco[Monto],Banco[CtaCtbl],$C61,Banco[Periodo Contable],TEXT(M$3,"mmm-yyyy"))</f>
        <v>0</v>
      </c>
      <c r="N61" s="238">
        <f>SUMIFS(Banco[Monto],Banco[CtaCtbl],$C61,Banco[Periodo Contable],TEXT(N$3,"mmm-yyyy"))</f>
        <v>0</v>
      </c>
      <c r="O61" s="238">
        <f>SUMIFS(Banco[Monto],Banco[CtaCtbl],$C61,Banco[Periodo Contable],TEXT(O$3,"mmm-yyyy"))</f>
        <v>0</v>
      </c>
      <c r="P61" s="238">
        <f>SUMIFS(Banco[Monto],Banco[CtaCtbl],$C61,Banco[Periodo Contable],TEXT(P$3,"mmm-yyyy"))</f>
        <v>0</v>
      </c>
      <c r="Q61" s="238">
        <f>SUMIFS(Banco[Monto],Banco[CtaCtbl],$C61,Banco[Periodo Contable],TEXT(Q$3,"mmm-yyyy"))</f>
        <v>0</v>
      </c>
      <c r="R61" s="238">
        <f>SUMIFS(Banco[Monto],Banco[CtaCtbl],$C61,Banco[Periodo Contable],TEXT(R$3,"mmm-yyyy"))</f>
        <v>0</v>
      </c>
      <c r="S61" s="238">
        <f>SUMIFS(Banco[Monto],Banco[CtaCtbl],$C61,Banco[Periodo Contable],TEXT(S$3,"mmm-yyyy"))</f>
        <v>0</v>
      </c>
      <c r="T61" s="238">
        <f>SUMIFS(Banco[Monto],Banco[CtaCtbl],$C61,Banco[Periodo Contable],TEXT(T$3,"mmm-yyyy"))</f>
        <v>0</v>
      </c>
      <c r="U61" s="238">
        <f>SUMIFS(Banco[Monto],Banco[CtaCtbl],$C61,Banco[Periodo Contable],TEXT(U$3,"mmm-yyyy"))</f>
        <v>0</v>
      </c>
      <c r="V61" s="373">
        <f>SUM(Tabla17[[#This Row],[ene-22]:[dic-22]])</f>
        <v>0</v>
      </c>
      <c r="W61" s="238">
        <f>SUMIFS(Banco[Monto],Banco[CtaCtbl],$C61,Banco[Periodo Contable],TEXT(W$3,"mmm-yyyy"))</f>
        <v>0</v>
      </c>
      <c r="X61" s="238">
        <f>SUMIFS(Banco[Monto],Banco[CtaCtbl],$C61,Banco[Periodo Contable],TEXT(X$3,"mmm-yyyy"))</f>
        <v>0</v>
      </c>
      <c r="Y61" s="238">
        <f>SUMIFS(Banco[Monto],Banco[CtaCtbl],$C61,Banco[Periodo Contable],TEXT(Y$3,"mmm-yyyy"))</f>
        <v>0</v>
      </c>
      <c r="Z61" s="238">
        <f>SUMIFS(Banco[Monto],Banco[CtaCtbl],$C61,Banco[Periodo Contable],TEXT(Z$3,"mmm-yyyy"))</f>
        <v>0</v>
      </c>
      <c r="AA61" s="238">
        <f>SUMIFS(Banco[Monto],Banco[CtaCtbl],$C61,Banco[Periodo Contable],TEXT(AA$3,"mmm-yyyy"))</f>
        <v>0</v>
      </c>
      <c r="AB61" s="238">
        <f>SUMIFS(Banco[Monto],Banco[CtaCtbl],$C61,Banco[Periodo Contable],TEXT(AB$3,"mmm-yyyy"))</f>
        <v>0</v>
      </c>
      <c r="AC61" s="238">
        <f>SUMIFS(Banco[Monto],Banco[CtaCtbl],$C61,Banco[Periodo Contable],TEXT(AC$3,"mmm-yyyy"))</f>
        <v>0</v>
      </c>
      <c r="AD61" s="238">
        <f>SUMIFS(Banco[Monto],Banco[CtaCtbl],$C61,Banco[Periodo Contable],TEXT(AD$3,"mmm-yyyy"))</f>
        <v>0</v>
      </c>
      <c r="AE61" s="238">
        <f>SUMIFS(Banco[Monto],Banco[CtaCtbl],$C61,Banco[Periodo Contable],TEXT(AE$3,"mmm-yyyy"))</f>
        <v>0</v>
      </c>
      <c r="AF61" s="238">
        <f>SUMIFS(Banco[Monto],Banco[CtaCtbl],$C61,Banco[Periodo Contable],TEXT(AF$3,"mmm-yyyy"))</f>
        <v>0</v>
      </c>
      <c r="AG61" s="238">
        <f>SUMIFS(Banco[Monto],Banco[CtaCtbl],$C61,Banco[Periodo Contable],TEXT(AG$3,"mmm-yyyy"))</f>
        <v>0</v>
      </c>
      <c r="AH61" s="238">
        <f>SUMIFS(Banco[Monto],Banco[CtaCtbl],$C61,Banco[Periodo Contable],TEXT(AH$3,"mmm-yyyy"))</f>
        <v>0</v>
      </c>
      <c r="AI61" s="373">
        <f>SUM(Tabla17[[#This Row],[ene-23]:[dic-23]])</f>
        <v>0</v>
      </c>
      <c r="AJ61" s="238">
        <f>SUMIFS(Banco[Monto],Banco[CtaCtbl],$C61,Banco[Periodo Contable],TEXT(AJ$3,"mmm-yyyy"))</f>
        <v>0</v>
      </c>
      <c r="AK61" s="238">
        <f>SUMIFS(Banco[Monto],Banco[CtaCtbl],$C61,Banco[Periodo Contable],TEXT(AK$3,"mmm-yyyy"))</f>
        <v>0</v>
      </c>
      <c r="AL61" s="238">
        <f>SUMIFS(Banco[Monto],Banco[CtaCtbl],$C61,Banco[Periodo Contable],TEXT(AL$3,"mmm-yyyy"))</f>
        <v>0</v>
      </c>
      <c r="AM61" s="238">
        <f>SUMIFS(Banco[Monto],Banco[CtaCtbl],$C61,Banco[Periodo Contable],TEXT(AM$3,"mmm-yyyy"))</f>
        <v>0</v>
      </c>
      <c r="AN61" s="238">
        <f>SUMIFS(Banco[Monto],Banco[CtaCtbl],$C61,Banco[Periodo Contable],TEXT(AN$3,"mmm-yyyy"))</f>
        <v>0</v>
      </c>
      <c r="AO61" s="238">
        <f>SUMIFS(Banco[Monto],Banco[CtaCtbl],$C61,Banco[Periodo Contable],TEXT(AO$3,"mmm-yyyy"))</f>
        <v>0</v>
      </c>
      <c r="AP61" s="238">
        <f>SUMIFS(Banco[Monto],Banco[CtaCtbl],$C61,Banco[Periodo Contable],TEXT(AP$3,"mmm-yyyy"))</f>
        <v>0</v>
      </c>
      <c r="AQ61" s="238">
        <f>SUMIFS(Banco[Monto],Banco[CtaCtbl],$C61,Banco[Periodo Contable],TEXT(AQ$3,"mmm-yyyy"))</f>
        <v>0</v>
      </c>
      <c r="AR61" s="238">
        <f>SUMIFS(Banco[Monto],Banco[CtaCtbl],$C61,Banco[Periodo Contable],TEXT(AR$3,"mmm-yyyy"))</f>
        <v>0</v>
      </c>
      <c r="AS61" s="238">
        <f>SUMIFS(Banco[Monto],Banco[CtaCtbl],$C61,Banco[Periodo Contable],TEXT(AS$3,"mmm-yyyy"))</f>
        <v>0</v>
      </c>
      <c r="AT61" s="238">
        <f>SUMIFS(Banco[Monto],Banco[CtaCtbl],$C61,Banco[Periodo Contable],TEXT(AT$3,"mmm-yyyy"))</f>
        <v>0</v>
      </c>
      <c r="AU61" s="238">
        <f>SUMIFS(Banco[Monto],Banco[CtaCtbl],$C61,Banco[Periodo Contable],TEXT(AU$3,"mmm-yyyy"))</f>
        <v>0</v>
      </c>
      <c r="AV61" s="373">
        <f>SUM(Tabla17[[#This Row],[ene-24]:[dic-24]])</f>
        <v>0</v>
      </c>
      <c r="AW61" s="238">
        <f>SUMIFS(Banco[Monto],Banco[CtaCtbl],$C61,Banco[Periodo Contable],TEXT(AW$3,"mmm-yyyy"))</f>
        <v>0</v>
      </c>
      <c r="AX61" s="238">
        <f>SUMIFS(Banco[Monto],Banco[CtaCtbl],$C61,Banco[Periodo Contable],TEXT(AX$3,"mmm-yyyy"))</f>
        <v>0</v>
      </c>
      <c r="AY61" s="238">
        <f>SUMIFS(Banco[Monto],Banco[CtaCtbl],$C61,Banco[Periodo Contable],TEXT(AY$3,"mmm-yyyy"))</f>
        <v>0</v>
      </c>
      <c r="AZ61" s="238">
        <f>SUMIFS(Banco[Monto],Banco[CtaCtbl],$C61,Banco[Periodo Contable],TEXT(AZ$3,"mmm-yyyy"))</f>
        <v>-29500</v>
      </c>
      <c r="BA61" s="238">
        <f>SUMIFS(Banco[Monto],Banco[CtaCtbl],$C61,Banco[Periodo Contable],TEXT(BA$3,"mmm-yyyy"))</f>
        <v>-5880</v>
      </c>
      <c r="BB61" s="238">
        <f>SUMIFS(Banco[Monto],Banco[CtaCtbl],$C61,Banco[Periodo Contable],TEXT(BB$3,"mmm-yyyy"))</f>
        <v>0</v>
      </c>
      <c r="BC61" s="238">
        <f>SUMIFS(Banco[Monto],Banco[CtaCtbl],$C61,Banco[Periodo Contable],TEXT(BC$3,"mmm-yyyy"))</f>
        <v>0</v>
      </c>
      <c r="BD61" s="238">
        <f>SUMIFS(Banco[Monto],Banco[CtaCtbl],$C61,Banco[Periodo Contable],TEXT(BD$3,"mmm-yyyy"))</f>
        <v>0</v>
      </c>
      <c r="BE61" s="238">
        <f>SUMIFS(Banco[Monto],Banco[CtaCtbl],$C61,Banco[Periodo Contable],TEXT(BE$3,"mmm-yyyy"))</f>
        <v>0</v>
      </c>
      <c r="BF61" s="238">
        <f>SUMIFS(Banco[Monto],Banco[CtaCtbl],$C61,Banco[Periodo Contable],TEXT(BF$3,"mmm-yyyy"))</f>
        <v>0</v>
      </c>
      <c r="BG61" s="238">
        <f>SUMIFS(Banco[Monto],Banco[CtaCtbl],$C61,Banco[Periodo Contable],TEXT(BG$3,"mmm-yyyy"))</f>
        <v>0</v>
      </c>
      <c r="BH61" s="238">
        <f>SUMIFS(Banco[Monto],Banco[CtaCtbl],$C61,Banco[Periodo Contable],TEXT(BH$3,"mmm-yyyy"))</f>
        <v>0</v>
      </c>
      <c r="BI61" s="374">
        <f>SUM(Tabla17[[#This Row],[ene-25]:[dic-25]])</f>
        <v>-35380</v>
      </c>
      <c r="BJ61" s="238">
        <f>SUMIFS(Banco[Monto],Banco[CtaCtbl],$C61,Banco[Periodo Contable],TEXT(BJ$3,"mmm-yyyy"))</f>
        <v>0</v>
      </c>
      <c r="BK61" s="238">
        <f>SUMIFS(Banco[Monto],Banco[CtaCtbl],$C61,Banco[Periodo Contable],TEXT(BK$3,"mmm-yyyy"))</f>
        <v>0</v>
      </c>
      <c r="BL61" s="238">
        <f>SUMIFS(Banco[Monto],Banco[CtaCtbl],$C61,Banco[Periodo Contable],TEXT(BL$3,"mmm-yyyy"))</f>
        <v>0</v>
      </c>
      <c r="BM61" s="238">
        <f>SUMIFS(Banco[Monto],Banco[CtaCtbl],$C61,Banco[Periodo Contable],TEXT(BM$3,"mmm-yyyy"))</f>
        <v>0</v>
      </c>
      <c r="BN61" s="238">
        <f>SUMIFS(Banco[Monto],Banco[CtaCtbl],$C61,Banco[Periodo Contable],TEXT(BN$3,"mmm-yyyy"))</f>
        <v>0</v>
      </c>
      <c r="BO61" s="238">
        <f>SUMIFS(Banco[Monto],Banco[CtaCtbl],$C61,Banco[Periodo Contable],TEXT(BO$3,"mmm-yyyy"))</f>
        <v>0</v>
      </c>
      <c r="BP61" s="238">
        <f>SUMIFS(Banco[Monto],Banco[CtaCtbl],$C61,Banco[Periodo Contable],TEXT(BP$3,"mmm-yyyy"))</f>
        <v>0</v>
      </c>
      <c r="BQ61" s="238">
        <f>SUMIFS(Banco[Monto],Banco[CtaCtbl],$C61,Banco[Periodo Contable],TEXT(BQ$3,"mmm-yyyy"))</f>
        <v>0</v>
      </c>
      <c r="BR61" s="238">
        <f>SUMIFS(Banco[Monto],Banco[CtaCtbl],$C61,Banco[Periodo Contable],TEXT(BR$3,"mmm-yyyy"))</f>
        <v>0</v>
      </c>
      <c r="BS61" s="238">
        <f>SUMIFS(Banco[Monto],Banco[CtaCtbl],$C61,Banco[Periodo Contable],TEXT(BS$3,"mmm-yyyy"))</f>
        <v>0</v>
      </c>
      <c r="BT61" s="238">
        <f>SUMIFS(Banco[Monto],Banco[CtaCtbl],$C61,Banco[Periodo Contable],TEXT(BT$3,"mmm-yyyy"))</f>
        <v>0</v>
      </c>
      <c r="BU61" s="238">
        <f>SUMIFS(Banco[Monto],Banco[CtaCtbl],$C61,Banco[Periodo Contable],TEXT(BU$3,"mmm-yyyy"))</f>
        <v>0</v>
      </c>
      <c r="BV61" s="232">
        <f>SUM(Tabla17[[#This Row],[ene-26]:[dic-26]])</f>
        <v>0</v>
      </c>
      <c r="BW61" s="238">
        <f>SUMIFS(Banco[Monto],Banco[CtaCtbl],$C61,Banco[Periodo Contable],TEXT(BW$3,"mmm-yyyy"))</f>
        <v>0</v>
      </c>
    </row>
    <row r="62" spans="1:75" s="297" customFormat="1" ht="21.6" outlineLevel="3">
      <c r="A62" s="234" t="s">
        <v>351</v>
      </c>
      <c r="B62" s="235" t="s">
        <v>352</v>
      </c>
      <c r="C62" s="236" t="str">
        <f>+Tabla17[[#This Row],[Cuenta]]&amp;" - "&amp;Tabla17[[#This Row],[Descripcion Cuenta]]</f>
        <v>2.01.04.01.2 - Almuerzo</v>
      </c>
      <c r="D62" s="237"/>
      <c r="E62" s="238">
        <f>SUMIFS(Banco[Monto],Banco[CtaCtbl],$C62,Banco[Periodo Contable],TEXT(E$3,"mmm-yyyy"))</f>
        <v>0</v>
      </c>
      <c r="F62" s="238">
        <f>SUMIFS(Banco[Monto],Banco[CtaCtbl],$C62,Banco[Periodo Contable],TEXT(F$3,"mmm-yyyy"))</f>
        <v>0</v>
      </c>
      <c r="G62" s="238">
        <f>SUMIFS(Banco[Monto],Banco[CtaCtbl],$C62,Banco[Periodo Contable],TEXT(G$3,"mmm-yyyy"))</f>
        <v>0</v>
      </c>
      <c r="H62" s="238">
        <f>SUMIFS(Banco[Monto],Banco[CtaCtbl],$C62,Banco[Periodo Contable],TEXT(H$3,"mmm-yyyy"))</f>
        <v>0</v>
      </c>
      <c r="I62" s="238">
        <f>SUM(Tabla17[[#This Row],[sept-21]:[dic-21]])</f>
        <v>0</v>
      </c>
      <c r="J62" s="238">
        <f>SUMIFS(Banco[Monto],Banco[CtaCtbl],$C62,Banco[Periodo Contable],TEXT(J$3,"mmm-yyyy"))</f>
        <v>-34560</v>
      </c>
      <c r="K62" s="238">
        <f>SUMIFS(Banco[Monto],Banco[CtaCtbl],$C62,Banco[Periodo Contable],TEXT(K$3,"mmm-yyyy"))</f>
        <v>0</v>
      </c>
      <c r="L62" s="238">
        <f>SUMIFS(Banco[Monto],Banco[CtaCtbl],$C62,Banco[Periodo Contable],TEXT(L$3,"mmm-yyyy"))</f>
        <v>0</v>
      </c>
      <c r="M62" s="238">
        <f>SUMIFS(Banco[Monto],Banco[CtaCtbl],$C62,Banco[Periodo Contable],TEXT(M$3,"mmm-yyyy"))</f>
        <v>0</v>
      </c>
      <c r="N62" s="238">
        <f>SUMIFS(Banco[Monto],Banco[CtaCtbl],$C62,Banco[Periodo Contable],TEXT(N$3,"mmm-yyyy"))</f>
        <v>0</v>
      </c>
      <c r="O62" s="238">
        <f>SUMIFS(Banco[Monto],Banco[CtaCtbl],$C62,Banco[Periodo Contable],TEXT(O$3,"mmm-yyyy"))</f>
        <v>0</v>
      </c>
      <c r="P62" s="238">
        <f>SUMIFS(Banco[Monto],Banco[CtaCtbl],$C62,Banco[Periodo Contable],TEXT(P$3,"mmm-yyyy"))</f>
        <v>0</v>
      </c>
      <c r="Q62" s="238">
        <f>SUMIFS(Banco[Monto],Banco[CtaCtbl],$C62,Banco[Periodo Contable],TEXT(Q$3,"mmm-yyyy"))</f>
        <v>0</v>
      </c>
      <c r="R62" s="238">
        <f>SUMIFS(Banco[Monto],Banco[CtaCtbl],$C62,Banco[Periodo Contable],TEXT(R$3,"mmm-yyyy"))</f>
        <v>0</v>
      </c>
      <c r="S62" s="238">
        <f>SUMIFS(Banco[Monto],Banco[CtaCtbl],$C62,Banco[Periodo Contable],TEXT(S$3,"mmm-yyyy"))</f>
        <v>0</v>
      </c>
      <c r="T62" s="238">
        <f>SUMIFS(Banco[Monto],Banco[CtaCtbl],$C62,Banco[Periodo Contable],TEXT(T$3,"mmm-yyyy"))</f>
        <v>0</v>
      </c>
      <c r="U62" s="238">
        <f>SUMIFS(Banco[Monto],Banco[CtaCtbl],$C62,Banco[Periodo Contable],TEXT(U$3,"mmm-yyyy"))</f>
        <v>0</v>
      </c>
      <c r="V62" s="373">
        <f>SUM(Tabla17[[#This Row],[ene-22]:[dic-22]])</f>
        <v>-34560</v>
      </c>
      <c r="W62" s="238">
        <f>SUMIFS(Banco[Monto],Banco[CtaCtbl],$C62,Banco[Periodo Contable],TEXT(W$3,"mmm-yyyy"))</f>
        <v>0</v>
      </c>
      <c r="X62" s="238">
        <f>SUMIFS(Banco[Monto],Banco[CtaCtbl],$C62,Banco[Periodo Contable],TEXT(X$3,"mmm-yyyy"))</f>
        <v>0</v>
      </c>
      <c r="Y62" s="238">
        <f>SUMIFS(Banco[Monto],Banco[CtaCtbl],$C62,Banco[Periodo Contable],TEXT(Y$3,"mmm-yyyy"))</f>
        <v>0</v>
      </c>
      <c r="Z62" s="238">
        <f>SUMIFS(Banco[Monto],Banco[CtaCtbl],$C62,Banco[Periodo Contable],TEXT(Z$3,"mmm-yyyy"))</f>
        <v>0</v>
      </c>
      <c r="AA62" s="238">
        <f>SUMIFS(Banco[Monto],Banco[CtaCtbl],$C62,Banco[Periodo Contable],TEXT(AA$3,"mmm-yyyy"))</f>
        <v>0</v>
      </c>
      <c r="AB62" s="238">
        <f>SUMIFS(Banco[Monto],Banco[CtaCtbl],$C62,Banco[Periodo Contable],TEXT(AB$3,"mmm-yyyy"))</f>
        <v>0</v>
      </c>
      <c r="AC62" s="238">
        <f>SUMIFS(Banco[Monto],Banco[CtaCtbl],$C62,Banco[Periodo Contable],TEXT(AC$3,"mmm-yyyy"))</f>
        <v>0</v>
      </c>
      <c r="AD62" s="238">
        <f>SUMIFS(Banco[Monto],Banco[CtaCtbl],$C62,Banco[Periodo Contable],TEXT(AD$3,"mmm-yyyy"))</f>
        <v>0</v>
      </c>
      <c r="AE62" s="238">
        <f>SUMIFS(Banco[Monto],Banco[CtaCtbl],$C62,Banco[Periodo Contable],TEXT(AE$3,"mmm-yyyy"))</f>
        <v>0</v>
      </c>
      <c r="AF62" s="238">
        <f>SUMIFS(Banco[Monto],Banco[CtaCtbl],$C62,Banco[Periodo Contable],TEXT(AF$3,"mmm-yyyy"))</f>
        <v>0</v>
      </c>
      <c r="AG62" s="238">
        <f>SUMIFS(Banco[Monto],Banco[CtaCtbl],$C62,Banco[Periodo Contable],TEXT(AG$3,"mmm-yyyy"))</f>
        <v>0</v>
      </c>
      <c r="AH62" s="238">
        <f>SUMIFS(Banco[Monto],Banco[CtaCtbl],$C62,Banco[Periodo Contable],TEXT(AH$3,"mmm-yyyy"))</f>
        <v>0</v>
      </c>
      <c r="AI62" s="373">
        <f>SUM(Tabla17[[#This Row],[ene-23]:[dic-23]])</f>
        <v>0</v>
      </c>
      <c r="AJ62" s="238">
        <f>SUMIFS(Banco[Monto],Banco[CtaCtbl],$C62,Banco[Periodo Contable],TEXT(AJ$3,"mmm-yyyy"))</f>
        <v>0</v>
      </c>
      <c r="AK62" s="238">
        <f>SUMIFS(Banco[Monto],Banco[CtaCtbl],$C62,Banco[Periodo Contable],TEXT(AK$3,"mmm-yyyy"))</f>
        <v>0</v>
      </c>
      <c r="AL62" s="238">
        <f>SUMIFS(Banco[Monto],Banco[CtaCtbl],$C62,Banco[Periodo Contable],TEXT(AL$3,"mmm-yyyy"))</f>
        <v>0</v>
      </c>
      <c r="AM62" s="238">
        <f>SUMIFS(Banco[Monto],Banco[CtaCtbl],$C62,Banco[Periodo Contable],TEXT(AM$3,"mmm-yyyy"))</f>
        <v>0</v>
      </c>
      <c r="AN62" s="238">
        <f>SUMIFS(Banco[Monto],Banco[CtaCtbl],$C62,Banco[Periodo Contable],TEXT(AN$3,"mmm-yyyy"))</f>
        <v>0</v>
      </c>
      <c r="AO62" s="238">
        <f>SUMIFS(Banco[Monto],Banco[CtaCtbl],$C62,Banco[Periodo Contable],TEXT(AO$3,"mmm-yyyy"))</f>
        <v>0</v>
      </c>
      <c r="AP62" s="238">
        <f>SUMIFS(Banco[Monto],Banco[CtaCtbl],$C62,Banco[Periodo Contable],TEXT(AP$3,"mmm-yyyy"))</f>
        <v>0</v>
      </c>
      <c r="AQ62" s="238">
        <f>SUMIFS(Banco[Monto],Banco[CtaCtbl],$C62,Banco[Periodo Contable],TEXT(AQ$3,"mmm-yyyy"))</f>
        <v>0</v>
      </c>
      <c r="AR62" s="238">
        <f>SUMIFS(Banco[Monto],Banco[CtaCtbl],$C62,Banco[Periodo Contable],TEXT(AR$3,"mmm-yyyy"))</f>
        <v>0</v>
      </c>
      <c r="AS62" s="238">
        <f>SUMIFS(Banco[Monto],Banco[CtaCtbl],$C62,Banco[Periodo Contable],TEXT(AS$3,"mmm-yyyy"))</f>
        <v>0</v>
      </c>
      <c r="AT62" s="238">
        <f>SUMIFS(Banco[Monto],Banco[CtaCtbl],$C62,Banco[Periodo Contable],TEXT(AT$3,"mmm-yyyy"))</f>
        <v>0</v>
      </c>
      <c r="AU62" s="238">
        <f>SUMIFS(Banco[Monto],Banco[CtaCtbl],$C62,Banco[Periodo Contable],TEXT(AU$3,"mmm-yyyy"))</f>
        <v>0</v>
      </c>
      <c r="AV62" s="373">
        <f>SUM(Tabla17[[#This Row],[ene-24]:[dic-24]])</f>
        <v>0</v>
      </c>
      <c r="AW62" s="238">
        <f>SUMIFS(Banco[Monto],Banco[CtaCtbl],$C62,Banco[Periodo Contable],TEXT(AW$3,"mmm-yyyy"))</f>
        <v>0</v>
      </c>
      <c r="AX62" s="238">
        <f>SUMIFS(Banco[Monto],Banco[CtaCtbl],$C62,Banco[Periodo Contable],TEXT(AX$3,"mmm-yyyy"))</f>
        <v>0</v>
      </c>
      <c r="AY62" s="238">
        <f>SUMIFS(Banco[Monto],Banco[CtaCtbl],$C62,Banco[Periodo Contable],TEXT(AY$3,"mmm-yyyy"))</f>
        <v>0</v>
      </c>
      <c r="AZ62" s="238">
        <f>SUMIFS(Banco[Monto],Banco[CtaCtbl],$C62,Banco[Periodo Contable],TEXT(AZ$3,"mmm-yyyy"))</f>
        <v>-149376</v>
      </c>
      <c r="BA62" s="238">
        <f>SUMIFS(Banco[Monto],Banco[CtaCtbl],$C62,Banco[Periodo Contable],TEXT(BA$3,"mmm-yyyy"))</f>
        <v>-8789</v>
      </c>
      <c r="BB62" s="238">
        <f>SUMIFS(Banco[Monto],Banco[CtaCtbl],$C62,Banco[Periodo Contable],TEXT(BB$3,"mmm-yyyy"))</f>
        <v>0</v>
      </c>
      <c r="BC62" s="238">
        <f>SUMIFS(Banco[Monto],Banco[CtaCtbl],$C62,Banco[Periodo Contable],TEXT(BC$3,"mmm-yyyy"))</f>
        <v>0</v>
      </c>
      <c r="BD62" s="238">
        <f>SUMIFS(Banco[Monto],Banco[CtaCtbl],$C62,Banco[Periodo Contable],TEXT(BD$3,"mmm-yyyy"))</f>
        <v>0</v>
      </c>
      <c r="BE62" s="238">
        <f>SUMIFS(Banco[Monto],Banco[CtaCtbl],$C62,Banco[Periodo Contable],TEXT(BE$3,"mmm-yyyy"))</f>
        <v>0</v>
      </c>
      <c r="BF62" s="238">
        <f>SUMIFS(Banco[Monto],Banco[CtaCtbl],$C62,Banco[Periodo Contable],TEXT(BF$3,"mmm-yyyy"))</f>
        <v>0</v>
      </c>
      <c r="BG62" s="238">
        <f>SUMIFS(Banco[Monto],Banco[CtaCtbl],$C62,Banco[Periodo Contable],TEXT(BG$3,"mmm-yyyy"))</f>
        <v>0</v>
      </c>
      <c r="BH62" s="238">
        <f>SUMIFS(Banco[Monto],Banco[CtaCtbl],$C62,Banco[Periodo Contable],TEXT(BH$3,"mmm-yyyy"))</f>
        <v>0</v>
      </c>
      <c r="BI62" s="374">
        <f>SUM(Tabla17[[#This Row],[ene-25]:[dic-25]])</f>
        <v>-158165</v>
      </c>
      <c r="BJ62" s="238">
        <f>SUMIFS(Banco[Monto],Banco[CtaCtbl],$C62,Banco[Periodo Contable],TEXT(BJ$3,"mmm-yyyy"))</f>
        <v>0</v>
      </c>
      <c r="BK62" s="238">
        <f>SUMIFS(Banco[Monto],Banco[CtaCtbl],$C62,Banco[Periodo Contable],TEXT(BK$3,"mmm-yyyy"))</f>
        <v>0</v>
      </c>
      <c r="BL62" s="238">
        <f>SUMIFS(Banco[Monto],Banco[CtaCtbl],$C62,Banco[Periodo Contable],TEXT(BL$3,"mmm-yyyy"))</f>
        <v>0</v>
      </c>
      <c r="BM62" s="238">
        <f>SUMIFS(Banco[Monto],Banco[CtaCtbl],$C62,Banco[Periodo Contable],TEXT(BM$3,"mmm-yyyy"))</f>
        <v>0</v>
      </c>
      <c r="BN62" s="238">
        <f>SUMIFS(Banco[Monto],Banco[CtaCtbl],$C62,Banco[Periodo Contable],TEXT(BN$3,"mmm-yyyy"))</f>
        <v>0</v>
      </c>
      <c r="BO62" s="238">
        <f>SUMIFS(Banco[Monto],Banco[CtaCtbl],$C62,Banco[Periodo Contable],TEXT(BO$3,"mmm-yyyy"))</f>
        <v>0</v>
      </c>
      <c r="BP62" s="238">
        <f>SUMIFS(Banco[Monto],Banco[CtaCtbl],$C62,Banco[Periodo Contable],TEXT(BP$3,"mmm-yyyy"))</f>
        <v>0</v>
      </c>
      <c r="BQ62" s="238">
        <f>SUMIFS(Banco[Monto],Banco[CtaCtbl],$C62,Banco[Periodo Contable],TEXT(BQ$3,"mmm-yyyy"))</f>
        <v>0</v>
      </c>
      <c r="BR62" s="238">
        <f>SUMIFS(Banco[Monto],Banco[CtaCtbl],$C62,Banco[Periodo Contable],TEXT(BR$3,"mmm-yyyy"))</f>
        <v>0</v>
      </c>
      <c r="BS62" s="238">
        <f>SUMIFS(Banco[Monto],Banco[CtaCtbl],$C62,Banco[Periodo Contable],TEXT(BS$3,"mmm-yyyy"))</f>
        <v>0</v>
      </c>
      <c r="BT62" s="238">
        <f>SUMIFS(Banco[Monto],Banco[CtaCtbl],$C62,Banco[Periodo Contable],TEXT(BT$3,"mmm-yyyy"))</f>
        <v>0</v>
      </c>
      <c r="BU62" s="238">
        <f>SUMIFS(Banco[Monto],Banco[CtaCtbl],$C62,Banco[Periodo Contable],TEXT(BU$3,"mmm-yyyy"))</f>
        <v>0</v>
      </c>
      <c r="BV62" s="232">
        <f>SUM(Tabla17[[#This Row],[ene-26]:[dic-26]])</f>
        <v>0</v>
      </c>
      <c r="BW62" s="238">
        <f>SUMIFS(Banco[Monto],Banco[CtaCtbl],$C62,Banco[Periodo Contable],TEXT(BW$3,"mmm-yyyy"))</f>
        <v>0</v>
      </c>
    </row>
    <row r="63" spans="1:75" s="297" customFormat="1" ht="21.6" outlineLevel="3">
      <c r="A63" s="234" t="s">
        <v>353</v>
      </c>
      <c r="B63" s="235" t="s">
        <v>354</v>
      </c>
      <c r="C63" s="236" t="str">
        <f>+Tabla17[[#This Row],[Cuenta]]&amp;" - "&amp;Tabla17[[#This Row],[Descripcion Cuenta]]</f>
        <v>2.01.04.01.3 - Cena</v>
      </c>
      <c r="D63" s="237"/>
      <c r="E63" s="238">
        <f>SUMIFS(Banco[Monto],Banco[CtaCtbl],$C63,Banco[Periodo Contable],TEXT(E$3,"mmm-yyyy"))</f>
        <v>0</v>
      </c>
      <c r="F63" s="238">
        <f>SUMIFS(Banco[Monto],Banco[CtaCtbl],$C63,Banco[Periodo Contable],TEXT(F$3,"mmm-yyyy"))</f>
        <v>0</v>
      </c>
      <c r="G63" s="238">
        <f>SUMIFS(Banco[Monto],Banco[CtaCtbl],$C63,Banco[Periodo Contable],TEXT(G$3,"mmm-yyyy"))</f>
        <v>0</v>
      </c>
      <c r="H63" s="238">
        <f>SUMIFS(Banco[Monto],Banco[CtaCtbl],$C63,Banco[Periodo Contable],TEXT(H$3,"mmm-yyyy"))</f>
        <v>0</v>
      </c>
      <c r="I63" s="238">
        <f>SUM(Tabla17[[#This Row],[sept-21]:[dic-21]])</f>
        <v>0</v>
      </c>
      <c r="J63" s="238">
        <f>SUMIFS(Banco[Monto],Banco[CtaCtbl],$C63,Banco[Periodo Contable],TEXT(J$3,"mmm-yyyy"))</f>
        <v>0</v>
      </c>
      <c r="K63" s="238">
        <f>SUMIFS(Banco[Monto],Banco[CtaCtbl],$C63,Banco[Periodo Contable],TEXT(K$3,"mmm-yyyy"))</f>
        <v>0</v>
      </c>
      <c r="L63" s="238">
        <f>SUMIFS(Banco[Monto],Banco[CtaCtbl],$C63,Banco[Periodo Contable],TEXT(L$3,"mmm-yyyy"))</f>
        <v>0</v>
      </c>
      <c r="M63" s="238">
        <f>SUMIFS(Banco[Monto],Banco[CtaCtbl],$C63,Banco[Periodo Contable],TEXT(M$3,"mmm-yyyy"))</f>
        <v>0</v>
      </c>
      <c r="N63" s="238">
        <f>SUMIFS(Banco[Monto],Banco[CtaCtbl],$C63,Banco[Periodo Contable],TEXT(N$3,"mmm-yyyy"))</f>
        <v>0</v>
      </c>
      <c r="O63" s="238">
        <f>SUMIFS(Banco[Monto],Banco[CtaCtbl],$C63,Banco[Periodo Contable],TEXT(O$3,"mmm-yyyy"))</f>
        <v>0</v>
      </c>
      <c r="P63" s="238">
        <f>SUMIFS(Banco[Monto],Banco[CtaCtbl],$C63,Banco[Periodo Contable],TEXT(P$3,"mmm-yyyy"))</f>
        <v>0</v>
      </c>
      <c r="Q63" s="238">
        <f>SUMIFS(Banco[Monto],Banco[CtaCtbl],$C63,Banco[Periodo Contable],TEXT(Q$3,"mmm-yyyy"))</f>
        <v>0</v>
      </c>
      <c r="R63" s="238">
        <f>SUMIFS(Banco[Monto],Banco[CtaCtbl],$C63,Banco[Periodo Contable],TEXT(R$3,"mmm-yyyy"))</f>
        <v>0</v>
      </c>
      <c r="S63" s="238">
        <f>SUMIFS(Banco[Monto],Banco[CtaCtbl],$C63,Banco[Periodo Contable],TEXT(S$3,"mmm-yyyy"))</f>
        <v>0</v>
      </c>
      <c r="T63" s="238">
        <f>SUMIFS(Banco[Monto],Banco[CtaCtbl],$C63,Banco[Periodo Contable],TEXT(T$3,"mmm-yyyy"))</f>
        <v>0</v>
      </c>
      <c r="U63" s="238">
        <f>SUMIFS(Banco[Monto],Banco[CtaCtbl],$C63,Banco[Periodo Contable],TEXT(U$3,"mmm-yyyy"))</f>
        <v>0</v>
      </c>
      <c r="V63" s="373">
        <f>SUM(Tabla17[[#This Row],[ene-22]:[dic-22]])</f>
        <v>0</v>
      </c>
      <c r="W63" s="238">
        <f>SUMIFS(Banco[Monto],Banco[CtaCtbl],$C63,Banco[Periodo Contable],TEXT(W$3,"mmm-yyyy"))</f>
        <v>0</v>
      </c>
      <c r="X63" s="238">
        <f>SUMIFS(Banco[Monto],Banco[CtaCtbl],$C63,Banco[Periodo Contable],TEXT(X$3,"mmm-yyyy"))</f>
        <v>0</v>
      </c>
      <c r="Y63" s="238">
        <f>SUMIFS(Banco[Monto],Banco[CtaCtbl],$C63,Banco[Periodo Contable],TEXT(Y$3,"mmm-yyyy"))</f>
        <v>0</v>
      </c>
      <c r="Z63" s="238">
        <f>SUMIFS(Banco[Monto],Banco[CtaCtbl],$C63,Banco[Periodo Contable],TEXT(Z$3,"mmm-yyyy"))</f>
        <v>0</v>
      </c>
      <c r="AA63" s="238">
        <f>SUMIFS(Banco[Monto],Banco[CtaCtbl],$C63,Banco[Periodo Contable],TEXT(AA$3,"mmm-yyyy"))</f>
        <v>0</v>
      </c>
      <c r="AB63" s="238">
        <f>SUMIFS(Banco[Monto],Banco[CtaCtbl],$C63,Banco[Periodo Contable],TEXT(AB$3,"mmm-yyyy"))</f>
        <v>0</v>
      </c>
      <c r="AC63" s="238">
        <f>SUMIFS(Banco[Monto],Banco[CtaCtbl],$C63,Banco[Periodo Contable],TEXT(AC$3,"mmm-yyyy"))</f>
        <v>0</v>
      </c>
      <c r="AD63" s="238">
        <f>SUMIFS(Banco[Monto],Banco[CtaCtbl],$C63,Banco[Periodo Contable],TEXT(AD$3,"mmm-yyyy"))</f>
        <v>0</v>
      </c>
      <c r="AE63" s="238">
        <f>SUMIFS(Banco[Monto],Banco[CtaCtbl],$C63,Banco[Periodo Contable],TEXT(AE$3,"mmm-yyyy"))</f>
        <v>0</v>
      </c>
      <c r="AF63" s="238">
        <f>SUMIFS(Banco[Monto],Banco[CtaCtbl],$C63,Banco[Periodo Contable],TEXT(AF$3,"mmm-yyyy"))</f>
        <v>0</v>
      </c>
      <c r="AG63" s="238">
        <f>SUMIFS(Banco[Monto],Banco[CtaCtbl],$C63,Banco[Periodo Contable],TEXT(AG$3,"mmm-yyyy"))</f>
        <v>0</v>
      </c>
      <c r="AH63" s="238">
        <f>SUMIFS(Banco[Monto],Banco[CtaCtbl],$C63,Banco[Periodo Contable],TEXT(AH$3,"mmm-yyyy"))</f>
        <v>0</v>
      </c>
      <c r="AI63" s="373">
        <f>SUM(Tabla17[[#This Row],[ene-23]:[dic-23]])</f>
        <v>0</v>
      </c>
      <c r="AJ63" s="238">
        <f>SUMIFS(Banco[Monto],Banco[CtaCtbl],$C63,Banco[Periodo Contable],TEXT(AJ$3,"mmm-yyyy"))</f>
        <v>0</v>
      </c>
      <c r="AK63" s="238">
        <f>SUMIFS(Banco[Monto],Banco[CtaCtbl],$C63,Banco[Periodo Contable],TEXT(AK$3,"mmm-yyyy"))</f>
        <v>0</v>
      </c>
      <c r="AL63" s="238">
        <f>SUMIFS(Banco[Monto],Banco[CtaCtbl],$C63,Banco[Periodo Contable],TEXT(AL$3,"mmm-yyyy"))</f>
        <v>0</v>
      </c>
      <c r="AM63" s="238">
        <f>SUMIFS(Banco[Monto],Banco[CtaCtbl],$C63,Banco[Periodo Contable],TEXT(AM$3,"mmm-yyyy"))</f>
        <v>0</v>
      </c>
      <c r="AN63" s="238">
        <f>SUMIFS(Banco[Monto],Banco[CtaCtbl],$C63,Banco[Periodo Contable],TEXT(AN$3,"mmm-yyyy"))</f>
        <v>0</v>
      </c>
      <c r="AO63" s="238">
        <f>SUMIFS(Banco[Monto],Banco[CtaCtbl],$C63,Banco[Periodo Contable],TEXT(AO$3,"mmm-yyyy"))</f>
        <v>0</v>
      </c>
      <c r="AP63" s="238">
        <f>SUMIFS(Banco[Monto],Banco[CtaCtbl],$C63,Banco[Periodo Contable],TEXT(AP$3,"mmm-yyyy"))</f>
        <v>0</v>
      </c>
      <c r="AQ63" s="238">
        <f>SUMIFS(Banco[Monto],Banco[CtaCtbl],$C63,Banco[Periodo Contable],TEXT(AQ$3,"mmm-yyyy"))</f>
        <v>0</v>
      </c>
      <c r="AR63" s="238">
        <f>SUMIFS(Banco[Monto],Banco[CtaCtbl],$C63,Banco[Periodo Contable],TEXT(AR$3,"mmm-yyyy"))</f>
        <v>0</v>
      </c>
      <c r="AS63" s="238">
        <f>SUMIFS(Banco[Monto],Banco[CtaCtbl],$C63,Banco[Periodo Contable],TEXT(AS$3,"mmm-yyyy"))</f>
        <v>0</v>
      </c>
      <c r="AT63" s="238">
        <f>SUMIFS(Banco[Monto],Banco[CtaCtbl],$C63,Banco[Periodo Contable],TEXT(AT$3,"mmm-yyyy"))</f>
        <v>0</v>
      </c>
      <c r="AU63" s="238">
        <f>SUMIFS(Banco[Monto],Banco[CtaCtbl],$C63,Banco[Periodo Contable],TEXT(AU$3,"mmm-yyyy"))</f>
        <v>0</v>
      </c>
      <c r="AV63" s="373">
        <f>SUM(Tabla17[[#This Row],[ene-24]:[dic-24]])</f>
        <v>0</v>
      </c>
      <c r="AW63" s="238">
        <f>SUMIFS(Banco[Monto],Banco[CtaCtbl],$C63,Banco[Periodo Contable],TEXT(AW$3,"mmm-yyyy"))</f>
        <v>0</v>
      </c>
      <c r="AX63" s="238">
        <f>SUMIFS(Banco[Monto],Banco[CtaCtbl],$C63,Banco[Periodo Contable],TEXT(AX$3,"mmm-yyyy"))</f>
        <v>0</v>
      </c>
      <c r="AY63" s="238">
        <f>SUMIFS(Banco[Monto],Banco[CtaCtbl],$C63,Banco[Periodo Contable],TEXT(AY$3,"mmm-yyyy"))</f>
        <v>0</v>
      </c>
      <c r="AZ63" s="238">
        <f>SUMIFS(Banco[Monto],Banco[CtaCtbl],$C63,Banco[Periodo Contable],TEXT(AZ$3,"mmm-yyyy"))</f>
        <v>-106105</v>
      </c>
      <c r="BA63" s="238">
        <f>SUMIFS(Banco[Monto],Banco[CtaCtbl],$C63,Banco[Periodo Contable],TEXT(BA$3,"mmm-yyyy"))</f>
        <v>0</v>
      </c>
      <c r="BB63" s="238">
        <f>SUMIFS(Banco[Monto],Banco[CtaCtbl],$C63,Banco[Periodo Contable],TEXT(BB$3,"mmm-yyyy"))</f>
        <v>0</v>
      </c>
      <c r="BC63" s="238">
        <f>SUMIFS(Banco[Monto],Banco[CtaCtbl],$C63,Banco[Periodo Contable],TEXT(BC$3,"mmm-yyyy"))</f>
        <v>0</v>
      </c>
      <c r="BD63" s="238">
        <f>SUMIFS(Banco[Monto],Banco[CtaCtbl],$C63,Banco[Periodo Contable],TEXT(BD$3,"mmm-yyyy"))</f>
        <v>0</v>
      </c>
      <c r="BE63" s="238">
        <f>SUMIFS(Banco[Monto],Banco[CtaCtbl],$C63,Banco[Periodo Contable],TEXT(BE$3,"mmm-yyyy"))</f>
        <v>0</v>
      </c>
      <c r="BF63" s="238">
        <f>SUMIFS(Banco[Monto],Banco[CtaCtbl],$C63,Banco[Periodo Contable],TEXT(BF$3,"mmm-yyyy"))</f>
        <v>0</v>
      </c>
      <c r="BG63" s="238">
        <f>SUMIFS(Banco[Monto],Banco[CtaCtbl],$C63,Banco[Periodo Contable],TEXT(BG$3,"mmm-yyyy"))</f>
        <v>0</v>
      </c>
      <c r="BH63" s="238">
        <f>SUMIFS(Banco[Monto],Banco[CtaCtbl],$C63,Banco[Periodo Contable],TEXT(BH$3,"mmm-yyyy"))</f>
        <v>0</v>
      </c>
      <c r="BI63" s="374">
        <f>SUM(Tabla17[[#This Row],[ene-25]:[dic-25]])</f>
        <v>-106105</v>
      </c>
      <c r="BJ63" s="238">
        <f>SUMIFS(Banco[Monto],Banco[CtaCtbl],$C63,Banco[Periodo Contable],TEXT(BJ$3,"mmm-yyyy"))</f>
        <v>0</v>
      </c>
      <c r="BK63" s="238">
        <f>SUMIFS(Banco[Monto],Banco[CtaCtbl],$C63,Banco[Periodo Contable],TEXT(BK$3,"mmm-yyyy"))</f>
        <v>0</v>
      </c>
      <c r="BL63" s="238">
        <f>SUMIFS(Banco[Monto],Banco[CtaCtbl],$C63,Banco[Periodo Contable],TEXT(BL$3,"mmm-yyyy"))</f>
        <v>-35200</v>
      </c>
      <c r="BM63" s="238">
        <f>SUMIFS(Banco[Monto],Banco[CtaCtbl],$C63,Banco[Periodo Contable],TEXT(BM$3,"mmm-yyyy"))</f>
        <v>0</v>
      </c>
      <c r="BN63" s="238">
        <f>SUMIFS(Banco[Monto],Banco[CtaCtbl],$C63,Banco[Periodo Contable],TEXT(BN$3,"mmm-yyyy"))</f>
        <v>0</v>
      </c>
      <c r="BO63" s="238">
        <f>SUMIFS(Banco[Monto],Banco[CtaCtbl],$C63,Banco[Periodo Contable],TEXT(BO$3,"mmm-yyyy"))</f>
        <v>0</v>
      </c>
      <c r="BP63" s="238">
        <f>SUMIFS(Banco[Monto],Banco[CtaCtbl],$C63,Banco[Periodo Contable],TEXT(BP$3,"mmm-yyyy"))</f>
        <v>0</v>
      </c>
      <c r="BQ63" s="238">
        <f>SUMIFS(Banco[Monto],Banco[CtaCtbl],$C63,Banco[Periodo Contable],TEXT(BQ$3,"mmm-yyyy"))</f>
        <v>0</v>
      </c>
      <c r="BR63" s="238">
        <f>SUMIFS(Banco[Monto],Banco[CtaCtbl],$C63,Banco[Periodo Contable],TEXT(BR$3,"mmm-yyyy"))</f>
        <v>0</v>
      </c>
      <c r="BS63" s="238">
        <f>SUMIFS(Banco[Monto],Banco[CtaCtbl],$C63,Banco[Periodo Contable],TEXT(BS$3,"mmm-yyyy"))</f>
        <v>0</v>
      </c>
      <c r="BT63" s="238">
        <f>SUMIFS(Banco[Monto],Banco[CtaCtbl],$C63,Banco[Periodo Contable],TEXT(BT$3,"mmm-yyyy"))</f>
        <v>0</v>
      </c>
      <c r="BU63" s="238">
        <f>SUMIFS(Banco[Monto],Banco[CtaCtbl],$C63,Banco[Periodo Contable],TEXT(BU$3,"mmm-yyyy"))</f>
        <v>0</v>
      </c>
      <c r="BV63" s="232">
        <f>SUM(Tabla17[[#This Row],[ene-26]:[dic-26]])</f>
        <v>-35200</v>
      </c>
      <c r="BW63" s="238">
        <f>SUMIFS(Banco[Monto],Banco[CtaCtbl],$C63,Banco[Periodo Contable],TEXT(BW$3,"mmm-yyyy"))</f>
        <v>0</v>
      </c>
    </row>
    <row r="64" spans="1:75" s="297" customFormat="1" ht="21.6" outlineLevel="3">
      <c r="A64" s="234" t="s">
        <v>355</v>
      </c>
      <c r="B64" s="235" t="s">
        <v>356</v>
      </c>
      <c r="C64" s="236" t="str">
        <f>+Tabla17[[#This Row],[Cuenta]]&amp;" - "&amp;Tabla17[[#This Row],[Descripcion Cuenta]]</f>
        <v>2.01.04.01.4 - Comida Cambio de Directiva Sindical</v>
      </c>
      <c r="D64" s="237"/>
      <c r="E64" s="238">
        <f>SUMIFS(Banco[Monto],Banco[CtaCtbl],$C64,Banco[Periodo Contable],TEXT(E$3,"mmm-yyyy"))</f>
        <v>0</v>
      </c>
      <c r="F64" s="238">
        <f>SUMIFS(Banco[Monto],Banco[CtaCtbl],$C64,Banco[Periodo Contable],TEXT(F$3,"mmm-yyyy"))</f>
        <v>0</v>
      </c>
      <c r="G64" s="238">
        <f>SUMIFS(Banco[Monto],Banco[CtaCtbl],$C64,Banco[Periodo Contable],TEXT(G$3,"mmm-yyyy"))</f>
        <v>0</v>
      </c>
      <c r="H64" s="238">
        <f>SUMIFS(Banco[Monto],Banco[CtaCtbl],$C64,Banco[Periodo Contable],TEXT(H$3,"mmm-yyyy"))</f>
        <v>0</v>
      </c>
      <c r="I64" s="238">
        <f>SUM(Tabla17[[#This Row],[sept-21]:[dic-21]])</f>
        <v>0</v>
      </c>
      <c r="J64" s="238">
        <f>SUMIFS(Banco[Monto],Banco[CtaCtbl],$C64,Banco[Periodo Contable],TEXT(J$3,"mmm-yyyy"))</f>
        <v>0</v>
      </c>
      <c r="K64" s="238">
        <f>SUMIFS(Banco[Monto],Banco[CtaCtbl],$C64,Banco[Periodo Contable],TEXT(K$3,"mmm-yyyy"))</f>
        <v>0</v>
      </c>
      <c r="L64" s="238">
        <f>SUMIFS(Banco[Monto],Banco[CtaCtbl],$C64,Banco[Periodo Contable],TEXT(L$3,"mmm-yyyy"))</f>
        <v>0</v>
      </c>
      <c r="M64" s="238">
        <f>SUMIFS(Banco[Monto],Banco[CtaCtbl],$C64,Banco[Periodo Contable],TEXT(M$3,"mmm-yyyy"))</f>
        <v>0</v>
      </c>
      <c r="N64" s="238">
        <f>SUMIFS(Banco[Monto],Banco[CtaCtbl],$C64,Banco[Periodo Contable],TEXT(N$3,"mmm-yyyy"))</f>
        <v>0</v>
      </c>
      <c r="O64" s="238">
        <f>SUMIFS(Banco[Monto],Banco[CtaCtbl],$C64,Banco[Periodo Contable],TEXT(O$3,"mmm-yyyy"))</f>
        <v>0</v>
      </c>
      <c r="P64" s="238">
        <f>SUMIFS(Banco[Monto],Banco[CtaCtbl],$C64,Banco[Periodo Contable],TEXT(P$3,"mmm-yyyy"))</f>
        <v>0</v>
      </c>
      <c r="Q64" s="238">
        <f>SUMIFS(Banco[Monto],Banco[CtaCtbl],$C64,Banco[Periodo Contable],TEXT(Q$3,"mmm-yyyy"))</f>
        <v>0</v>
      </c>
      <c r="R64" s="238">
        <f>SUMIFS(Banco[Monto],Banco[CtaCtbl],$C64,Banco[Periodo Contable],TEXT(R$3,"mmm-yyyy"))</f>
        <v>0</v>
      </c>
      <c r="S64" s="238">
        <f>SUMIFS(Banco[Monto],Banco[CtaCtbl],$C64,Banco[Periodo Contable],TEXT(S$3,"mmm-yyyy"))</f>
        <v>0</v>
      </c>
      <c r="T64" s="238">
        <f>SUMIFS(Banco[Monto],Banco[CtaCtbl],$C64,Banco[Periodo Contable],TEXT(T$3,"mmm-yyyy"))</f>
        <v>0</v>
      </c>
      <c r="U64" s="238">
        <f>SUMIFS(Banco[Monto],Banco[CtaCtbl],$C64,Banco[Periodo Contable],TEXT(U$3,"mmm-yyyy"))</f>
        <v>0</v>
      </c>
      <c r="V64" s="373">
        <f>SUM(Tabla17[[#This Row],[ene-22]:[dic-22]])</f>
        <v>0</v>
      </c>
      <c r="W64" s="238">
        <f>SUMIFS(Banco[Monto],Banco[CtaCtbl],$C64,Banco[Periodo Contable],TEXT(W$3,"mmm-yyyy"))</f>
        <v>0</v>
      </c>
      <c r="X64" s="238">
        <f>SUMIFS(Banco[Monto],Banco[CtaCtbl],$C64,Banco[Periodo Contable],TEXT(X$3,"mmm-yyyy"))</f>
        <v>0</v>
      </c>
      <c r="Y64" s="238">
        <f>SUMIFS(Banco[Monto],Banco[CtaCtbl],$C64,Banco[Periodo Contable],TEXT(Y$3,"mmm-yyyy"))</f>
        <v>0</v>
      </c>
      <c r="Z64" s="238">
        <f>SUMIFS(Banco[Monto],Banco[CtaCtbl],$C64,Banco[Periodo Contable],TEXT(Z$3,"mmm-yyyy"))</f>
        <v>0</v>
      </c>
      <c r="AA64" s="238">
        <f>SUMIFS(Banco[Monto],Banco[CtaCtbl],$C64,Banco[Periodo Contable],TEXT(AA$3,"mmm-yyyy"))</f>
        <v>0</v>
      </c>
      <c r="AB64" s="238">
        <f>SUMIFS(Banco[Monto],Banco[CtaCtbl],$C64,Banco[Periodo Contable],TEXT(AB$3,"mmm-yyyy"))</f>
        <v>0</v>
      </c>
      <c r="AC64" s="238">
        <f>SUMIFS(Banco[Monto],Banco[CtaCtbl],$C64,Banco[Periodo Contable],TEXT(AC$3,"mmm-yyyy"))</f>
        <v>0</v>
      </c>
      <c r="AD64" s="238">
        <f>SUMIFS(Banco[Monto],Banco[CtaCtbl],$C64,Banco[Periodo Contable],TEXT(AD$3,"mmm-yyyy"))</f>
        <v>0</v>
      </c>
      <c r="AE64" s="238">
        <f>SUMIFS(Banco[Monto],Banco[CtaCtbl],$C64,Banco[Periodo Contable],TEXT(AE$3,"mmm-yyyy"))</f>
        <v>0</v>
      </c>
      <c r="AF64" s="238">
        <f>SUMIFS(Banco[Monto],Banco[CtaCtbl],$C64,Banco[Periodo Contable],TEXT(AF$3,"mmm-yyyy"))</f>
        <v>0</v>
      </c>
      <c r="AG64" s="238">
        <f>SUMIFS(Banco[Monto],Banco[CtaCtbl],$C64,Banco[Periodo Contable],TEXT(AG$3,"mmm-yyyy"))</f>
        <v>0</v>
      </c>
      <c r="AH64" s="238">
        <f>SUMIFS(Banco[Monto],Banco[CtaCtbl],$C64,Banco[Periodo Contable],TEXT(AH$3,"mmm-yyyy"))</f>
        <v>0</v>
      </c>
      <c r="AI64" s="373">
        <f>SUM(Tabla17[[#This Row],[ene-23]:[dic-23]])</f>
        <v>0</v>
      </c>
      <c r="AJ64" s="238">
        <f>SUMIFS(Banco[Monto],Banco[CtaCtbl],$C64,Banco[Periodo Contable],TEXT(AJ$3,"mmm-yyyy"))</f>
        <v>0</v>
      </c>
      <c r="AK64" s="238">
        <f>SUMIFS(Banco[Monto],Banco[CtaCtbl],$C64,Banco[Periodo Contable],TEXT(AK$3,"mmm-yyyy"))</f>
        <v>0</v>
      </c>
      <c r="AL64" s="238">
        <f>SUMIFS(Banco[Monto],Banco[CtaCtbl],$C64,Banco[Periodo Contable],TEXT(AL$3,"mmm-yyyy"))</f>
        <v>0</v>
      </c>
      <c r="AM64" s="238">
        <f>SUMIFS(Banco[Monto],Banco[CtaCtbl],$C64,Banco[Periodo Contable],TEXT(AM$3,"mmm-yyyy"))</f>
        <v>0</v>
      </c>
      <c r="AN64" s="238">
        <f>SUMIFS(Banco[Monto],Banco[CtaCtbl],$C64,Banco[Periodo Contable],TEXT(AN$3,"mmm-yyyy"))</f>
        <v>0</v>
      </c>
      <c r="AO64" s="238">
        <f>SUMIFS(Banco[Monto],Banco[CtaCtbl],$C64,Banco[Periodo Contable],TEXT(AO$3,"mmm-yyyy"))</f>
        <v>0</v>
      </c>
      <c r="AP64" s="238">
        <f>SUMIFS(Banco[Monto],Banco[CtaCtbl],$C64,Banco[Periodo Contable],TEXT(AP$3,"mmm-yyyy"))</f>
        <v>0</v>
      </c>
      <c r="AQ64" s="238">
        <f>SUMIFS(Banco[Monto],Banco[CtaCtbl],$C64,Banco[Periodo Contable],TEXT(AQ$3,"mmm-yyyy"))</f>
        <v>0</v>
      </c>
      <c r="AR64" s="238">
        <f>SUMIFS(Banco[Monto],Banco[CtaCtbl],$C64,Banco[Periodo Contable],TEXT(AR$3,"mmm-yyyy"))</f>
        <v>0</v>
      </c>
      <c r="AS64" s="238">
        <f>SUMIFS(Banco[Monto],Banco[CtaCtbl],$C64,Banco[Periodo Contable],TEXT(AS$3,"mmm-yyyy"))</f>
        <v>0</v>
      </c>
      <c r="AT64" s="238">
        <f>SUMIFS(Banco[Monto],Banco[CtaCtbl],$C64,Banco[Periodo Contable],TEXT(AT$3,"mmm-yyyy"))</f>
        <v>0</v>
      </c>
      <c r="AU64" s="238">
        <f>SUMIFS(Banco[Monto],Banco[CtaCtbl],$C64,Banco[Periodo Contable],TEXT(AU$3,"mmm-yyyy"))</f>
        <v>0</v>
      </c>
      <c r="AV64" s="373">
        <f>SUM(Tabla17[[#This Row],[ene-24]:[dic-24]])</f>
        <v>0</v>
      </c>
      <c r="AW64" s="238">
        <f>SUMIFS(Banco[Monto],Banco[CtaCtbl],$C64,Banco[Periodo Contable],TEXT(AW$3,"mmm-yyyy"))</f>
        <v>0</v>
      </c>
      <c r="AX64" s="238">
        <f>SUMIFS(Banco[Monto],Banco[CtaCtbl],$C64,Banco[Periodo Contable],TEXT(AX$3,"mmm-yyyy"))</f>
        <v>0</v>
      </c>
      <c r="AY64" s="238">
        <f>SUMIFS(Banco[Monto],Banco[CtaCtbl],$C64,Banco[Periodo Contable],TEXT(AY$3,"mmm-yyyy"))</f>
        <v>0</v>
      </c>
      <c r="AZ64" s="238">
        <f>SUMIFS(Banco[Monto],Banco[CtaCtbl],$C64,Banco[Periodo Contable],TEXT(AZ$3,"mmm-yyyy"))</f>
        <v>0</v>
      </c>
      <c r="BA64" s="238">
        <f>SUMIFS(Banco[Monto],Banco[CtaCtbl],$C64,Banco[Periodo Contable],TEXT(BA$3,"mmm-yyyy"))</f>
        <v>0</v>
      </c>
      <c r="BB64" s="238">
        <f>SUMIFS(Banco[Monto],Banco[CtaCtbl],$C64,Banco[Periodo Contable],TEXT(BB$3,"mmm-yyyy"))</f>
        <v>0</v>
      </c>
      <c r="BC64" s="238">
        <f>SUMIFS(Banco[Monto],Banco[CtaCtbl],$C64,Banco[Periodo Contable],TEXT(BC$3,"mmm-yyyy"))</f>
        <v>0</v>
      </c>
      <c r="BD64" s="238">
        <f>SUMIFS(Banco[Monto],Banco[CtaCtbl],$C64,Banco[Periodo Contable],TEXT(BD$3,"mmm-yyyy"))</f>
        <v>0</v>
      </c>
      <c r="BE64" s="238">
        <f>SUMIFS(Banco[Monto],Banco[CtaCtbl],$C64,Banco[Periodo Contable],TEXT(BE$3,"mmm-yyyy"))</f>
        <v>0</v>
      </c>
      <c r="BF64" s="238">
        <f>SUMIFS(Banco[Monto],Banco[CtaCtbl],$C64,Banco[Periodo Contable],TEXT(BF$3,"mmm-yyyy"))</f>
        <v>0</v>
      </c>
      <c r="BG64" s="238">
        <f>SUMIFS(Banco[Monto],Banco[CtaCtbl],$C64,Banco[Periodo Contable],TEXT(BG$3,"mmm-yyyy"))</f>
        <v>0</v>
      </c>
      <c r="BH64" s="238">
        <f>SUMIFS(Banco[Monto],Banco[CtaCtbl],$C64,Banco[Periodo Contable],TEXT(BH$3,"mmm-yyyy"))</f>
        <v>0</v>
      </c>
      <c r="BI64" s="374">
        <f>SUM(Tabla17[[#This Row],[ene-25]:[dic-25]])</f>
        <v>0</v>
      </c>
      <c r="BJ64" s="238">
        <f>SUMIFS(Banco[Monto],Banco[CtaCtbl],$C64,Banco[Periodo Contable],TEXT(BJ$3,"mmm-yyyy"))</f>
        <v>0</v>
      </c>
      <c r="BK64" s="238">
        <f>SUMIFS(Banco[Monto],Banco[CtaCtbl],$C64,Banco[Periodo Contable],TEXT(BK$3,"mmm-yyyy"))</f>
        <v>0</v>
      </c>
      <c r="BL64" s="238">
        <f>SUMIFS(Banco[Monto],Banco[CtaCtbl],$C64,Banco[Periodo Contable],TEXT(BL$3,"mmm-yyyy"))</f>
        <v>0</v>
      </c>
      <c r="BM64" s="238">
        <f>SUMIFS(Banco[Monto],Banco[CtaCtbl],$C64,Banco[Periodo Contable],TEXT(BM$3,"mmm-yyyy"))</f>
        <v>0</v>
      </c>
      <c r="BN64" s="238">
        <f>SUMIFS(Banco[Monto],Banco[CtaCtbl],$C64,Banco[Periodo Contable],TEXT(BN$3,"mmm-yyyy"))</f>
        <v>0</v>
      </c>
      <c r="BO64" s="238">
        <f>SUMIFS(Banco[Monto],Banco[CtaCtbl],$C64,Banco[Periodo Contable],TEXT(BO$3,"mmm-yyyy"))</f>
        <v>0</v>
      </c>
      <c r="BP64" s="238">
        <f>SUMIFS(Banco[Monto],Banco[CtaCtbl],$C64,Banco[Periodo Contable],TEXT(BP$3,"mmm-yyyy"))</f>
        <v>0</v>
      </c>
      <c r="BQ64" s="238">
        <f>SUMIFS(Banco[Monto],Banco[CtaCtbl],$C64,Banco[Periodo Contable],TEXT(BQ$3,"mmm-yyyy"))</f>
        <v>0</v>
      </c>
      <c r="BR64" s="238">
        <f>SUMIFS(Banco[Monto],Banco[CtaCtbl],$C64,Banco[Periodo Contable],TEXT(BR$3,"mmm-yyyy"))</f>
        <v>0</v>
      </c>
      <c r="BS64" s="238">
        <f>SUMIFS(Banco[Monto],Banco[CtaCtbl],$C64,Banco[Periodo Contable],TEXT(BS$3,"mmm-yyyy"))</f>
        <v>0</v>
      </c>
      <c r="BT64" s="238">
        <f>SUMIFS(Banco[Monto],Banco[CtaCtbl],$C64,Banco[Periodo Contable],TEXT(BT$3,"mmm-yyyy"))</f>
        <v>0</v>
      </c>
      <c r="BU64" s="238">
        <f>SUMIFS(Banco[Monto],Banco[CtaCtbl],$C64,Banco[Periodo Contable],TEXT(BU$3,"mmm-yyyy"))</f>
        <v>0</v>
      </c>
      <c r="BV64" s="232">
        <f>SUM(Tabla17[[#This Row],[ene-26]:[dic-26]])</f>
        <v>0</v>
      </c>
      <c r="BW64" s="238">
        <f>SUMIFS(Banco[Monto],Banco[CtaCtbl],$C64,Banco[Periodo Contable],TEXT(BW$3,"mmm-yyyy"))</f>
        <v>0</v>
      </c>
    </row>
    <row r="65" spans="1:75" s="293" customFormat="1" ht="21.6" outlineLevel="2">
      <c r="A65" s="206" t="s">
        <v>357</v>
      </c>
      <c r="B65" s="24" t="s">
        <v>358</v>
      </c>
      <c r="C65" s="207" t="str">
        <f>+Tabla17[[#This Row],[Cuenta]]&amp;" - "&amp;Tabla17[[#This Row],[Descripcion Cuenta]]</f>
        <v>2.01.04.02 - Alojamiento</v>
      </c>
      <c r="D65" s="208"/>
      <c r="E65" s="209">
        <f>SUMIFS(Banco[Monto],Banco[CtaCtbl],$C65,Banco[Periodo Contable],TEXT(E$3,"mmm-yyyy"))</f>
        <v>0</v>
      </c>
      <c r="F65" s="209">
        <f>SUMIFS(Banco[Monto],Banco[CtaCtbl],$C65,Banco[Periodo Contable],TEXT(F$3,"mmm-yyyy"))</f>
        <v>0</v>
      </c>
      <c r="G65" s="209">
        <f>SUMIFS(Banco[Monto],Banco[CtaCtbl],$C65,Banco[Periodo Contable],TEXT(G$3,"mmm-yyyy"))</f>
        <v>0</v>
      </c>
      <c r="H65" s="209">
        <f>SUMIFS(Banco[Monto],Banco[CtaCtbl],$C65,Banco[Periodo Contable],TEXT(H$3,"mmm-yyyy"))</f>
        <v>0</v>
      </c>
      <c r="I65" s="209">
        <f>SUM(Tabla17[[#This Row],[sept-21]:[dic-21]])</f>
        <v>0</v>
      </c>
      <c r="J65" s="209">
        <f>SUMIFS(Banco[Monto],Banco[CtaCtbl],$C65,Banco[Periodo Contable],TEXT(J$3,"mmm-yyyy"))</f>
        <v>-165450</v>
      </c>
      <c r="K65" s="209">
        <f>SUMIFS(Banco[Monto],Banco[CtaCtbl],$C65,Banco[Periodo Contable],TEXT(K$3,"mmm-yyyy"))</f>
        <v>0</v>
      </c>
      <c r="L65" s="209">
        <f>SUMIFS(Banco[Monto],Banco[CtaCtbl],$C65,Banco[Periodo Contable],TEXT(L$3,"mmm-yyyy"))</f>
        <v>0</v>
      </c>
      <c r="M65" s="209">
        <f>SUMIFS(Banco[Monto],Banco[CtaCtbl],$C65,Banco[Periodo Contable],TEXT(M$3,"mmm-yyyy"))</f>
        <v>0</v>
      </c>
      <c r="N65" s="209">
        <f>SUMIFS(Banco[Monto],Banco[CtaCtbl],$C65,Banco[Periodo Contable],TEXT(N$3,"mmm-yyyy"))</f>
        <v>0</v>
      </c>
      <c r="O65" s="209">
        <f>SUMIFS(Banco[Monto],Banco[CtaCtbl],$C65,Banco[Periodo Contable],TEXT(O$3,"mmm-yyyy"))</f>
        <v>0</v>
      </c>
      <c r="P65" s="209">
        <f>SUMIFS(Banco[Monto],Banco[CtaCtbl],$C65,Banco[Periodo Contable],TEXT(P$3,"mmm-yyyy"))</f>
        <v>0</v>
      </c>
      <c r="Q65" s="209">
        <f>SUMIFS(Banco[Monto],Banco[CtaCtbl],$C65,Banco[Periodo Contable],TEXT(Q$3,"mmm-yyyy"))</f>
        <v>0</v>
      </c>
      <c r="R65" s="209">
        <f>SUMIFS(Banco[Monto],Banco[CtaCtbl],$C65,Banco[Periodo Contable],TEXT(R$3,"mmm-yyyy"))</f>
        <v>0</v>
      </c>
      <c r="S65" s="209">
        <f>SUMIFS(Banco[Monto],Banco[CtaCtbl],$C65,Banco[Periodo Contable],TEXT(S$3,"mmm-yyyy"))</f>
        <v>0</v>
      </c>
      <c r="T65" s="209">
        <f>SUMIFS(Banco[Monto],Banco[CtaCtbl],$C65,Banco[Periodo Contable],TEXT(T$3,"mmm-yyyy"))</f>
        <v>0</v>
      </c>
      <c r="U65" s="209">
        <f>SUMIFS(Banco[Monto],Banco[CtaCtbl],$C65,Banco[Periodo Contable],TEXT(U$3,"mmm-yyyy"))</f>
        <v>0</v>
      </c>
      <c r="V65" s="300">
        <f>SUM(Tabla17[[#This Row],[ene-22]:[dic-22]])</f>
        <v>-165450</v>
      </c>
      <c r="W65" s="209">
        <f>SUMIFS(Banco[Monto],Banco[CtaCtbl],$C65,Banco[Periodo Contable],TEXT(W$3,"mmm-yyyy"))</f>
        <v>0</v>
      </c>
      <c r="X65" s="209">
        <f>SUMIFS(Banco[Monto],Banco[CtaCtbl],$C65,Banco[Periodo Contable],TEXT(X$3,"mmm-yyyy"))</f>
        <v>0</v>
      </c>
      <c r="Y65" s="209">
        <f>SUMIFS(Banco[Monto],Banco[CtaCtbl],$C65,Banco[Periodo Contable],TEXT(Y$3,"mmm-yyyy"))</f>
        <v>0</v>
      </c>
      <c r="Z65" s="209">
        <f>SUMIFS(Banco[Monto],Banco[CtaCtbl],$C65,Banco[Periodo Contable],TEXT(Z$3,"mmm-yyyy"))</f>
        <v>0</v>
      </c>
      <c r="AA65" s="209">
        <f>SUMIFS(Banco[Monto],Banco[CtaCtbl],$C65,Banco[Periodo Contable],TEXT(AA$3,"mmm-yyyy"))</f>
        <v>0</v>
      </c>
      <c r="AB65" s="209">
        <f>SUMIFS(Banco[Monto],Banco[CtaCtbl],$C65,Banco[Periodo Contable],TEXT(AB$3,"mmm-yyyy"))</f>
        <v>0</v>
      </c>
      <c r="AC65" s="209">
        <f>SUMIFS(Banco[Monto],Banco[CtaCtbl],$C65,Banco[Periodo Contable],TEXT(AC$3,"mmm-yyyy"))</f>
        <v>0</v>
      </c>
      <c r="AD65" s="209">
        <f>SUMIFS(Banco[Monto],Banco[CtaCtbl],$C65,Banco[Periodo Contable],TEXT(AD$3,"mmm-yyyy"))</f>
        <v>0</v>
      </c>
      <c r="AE65" s="209">
        <f>SUMIFS(Banco[Monto],Banco[CtaCtbl],$C65,Banco[Periodo Contable],TEXT(AE$3,"mmm-yyyy"))</f>
        <v>0</v>
      </c>
      <c r="AF65" s="209">
        <f>SUMIFS(Banco[Monto],Banco[CtaCtbl],$C65,Banco[Periodo Contable],TEXT(AF$3,"mmm-yyyy"))</f>
        <v>0</v>
      </c>
      <c r="AG65" s="209">
        <f>SUMIFS(Banco[Monto],Banco[CtaCtbl],$C65,Banco[Periodo Contable],TEXT(AG$3,"mmm-yyyy"))</f>
        <v>0</v>
      </c>
      <c r="AH65" s="209">
        <f>SUMIFS(Banco[Monto],Banco[CtaCtbl],$C65,Banco[Periodo Contable],TEXT(AH$3,"mmm-yyyy"))</f>
        <v>0</v>
      </c>
      <c r="AI65" s="300">
        <f>SUM(Tabla17[[#This Row],[ene-23]:[dic-23]])</f>
        <v>0</v>
      </c>
      <c r="AJ65" s="209">
        <f>SUMIFS(Banco[Monto],Banco[CtaCtbl],$C65,Banco[Periodo Contable],TEXT(AJ$3,"mmm-yyyy"))</f>
        <v>0</v>
      </c>
      <c r="AK65" s="209">
        <f>SUMIFS(Banco[Monto],Banco[CtaCtbl],$C65,Banco[Periodo Contable],TEXT(AK$3,"mmm-yyyy"))</f>
        <v>0</v>
      </c>
      <c r="AL65" s="209">
        <f>SUMIFS(Banco[Monto],Banco[CtaCtbl],$C65,Banco[Periodo Contable],TEXT(AL$3,"mmm-yyyy"))</f>
        <v>0</v>
      </c>
      <c r="AM65" s="209">
        <f>SUMIFS(Banco[Monto],Banco[CtaCtbl],$C65,Banco[Periodo Contable],TEXT(AM$3,"mmm-yyyy"))</f>
        <v>0</v>
      </c>
      <c r="AN65" s="209">
        <f>SUMIFS(Banco[Monto],Banco[CtaCtbl],$C65,Banco[Periodo Contable],TEXT(AN$3,"mmm-yyyy"))</f>
        <v>0</v>
      </c>
      <c r="AO65" s="209">
        <f>SUMIFS(Banco[Monto],Banco[CtaCtbl],$C65,Banco[Periodo Contable],TEXT(AO$3,"mmm-yyyy"))</f>
        <v>0</v>
      </c>
      <c r="AP65" s="209">
        <f>SUMIFS(Banco[Monto],Banco[CtaCtbl],$C65,Banco[Periodo Contable],TEXT(AP$3,"mmm-yyyy"))</f>
        <v>0</v>
      </c>
      <c r="AQ65" s="209">
        <f>SUMIFS(Banco[Monto],Banco[CtaCtbl],$C65,Banco[Periodo Contable],TEXT(AQ$3,"mmm-yyyy"))</f>
        <v>0</v>
      </c>
      <c r="AR65" s="209">
        <f>SUMIFS(Banco[Monto],Banco[CtaCtbl],$C65,Banco[Periodo Contable],TEXT(AR$3,"mmm-yyyy"))</f>
        <v>0</v>
      </c>
      <c r="AS65" s="209">
        <f>SUMIFS(Banco[Monto],Banco[CtaCtbl],$C65,Banco[Periodo Contable],TEXT(AS$3,"mmm-yyyy"))</f>
        <v>0</v>
      </c>
      <c r="AT65" s="209">
        <f>SUMIFS(Banco[Monto],Banco[CtaCtbl],$C65,Banco[Periodo Contable],TEXT(AT$3,"mmm-yyyy"))</f>
        <v>0</v>
      </c>
      <c r="AU65" s="209">
        <f>SUMIFS(Banco[Monto],Banco[CtaCtbl],$C65,Banco[Periodo Contable],TEXT(AU$3,"mmm-yyyy"))</f>
        <v>0</v>
      </c>
      <c r="AV65" s="300">
        <f>SUM(Tabla17[[#This Row],[ene-24]:[dic-24]])</f>
        <v>0</v>
      </c>
      <c r="AW65" s="209">
        <f>SUMIFS(Banco[Monto],Banco[CtaCtbl],$C65,Banco[Periodo Contable],TEXT(AW$3,"mmm-yyyy"))</f>
        <v>0</v>
      </c>
      <c r="AX65" s="209">
        <f>SUMIFS(Banco[Monto],Banco[CtaCtbl],$C65,Banco[Periodo Contable],TEXT(AX$3,"mmm-yyyy"))</f>
        <v>0</v>
      </c>
      <c r="AY65" s="209">
        <f>SUMIFS(Banco[Monto],Banco[CtaCtbl],$C65,Banco[Periodo Contable],TEXT(AY$3,"mmm-yyyy"))</f>
        <v>0</v>
      </c>
      <c r="AZ65" s="209">
        <f>SUMIFS(Banco[Monto],Banco[CtaCtbl],$C65,Banco[Periodo Contable],TEXT(AZ$3,"mmm-yyyy"))</f>
        <v>-422450</v>
      </c>
      <c r="BA65" s="209">
        <f>SUMIFS(Banco[Monto],Banco[CtaCtbl],$C65,Banco[Periodo Contable],TEXT(BA$3,"mmm-yyyy"))</f>
        <v>0</v>
      </c>
      <c r="BB65" s="209">
        <f>SUMIFS(Banco[Monto],Banco[CtaCtbl],$C65,Banco[Periodo Contable],TEXT(BB$3,"mmm-yyyy"))</f>
        <v>0</v>
      </c>
      <c r="BC65" s="209">
        <f>SUMIFS(Banco[Monto],Banco[CtaCtbl],$C65,Banco[Periodo Contable],TEXT(BC$3,"mmm-yyyy"))</f>
        <v>0</v>
      </c>
      <c r="BD65" s="209">
        <f>SUMIFS(Banco[Monto],Banco[CtaCtbl],$C65,Banco[Periodo Contable],TEXT(BD$3,"mmm-yyyy"))</f>
        <v>0</v>
      </c>
      <c r="BE65" s="209">
        <f>SUMIFS(Banco[Monto],Banco[CtaCtbl],$C65,Banco[Periodo Contable],TEXT(BE$3,"mmm-yyyy"))</f>
        <v>0</v>
      </c>
      <c r="BF65" s="209">
        <f>SUMIFS(Banco[Monto],Banco[CtaCtbl],$C65,Banco[Periodo Contable],TEXT(BF$3,"mmm-yyyy"))</f>
        <v>0</v>
      </c>
      <c r="BG65" s="209">
        <f>SUMIFS(Banco[Monto],Banco[CtaCtbl],$C65,Banco[Periodo Contable],TEXT(BG$3,"mmm-yyyy"))</f>
        <v>0</v>
      </c>
      <c r="BH65" s="209">
        <f>SUMIFS(Banco[Monto],Banco[CtaCtbl],$C65,Banco[Periodo Contable],TEXT(BH$3,"mmm-yyyy"))</f>
        <v>0</v>
      </c>
      <c r="BI65" s="232">
        <f>SUM(Tabla17[[#This Row],[ene-25]:[dic-25]])</f>
        <v>-422450</v>
      </c>
      <c r="BJ65" s="209">
        <f>SUMIFS(Banco[Monto],Banco[CtaCtbl],$C65,Banco[Periodo Contable],TEXT(BJ$3,"mmm-yyyy"))</f>
        <v>0</v>
      </c>
      <c r="BK65" s="209">
        <f>SUMIFS(Banco[Monto],Banco[CtaCtbl],$C65,Banco[Periodo Contable],TEXT(BK$3,"mmm-yyyy"))</f>
        <v>0</v>
      </c>
      <c r="BL65" s="209">
        <f>SUMIFS(Banco[Monto],Banco[CtaCtbl],$C65,Banco[Periodo Contable],TEXT(BL$3,"mmm-yyyy"))</f>
        <v>0</v>
      </c>
      <c r="BM65" s="209">
        <f>SUMIFS(Banco[Monto],Banco[CtaCtbl],$C65,Banco[Periodo Contable],TEXT(BM$3,"mmm-yyyy"))</f>
        <v>0</v>
      </c>
      <c r="BN65" s="209">
        <f>SUMIFS(Banco[Monto],Banco[CtaCtbl],$C65,Banco[Periodo Contable],TEXT(BN$3,"mmm-yyyy"))</f>
        <v>0</v>
      </c>
      <c r="BO65" s="209">
        <f>SUMIFS(Banco[Monto],Banco[CtaCtbl],$C65,Banco[Periodo Contable],TEXT(BO$3,"mmm-yyyy"))</f>
        <v>0</v>
      </c>
      <c r="BP65" s="209">
        <f>SUMIFS(Banco[Monto],Banco[CtaCtbl],$C65,Banco[Periodo Contable],TEXT(BP$3,"mmm-yyyy"))</f>
        <v>0</v>
      </c>
      <c r="BQ65" s="209">
        <f>SUMIFS(Banco[Monto],Banco[CtaCtbl],$C65,Banco[Periodo Contable],TEXT(BQ$3,"mmm-yyyy"))</f>
        <v>0</v>
      </c>
      <c r="BR65" s="209">
        <f>SUMIFS(Banco[Monto],Banco[CtaCtbl],$C65,Banco[Periodo Contable],TEXT(BR$3,"mmm-yyyy"))</f>
        <v>0</v>
      </c>
      <c r="BS65" s="209">
        <f>SUMIFS(Banco[Monto],Banco[CtaCtbl],$C65,Banco[Periodo Contable],TEXT(BS$3,"mmm-yyyy"))</f>
        <v>0</v>
      </c>
      <c r="BT65" s="209">
        <f>SUMIFS(Banco[Monto],Banco[CtaCtbl],$C65,Banco[Periodo Contable],TEXT(BT$3,"mmm-yyyy"))</f>
        <v>0</v>
      </c>
      <c r="BU65" s="209">
        <f>SUMIFS(Banco[Monto],Banco[CtaCtbl],$C65,Banco[Periodo Contable],TEXT(BU$3,"mmm-yyyy"))</f>
        <v>0</v>
      </c>
      <c r="BV65" s="232">
        <f>SUM(Tabla17[[#This Row],[ene-26]:[dic-26]])</f>
        <v>0</v>
      </c>
      <c r="BW65" s="209">
        <f>SUMIFS(Banco[Monto],Banco[CtaCtbl],$C65,Banco[Periodo Contable],TEXT(BW$3,"mmm-yyyy"))</f>
        <v>0</v>
      </c>
    </row>
    <row r="66" spans="1:75" s="293" customFormat="1" ht="21.6" outlineLevel="2">
      <c r="A66" s="217" t="s">
        <v>359</v>
      </c>
      <c r="B66" s="218" t="s">
        <v>360</v>
      </c>
      <c r="C66" s="219" t="str">
        <f>+Tabla17[[#This Row],[Cuenta]]&amp;" - "&amp;Tabla17[[#This Row],[Descripcion Cuenta]]</f>
        <v>2.01.04.03 - Otros gastos varios</v>
      </c>
      <c r="D66" s="220"/>
      <c r="E66" s="209">
        <f>SUMIFS(Banco[Monto],Banco[CtaCtbl],$C66,Banco[Periodo Contable],TEXT(E$3,"mmm-yyyy"))</f>
        <v>0</v>
      </c>
      <c r="F66" s="209">
        <f>SUMIFS(Banco[Monto],Banco[CtaCtbl],$C66,Banco[Periodo Contable],TEXT(F$3,"mmm-yyyy"))</f>
        <v>0</v>
      </c>
      <c r="G66" s="209">
        <f>SUMIFS(Banco[Monto],Banco[CtaCtbl],$C66,Banco[Periodo Contable],TEXT(G$3,"mmm-yyyy"))</f>
        <v>0</v>
      </c>
      <c r="H66" s="209">
        <f>SUMIFS(Banco[Monto],Banco[CtaCtbl],$C66,Banco[Periodo Contable],TEXT(H$3,"mmm-yyyy"))</f>
        <v>0</v>
      </c>
      <c r="I66" s="209">
        <f>SUM(Tabla17[[#This Row],[sept-21]:[dic-21]])</f>
        <v>0</v>
      </c>
      <c r="J66" s="209">
        <f>SUMIFS(Banco[Monto],Banco[CtaCtbl],$C66,Banco[Periodo Contable],TEXT(J$3,"mmm-yyyy"))</f>
        <v>0</v>
      </c>
      <c r="K66" s="209">
        <f>SUMIFS(Banco[Monto],Banco[CtaCtbl],$C66,Banco[Periodo Contable],TEXT(K$3,"mmm-yyyy"))</f>
        <v>0</v>
      </c>
      <c r="L66" s="209">
        <f>SUMIFS(Banco[Monto],Banco[CtaCtbl],$C66,Banco[Periodo Contable],TEXT(L$3,"mmm-yyyy"))</f>
        <v>0</v>
      </c>
      <c r="M66" s="209">
        <f>SUMIFS(Banco[Monto],Banco[CtaCtbl],$C66,Banco[Periodo Contable],TEXT(M$3,"mmm-yyyy"))</f>
        <v>-358471</v>
      </c>
      <c r="N66" s="209">
        <f>SUMIFS(Banco[Monto],Banco[CtaCtbl],$C66,Banco[Periodo Contable],TEXT(N$3,"mmm-yyyy"))</f>
        <v>0</v>
      </c>
      <c r="O66" s="209">
        <f>SUMIFS(Banco[Monto],Banco[CtaCtbl],$C66,Banco[Periodo Contable],TEXT(O$3,"mmm-yyyy"))</f>
        <v>0</v>
      </c>
      <c r="P66" s="209">
        <f>SUMIFS(Banco[Monto],Banco[CtaCtbl],$C66,Banco[Periodo Contable],TEXT(P$3,"mmm-yyyy"))</f>
        <v>0</v>
      </c>
      <c r="Q66" s="209">
        <f>SUMIFS(Banco[Monto],Banco[CtaCtbl],$C66,Banco[Periodo Contable],TEXT(Q$3,"mmm-yyyy"))</f>
        <v>-61230</v>
      </c>
      <c r="R66" s="209">
        <f>SUMIFS(Banco[Monto],Banco[CtaCtbl],$C66,Banco[Periodo Contable],TEXT(R$3,"mmm-yyyy"))</f>
        <v>0</v>
      </c>
      <c r="S66" s="209">
        <f>SUMIFS(Banco[Monto],Banco[CtaCtbl],$C66,Banco[Periodo Contable],TEXT(S$3,"mmm-yyyy"))</f>
        <v>0</v>
      </c>
      <c r="T66" s="209">
        <f>SUMIFS(Banco[Monto],Banco[CtaCtbl],$C66,Banco[Periodo Contable],TEXT(T$3,"mmm-yyyy"))</f>
        <v>0</v>
      </c>
      <c r="U66" s="209">
        <f>SUMIFS(Banco[Monto],Banco[CtaCtbl],$C66,Banco[Periodo Contable],TEXT(U$3,"mmm-yyyy"))</f>
        <v>-344041</v>
      </c>
      <c r="V66" s="300">
        <f>SUM(Tabla17[[#This Row],[ene-22]:[dic-22]])</f>
        <v>-763742</v>
      </c>
      <c r="W66" s="209">
        <f>SUMIFS(Banco[Monto],Banco[CtaCtbl],$C66,Banco[Periodo Contable],TEXT(W$3,"mmm-yyyy"))</f>
        <v>0</v>
      </c>
      <c r="X66" s="209">
        <f>SUMIFS(Banco[Monto],Banco[CtaCtbl],$C66,Banco[Periodo Contable],TEXT(X$3,"mmm-yyyy"))</f>
        <v>0</v>
      </c>
      <c r="Y66" s="209">
        <f>SUMIFS(Banco[Monto],Banco[CtaCtbl],$C66,Banco[Periodo Contable],TEXT(Y$3,"mmm-yyyy"))</f>
        <v>0</v>
      </c>
      <c r="Z66" s="209">
        <f>SUMIFS(Banco[Monto],Banco[CtaCtbl],$C66,Banco[Periodo Contable],TEXT(Z$3,"mmm-yyyy"))</f>
        <v>-165000</v>
      </c>
      <c r="AA66" s="209">
        <f>SUMIFS(Banco[Monto],Banco[CtaCtbl],$C66,Banco[Periodo Contable],TEXT(AA$3,"mmm-yyyy"))</f>
        <v>-181015</v>
      </c>
      <c r="AB66" s="209">
        <f>SUMIFS(Banco[Monto],Banco[CtaCtbl],$C66,Banco[Periodo Contable],TEXT(AB$3,"mmm-yyyy"))</f>
        <v>0</v>
      </c>
      <c r="AC66" s="209">
        <f>SUMIFS(Banco[Monto],Banco[CtaCtbl],$C66,Banco[Periodo Contable],TEXT(AC$3,"mmm-yyyy"))</f>
        <v>0</v>
      </c>
      <c r="AD66" s="209">
        <f>SUMIFS(Banco[Monto],Banco[CtaCtbl],$C66,Banco[Periodo Contable],TEXT(AD$3,"mmm-yyyy"))</f>
        <v>0</v>
      </c>
      <c r="AE66" s="209">
        <f>SUMIFS(Banco[Monto],Banco[CtaCtbl],$C66,Banco[Periodo Contable],TEXT(AE$3,"mmm-yyyy"))</f>
        <v>0</v>
      </c>
      <c r="AF66" s="209">
        <f>SUMIFS(Banco[Monto],Banco[CtaCtbl],$C66,Banco[Periodo Contable],TEXT(AF$3,"mmm-yyyy"))</f>
        <v>-73000</v>
      </c>
      <c r="AG66" s="209">
        <f>SUMIFS(Banco[Monto],Banco[CtaCtbl],$C66,Banco[Periodo Contable],TEXT(AG$3,"mmm-yyyy"))</f>
        <v>0</v>
      </c>
      <c r="AH66" s="209">
        <f>SUMIFS(Banco[Monto],Banco[CtaCtbl],$C66,Banco[Periodo Contable],TEXT(AH$3,"mmm-yyyy"))</f>
        <v>0</v>
      </c>
      <c r="AI66" s="300">
        <f>SUM(Tabla17[[#This Row],[ene-23]:[dic-23]])</f>
        <v>-419015</v>
      </c>
      <c r="AJ66" s="209">
        <f>SUMIFS(Banco[Monto],Banco[CtaCtbl],$C66,Banco[Periodo Contable],TEXT(AJ$3,"mmm-yyyy"))</f>
        <v>0</v>
      </c>
      <c r="AK66" s="209">
        <f>SUMIFS(Banco[Monto],Banco[CtaCtbl],$C66,Banco[Periodo Contable],TEXT(AK$3,"mmm-yyyy"))</f>
        <v>0</v>
      </c>
      <c r="AL66" s="209">
        <f>SUMIFS(Banco[Monto],Banco[CtaCtbl],$C66,Banco[Periodo Contable],TEXT(AL$3,"mmm-yyyy"))</f>
        <v>0</v>
      </c>
      <c r="AM66" s="209">
        <f>SUMIFS(Banco[Monto],Banco[CtaCtbl],$C66,Banco[Periodo Contable],TEXT(AM$3,"mmm-yyyy"))</f>
        <v>0</v>
      </c>
      <c r="AN66" s="209">
        <f>SUMIFS(Banco[Monto],Banco[CtaCtbl],$C66,Banco[Periodo Contable],TEXT(AN$3,"mmm-yyyy"))</f>
        <v>0</v>
      </c>
      <c r="AO66" s="209">
        <f>SUMIFS(Banco[Monto],Banco[CtaCtbl],$C66,Banco[Periodo Contable],TEXT(AO$3,"mmm-yyyy"))</f>
        <v>0</v>
      </c>
      <c r="AP66" s="209">
        <f>SUMIFS(Banco[Monto],Banco[CtaCtbl],$C66,Banco[Periodo Contable],TEXT(AP$3,"mmm-yyyy"))</f>
        <v>0</v>
      </c>
      <c r="AQ66" s="209">
        <f>SUMIFS(Banco[Monto],Banco[CtaCtbl],$C66,Banco[Periodo Contable],TEXT(AQ$3,"mmm-yyyy"))</f>
        <v>0</v>
      </c>
      <c r="AR66" s="209">
        <f>SUMIFS(Banco[Monto],Banco[CtaCtbl],$C66,Banco[Periodo Contable],TEXT(AR$3,"mmm-yyyy"))</f>
        <v>0</v>
      </c>
      <c r="AS66" s="209">
        <f>SUMIFS(Banco[Monto],Banco[CtaCtbl],$C66,Banco[Periodo Contable],TEXT(AS$3,"mmm-yyyy"))</f>
        <v>0</v>
      </c>
      <c r="AT66" s="209">
        <f>SUMIFS(Banco[Monto],Banco[CtaCtbl],$C66,Banco[Periodo Contable],TEXT(AT$3,"mmm-yyyy"))</f>
        <v>0</v>
      </c>
      <c r="AU66" s="209">
        <f>SUMIFS(Banco[Monto],Banco[CtaCtbl],$C66,Banco[Periodo Contable],TEXT(AU$3,"mmm-yyyy"))</f>
        <v>0</v>
      </c>
      <c r="AV66" s="300">
        <f>SUM(Tabla17[[#This Row],[ene-24]:[dic-24]])</f>
        <v>0</v>
      </c>
      <c r="AW66" s="209">
        <f>SUMIFS(Banco[Monto],Banco[CtaCtbl],$C66,Banco[Periodo Contable],TEXT(AW$3,"mmm-yyyy"))</f>
        <v>0</v>
      </c>
      <c r="AX66" s="209">
        <f>SUMIFS(Banco[Monto],Banco[CtaCtbl],$C66,Banco[Periodo Contable],TEXT(AX$3,"mmm-yyyy"))</f>
        <v>0</v>
      </c>
      <c r="AY66" s="209">
        <f>SUMIFS(Banco[Monto],Banco[CtaCtbl],$C66,Banco[Periodo Contable],TEXT(AY$3,"mmm-yyyy"))</f>
        <v>0</v>
      </c>
      <c r="AZ66" s="209">
        <f>SUMIFS(Banco[Monto],Banco[CtaCtbl],$C66,Banco[Periodo Contable],TEXT(AZ$3,"mmm-yyyy"))</f>
        <v>-6854</v>
      </c>
      <c r="BA66" s="209">
        <f>SUMIFS(Banco[Monto],Banco[CtaCtbl],$C66,Banco[Periodo Contable],TEXT(BA$3,"mmm-yyyy"))</f>
        <v>0</v>
      </c>
      <c r="BB66" s="209">
        <f>SUMIFS(Banco[Monto],Banco[CtaCtbl],$C66,Banco[Periodo Contable],TEXT(BB$3,"mmm-yyyy"))</f>
        <v>0</v>
      </c>
      <c r="BC66" s="209">
        <f>SUMIFS(Banco[Monto],Banco[CtaCtbl],$C66,Banco[Periodo Contable],TEXT(BC$3,"mmm-yyyy"))</f>
        <v>0</v>
      </c>
      <c r="BD66" s="209">
        <f>SUMIFS(Banco[Monto],Banco[CtaCtbl],$C66,Banco[Periodo Contable],TEXT(BD$3,"mmm-yyyy"))</f>
        <v>0</v>
      </c>
      <c r="BE66" s="209">
        <f>SUMIFS(Banco[Monto],Banco[CtaCtbl],$C66,Banco[Periodo Contable],TEXT(BE$3,"mmm-yyyy"))</f>
        <v>0</v>
      </c>
      <c r="BF66" s="209">
        <f>SUMIFS(Banco[Monto],Banco[CtaCtbl],$C66,Banco[Periodo Contable],TEXT(BF$3,"mmm-yyyy"))</f>
        <v>0</v>
      </c>
      <c r="BG66" s="209">
        <f>SUMIFS(Banco[Monto],Banco[CtaCtbl],$C66,Banco[Periodo Contable],TEXT(BG$3,"mmm-yyyy"))</f>
        <v>0</v>
      </c>
      <c r="BH66" s="209">
        <f>SUMIFS(Banco[Monto],Banco[CtaCtbl],$C66,Banco[Periodo Contable],TEXT(BH$3,"mmm-yyyy"))</f>
        <v>0</v>
      </c>
      <c r="BI66" s="232">
        <f>SUM(Tabla17[[#This Row],[ene-25]:[dic-25]])</f>
        <v>-6854</v>
      </c>
      <c r="BJ66" s="209">
        <f>SUMIFS(Banco[Monto],Banco[CtaCtbl],$C66,Banco[Periodo Contable],TEXT(BJ$3,"mmm-yyyy"))</f>
        <v>0</v>
      </c>
      <c r="BK66" s="209">
        <f>SUMIFS(Banco[Monto],Banco[CtaCtbl],$C66,Banco[Periodo Contable],TEXT(BK$3,"mmm-yyyy"))</f>
        <v>0</v>
      </c>
      <c r="BL66" s="209">
        <f>SUMIFS(Banco[Monto],Banco[CtaCtbl],$C66,Banco[Periodo Contable],TEXT(BL$3,"mmm-yyyy"))</f>
        <v>0</v>
      </c>
      <c r="BM66" s="209">
        <f>SUMIFS(Banco[Monto],Banco[CtaCtbl],$C66,Banco[Periodo Contable],TEXT(BM$3,"mmm-yyyy"))</f>
        <v>0</v>
      </c>
      <c r="BN66" s="209">
        <f>SUMIFS(Banco[Monto],Banco[CtaCtbl],$C66,Banco[Periodo Contable],TEXT(BN$3,"mmm-yyyy"))</f>
        <v>0</v>
      </c>
      <c r="BO66" s="209">
        <f>SUMIFS(Banco[Monto],Banco[CtaCtbl],$C66,Banco[Periodo Contable],TEXT(BO$3,"mmm-yyyy"))</f>
        <v>0</v>
      </c>
      <c r="BP66" s="209">
        <f>SUMIFS(Banco[Monto],Banco[CtaCtbl],$C66,Banco[Periodo Contable],TEXT(BP$3,"mmm-yyyy"))</f>
        <v>0</v>
      </c>
      <c r="BQ66" s="209">
        <f>SUMIFS(Banco[Monto],Banco[CtaCtbl],$C66,Banco[Periodo Contable],TEXT(BQ$3,"mmm-yyyy"))</f>
        <v>0</v>
      </c>
      <c r="BR66" s="209">
        <f>SUMIFS(Banco[Monto],Banco[CtaCtbl],$C66,Banco[Periodo Contable],TEXT(BR$3,"mmm-yyyy"))</f>
        <v>0</v>
      </c>
      <c r="BS66" s="209">
        <f>SUMIFS(Banco[Monto],Banco[CtaCtbl],$C66,Banco[Periodo Contable],TEXT(BS$3,"mmm-yyyy"))</f>
        <v>0</v>
      </c>
      <c r="BT66" s="209">
        <f>SUMIFS(Banco[Monto],Banco[CtaCtbl],$C66,Banco[Periodo Contable],TEXT(BT$3,"mmm-yyyy"))</f>
        <v>0</v>
      </c>
      <c r="BU66" s="209">
        <f>SUMIFS(Banco[Monto],Banco[CtaCtbl],$C66,Banco[Periodo Contable],TEXT(BU$3,"mmm-yyyy"))</f>
        <v>0</v>
      </c>
      <c r="BV66" s="232">
        <f>SUM(Tabla17[[#This Row],[ene-26]:[dic-26]])</f>
        <v>0</v>
      </c>
      <c r="BW66" s="209">
        <f>SUMIFS(Banco[Monto],Banco[CtaCtbl],$C66,Banco[Periodo Contable],TEXT(BW$3,"mmm-yyyy"))</f>
        <v>0</v>
      </c>
    </row>
    <row r="67" spans="1:75" ht="21.6" outlineLevel="1">
      <c r="A67" s="336" t="s">
        <v>361</v>
      </c>
      <c r="B67" s="337" t="s">
        <v>362</v>
      </c>
      <c r="C67" s="338" t="str">
        <f>+Tabla17[[#This Row],[Cuenta]]&amp;" - "&amp;Tabla17[[#This Row],[Descripcion Cuenta]]</f>
        <v>2.02 - Gastos Ordinario</v>
      </c>
      <c r="D67" s="339" t="s">
        <v>363</v>
      </c>
      <c r="E67" s="340">
        <f>SUBTOTAL(9,E68:E83)</f>
        <v>0</v>
      </c>
      <c r="F67" s="340">
        <f>SUBTOTAL(9,F68:F83)</f>
        <v>0</v>
      </c>
      <c r="G67" s="340">
        <f>SUBTOTAL(9,G68:G83)</f>
        <v>0</v>
      </c>
      <c r="H67" s="340">
        <f>SUBTOTAL(9,H68:H83)</f>
        <v>0</v>
      </c>
      <c r="I67" s="340">
        <f>SUM(Tabla17[[#This Row],[sept-21]:[dic-21]])</f>
        <v>0</v>
      </c>
      <c r="J67" s="340">
        <f t="shared" ref="J67:AW67" si="206">SUBTOTAL(9,J68:J83)</f>
        <v>0</v>
      </c>
      <c r="K67" s="340">
        <f t="shared" si="206"/>
        <v>0</v>
      </c>
      <c r="L67" s="340">
        <f t="shared" si="206"/>
        <v>-15816</v>
      </c>
      <c r="M67" s="340">
        <f t="shared" si="206"/>
        <v>-15606</v>
      </c>
      <c r="N67" s="340">
        <f t="shared" si="206"/>
        <v>0</v>
      </c>
      <c r="O67" s="340">
        <f t="shared" si="206"/>
        <v>-109500000</v>
      </c>
      <c r="P67" s="340">
        <f t="shared" si="206"/>
        <v>0</v>
      </c>
      <c r="Q67" s="340">
        <f t="shared" si="206"/>
        <v>0</v>
      </c>
      <c r="R67" s="340">
        <f t="shared" si="206"/>
        <v>-5375701</v>
      </c>
      <c r="S67" s="340">
        <f t="shared" si="206"/>
        <v>0</v>
      </c>
      <c r="T67" s="340">
        <f t="shared" si="206"/>
        <v>0</v>
      </c>
      <c r="U67" s="340">
        <f t="shared" si="206"/>
        <v>0</v>
      </c>
      <c r="V67" s="340">
        <f t="shared" si="206"/>
        <v>-114907123</v>
      </c>
      <c r="W67" s="340">
        <f t="shared" si="206"/>
        <v>0</v>
      </c>
      <c r="X67" s="340">
        <f t="shared" si="206"/>
        <v>0</v>
      </c>
      <c r="Y67" s="340">
        <f t="shared" si="206"/>
        <v>0</v>
      </c>
      <c r="Z67" s="340">
        <f t="shared" si="206"/>
        <v>0</v>
      </c>
      <c r="AA67" s="340">
        <f t="shared" si="206"/>
        <v>0</v>
      </c>
      <c r="AB67" s="340">
        <f t="shared" si="206"/>
        <v>0</v>
      </c>
      <c r="AC67" s="340">
        <f t="shared" si="206"/>
        <v>0</v>
      </c>
      <c r="AD67" s="340">
        <f t="shared" si="206"/>
        <v>-1859252</v>
      </c>
      <c r="AE67" s="340">
        <f t="shared" si="206"/>
        <v>-1848152</v>
      </c>
      <c r="AF67" s="340">
        <f t="shared" si="206"/>
        <v>-277778</v>
      </c>
      <c r="AG67" s="340">
        <f t="shared" si="206"/>
        <v>0</v>
      </c>
      <c r="AH67" s="340">
        <f t="shared" si="206"/>
        <v>0</v>
      </c>
      <c r="AI67" s="340">
        <f t="shared" si="206"/>
        <v>-3985182</v>
      </c>
      <c r="AJ67" s="340">
        <f t="shared" si="206"/>
        <v>0</v>
      </c>
      <c r="AK67" s="340">
        <f t="shared" si="206"/>
        <v>0</v>
      </c>
      <c r="AL67" s="340">
        <f t="shared" si="206"/>
        <v>0</v>
      </c>
      <c r="AM67" s="340">
        <f t="shared" si="206"/>
        <v>0</v>
      </c>
      <c r="AN67" s="340">
        <f t="shared" si="206"/>
        <v>0</v>
      </c>
      <c r="AO67" s="340">
        <f t="shared" si="206"/>
        <v>-692800</v>
      </c>
      <c r="AP67" s="340">
        <f t="shared" si="206"/>
        <v>0</v>
      </c>
      <c r="AQ67" s="340">
        <f t="shared" si="206"/>
        <v>0</v>
      </c>
      <c r="AR67" s="340">
        <f t="shared" si="206"/>
        <v>0</v>
      </c>
      <c r="AS67" s="340">
        <f t="shared" si="206"/>
        <v>-3958020</v>
      </c>
      <c r="AT67" s="340">
        <f t="shared" si="206"/>
        <v>0</v>
      </c>
      <c r="AU67" s="340">
        <f t="shared" si="206"/>
        <v>-219384</v>
      </c>
      <c r="AV67" s="340">
        <f t="shared" si="206"/>
        <v>-4870204</v>
      </c>
      <c r="AW67" s="340">
        <f t="shared" si="206"/>
        <v>0</v>
      </c>
      <c r="AX67" s="340">
        <f t="shared" ref="AX67:BH67" si="207">SUBTOTAL(9,AX68:AX83)</f>
        <v>0</v>
      </c>
      <c r="AY67" s="340">
        <f t="shared" si="207"/>
        <v>0</v>
      </c>
      <c r="AZ67" s="340">
        <f t="shared" si="207"/>
        <v>0</v>
      </c>
      <c r="BA67" s="340">
        <f t="shared" si="207"/>
        <v>0</v>
      </c>
      <c r="BB67" s="340">
        <f t="shared" si="207"/>
        <v>-628170220</v>
      </c>
      <c r="BC67" s="340">
        <f t="shared" si="207"/>
        <v>-26772482</v>
      </c>
      <c r="BD67" s="340">
        <f t="shared" si="207"/>
        <v>-1137776</v>
      </c>
      <c r="BE67" s="340">
        <f t="shared" si="207"/>
        <v>0</v>
      </c>
      <c r="BF67" s="340">
        <f t="shared" si="207"/>
        <v>0</v>
      </c>
      <c r="BG67" s="340">
        <f t="shared" si="207"/>
        <v>-207152</v>
      </c>
      <c r="BH67" s="340">
        <f t="shared" si="207"/>
        <v>-16997100</v>
      </c>
      <c r="BI67" s="340">
        <f>SUBTOTAL(9,BI68:BI83)</f>
        <v>-673284730</v>
      </c>
      <c r="BJ67" s="340">
        <f t="shared" ref="BJ67" si="208">SUBTOTAL(9,BJ68:BJ83)</f>
        <v>0</v>
      </c>
      <c r="BK67" s="340">
        <f t="shared" ref="BK67" si="209">SUBTOTAL(9,BK68:BK83)</f>
        <v>0</v>
      </c>
      <c r="BL67" s="340">
        <f t="shared" ref="BL67" si="210">SUBTOTAL(9,BL68:BL83)</f>
        <v>0</v>
      </c>
      <c r="BM67" s="340">
        <f t="shared" ref="BM67" si="211">SUBTOTAL(9,BM68:BM83)</f>
        <v>0</v>
      </c>
      <c r="BN67" s="340">
        <f t="shared" ref="BN67" si="212">SUBTOTAL(9,BN68:BN83)</f>
        <v>0</v>
      </c>
      <c r="BO67" s="340">
        <f t="shared" ref="BO67" si="213">SUBTOTAL(9,BO68:BO83)</f>
        <v>0</v>
      </c>
      <c r="BP67" s="340">
        <f t="shared" ref="BP67" si="214">SUBTOTAL(9,BP68:BP83)</f>
        <v>0</v>
      </c>
      <c r="BQ67" s="340">
        <f t="shared" ref="BQ67" si="215">SUBTOTAL(9,BQ68:BQ83)</f>
        <v>0</v>
      </c>
      <c r="BR67" s="340">
        <f t="shared" ref="BR67" si="216">SUBTOTAL(9,BR68:BR83)</f>
        <v>0</v>
      </c>
      <c r="BS67" s="340">
        <f t="shared" ref="BS67" si="217">SUBTOTAL(9,BS68:BS83)</f>
        <v>0</v>
      </c>
      <c r="BT67" s="340">
        <f t="shared" ref="BT67" si="218">SUBTOTAL(9,BT68:BT83)</f>
        <v>0</v>
      </c>
      <c r="BU67" s="340">
        <f t="shared" ref="BU67" si="219">SUBTOTAL(9,BU68:BU83)</f>
        <v>0</v>
      </c>
      <c r="BV67" s="340">
        <f>SUBTOTAL(9,BV68:BV83)</f>
        <v>0</v>
      </c>
      <c r="BW67" s="340">
        <f>SUBTOTAL(9,BW68:BW83)</f>
        <v>0</v>
      </c>
    </row>
    <row r="68" spans="1:75" ht="21.6" outlineLevel="2">
      <c r="A68" s="36" t="s">
        <v>364</v>
      </c>
      <c r="B68" s="25" t="s">
        <v>365</v>
      </c>
      <c r="C68" s="22" t="str">
        <f>+Tabla17[[#This Row],[Cuenta]]&amp;" - "&amp;Tabla17[[#This Row],[Descripcion Cuenta]]</f>
        <v>2.02.01 - Licencia Software Annual</v>
      </c>
      <c r="D68" s="37"/>
      <c r="E68" s="49">
        <f>SUMIFS(Banco[Monto],Banco[CtaCtbl],$C68,Banco[Periodo Contable],TEXT(E$3,"mmm-yyyy"))</f>
        <v>0</v>
      </c>
      <c r="F68" s="49">
        <f>SUMIFS(Banco[Monto],Banco[CtaCtbl],$C68,Banco[Periodo Contable],TEXT(F$3,"mmm-yyyy"))</f>
        <v>0</v>
      </c>
      <c r="G68" s="49">
        <f>SUMIFS(Banco[Monto],Banco[CtaCtbl],$C68,Banco[Periodo Contable],TEXT(G$3,"mmm-yyyy"))</f>
        <v>0</v>
      </c>
      <c r="H68" s="49">
        <f>SUMIFS(Banco[Monto],Banco[CtaCtbl],$C68,Banco[Periodo Contable],TEXT(H$3,"mmm-yyyy"))</f>
        <v>0</v>
      </c>
      <c r="I68" s="49">
        <f>SUM(Tabla17[[#This Row],[sept-21]:[dic-21]])</f>
        <v>0</v>
      </c>
      <c r="J68" s="49">
        <f>SUMIFS(Banco[Monto],Banco[CtaCtbl],$C68,Banco[Periodo Contable],TEXT(J$3,"mmm-yyyy"))</f>
        <v>0</v>
      </c>
      <c r="K68" s="49">
        <f>SUMIFS(Banco[Monto],Banco[CtaCtbl],$C68,Banco[Periodo Contable],TEXT(K$3,"mmm-yyyy"))</f>
        <v>0</v>
      </c>
      <c r="L68" s="49">
        <f>SUMIFS(Banco[Monto],Banco[CtaCtbl],$C68,Banco[Periodo Contable],TEXT(L$3,"mmm-yyyy"))</f>
        <v>0</v>
      </c>
      <c r="M68" s="49">
        <f>SUMIFS(Banco[Monto],Banco[CtaCtbl],$C68,Banco[Periodo Contable],TEXT(M$3,"mmm-yyyy"))</f>
        <v>0</v>
      </c>
      <c r="N68" s="49">
        <f>SUMIFS(Banco[Monto],Banco[CtaCtbl],$C68,Banco[Periodo Contable],TEXT(N$3,"mmm-yyyy"))</f>
        <v>0</v>
      </c>
      <c r="O68" s="49">
        <f>SUMIFS(Banco[Monto],Banco[CtaCtbl],$C68,Banco[Periodo Contable],TEXT(O$3,"mmm-yyyy"))</f>
        <v>0</v>
      </c>
      <c r="P68" s="49">
        <f>SUMIFS(Banco[Monto],Banco[CtaCtbl],$C68,Banco[Periodo Contable],TEXT(P$3,"mmm-yyyy"))</f>
        <v>0</v>
      </c>
      <c r="Q68" s="49">
        <f>SUMIFS(Banco[Monto],Banco[CtaCtbl],$C68,Banco[Periodo Contable],TEXT(Q$3,"mmm-yyyy"))</f>
        <v>0</v>
      </c>
      <c r="R68" s="49">
        <f>SUMIFS(Banco[Monto],Banco[CtaCtbl],$C68,Banco[Periodo Contable],TEXT(R$3,"mmm-yyyy"))</f>
        <v>0</v>
      </c>
      <c r="S68" s="49">
        <f>SUMIFS(Banco[Monto],Banco[CtaCtbl],$C68,Banco[Periodo Contable],TEXT(S$3,"mmm-yyyy"))</f>
        <v>0</v>
      </c>
      <c r="T68" s="49">
        <f>SUMIFS(Banco[Monto],Banco[CtaCtbl],$C68,Banco[Periodo Contable],TEXT(T$3,"mmm-yyyy"))</f>
        <v>0</v>
      </c>
      <c r="U68" s="49">
        <f>SUMIFS(Banco[Monto],Banco[CtaCtbl],$C68,Banco[Periodo Contable],TEXT(U$3,"mmm-yyyy"))</f>
        <v>0</v>
      </c>
      <c r="V68" s="300">
        <f>SUM(Tabla17[[#This Row],[ene-22]:[dic-22]])</f>
        <v>0</v>
      </c>
      <c r="W68" s="49">
        <f>SUMIFS(Banco[Monto],Banco[CtaCtbl],$C68,Banco[Periodo Contable],TEXT(W$3,"mmm-yyyy"))</f>
        <v>0</v>
      </c>
      <c r="X68" s="49">
        <f>SUMIFS(Banco[Monto],Banco[CtaCtbl],$C68,Banco[Periodo Contable],TEXT(X$3,"mmm-yyyy"))</f>
        <v>0</v>
      </c>
      <c r="Y68" s="49">
        <f>SUMIFS(Banco[Monto],Banco[CtaCtbl],$C68,Banco[Periodo Contable],TEXT(Y$3,"mmm-yyyy"))</f>
        <v>0</v>
      </c>
      <c r="Z68" s="49">
        <f>SUMIFS(Banco[Monto],Banco[CtaCtbl],$C68,Banco[Periodo Contable],TEXT(Z$3,"mmm-yyyy"))</f>
        <v>0</v>
      </c>
      <c r="AA68" s="49">
        <f>SUMIFS(Banco[Monto],Banco[CtaCtbl],$C68,Banco[Periodo Contable],TEXT(AA$3,"mmm-yyyy"))</f>
        <v>0</v>
      </c>
      <c r="AB68" s="49">
        <f>SUMIFS(Banco[Monto],Banco[CtaCtbl],$C68,Banco[Periodo Contable],TEXT(AB$3,"mmm-yyyy"))</f>
        <v>0</v>
      </c>
      <c r="AC68" s="49">
        <f>SUMIFS(Banco[Monto],Banco[CtaCtbl],$C68,Banco[Periodo Contable],TEXT(AC$3,"mmm-yyyy"))</f>
        <v>0</v>
      </c>
      <c r="AD68" s="49">
        <f>SUMIFS(Banco[Monto],Banco[CtaCtbl],$C68,Banco[Periodo Contable],TEXT(AD$3,"mmm-yyyy"))</f>
        <v>0</v>
      </c>
      <c r="AE68" s="49">
        <f>SUMIFS(Banco[Monto],Banco[CtaCtbl],$C68,Banco[Periodo Contable],TEXT(AE$3,"mmm-yyyy"))</f>
        <v>0</v>
      </c>
      <c r="AF68" s="49">
        <f>SUMIFS(Banco[Monto],Banco[CtaCtbl],$C68,Banco[Periodo Contable],TEXT(AF$3,"mmm-yyyy"))</f>
        <v>0</v>
      </c>
      <c r="AG68" s="49">
        <f>SUMIFS(Banco[Monto],Banco[CtaCtbl],$C68,Banco[Periodo Contable],TEXT(AG$3,"mmm-yyyy"))</f>
        <v>0</v>
      </c>
      <c r="AH68" s="49">
        <f>SUMIFS(Banco[Monto],Banco[CtaCtbl],$C68,Banco[Periodo Contable],TEXT(AH$3,"mmm-yyyy"))</f>
        <v>0</v>
      </c>
      <c r="AI68" s="300">
        <f>SUM(Tabla17[[#This Row],[ene-23]:[dic-23]])</f>
        <v>0</v>
      </c>
      <c r="AJ68" s="49">
        <f>SUMIFS(Banco[Monto],Banco[CtaCtbl],$C68,Banco[Periodo Contable],TEXT(AJ$3,"mmm-yyyy"))</f>
        <v>0</v>
      </c>
      <c r="AK68" s="49">
        <f>SUMIFS(Banco[Monto],Banco[CtaCtbl],$C68,Banco[Periodo Contable],TEXT(AK$3,"mmm-yyyy"))</f>
        <v>0</v>
      </c>
      <c r="AL68" s="49">
        <f>SUMIFS(Banco[Monto],Banco[CtaCtbl],$C68,Banco[Periodo Contable],TEXT(AL$3,"mmm-yyyy"))</f>
        <v>0</v>
      </c>
      <c r="AM68" s="49">
        <f>SUMIFS(Banco[Monto],Banco[CtaCtbl],$C68,Banco[Periodo Contable],TEXT(AM$3,"mmm-yyyy"))</f>
        <v>0</v>
      </c>
      <c r="AN68" s="49">
        <f>SUMIFS(Banco[Monto],Banco[CtaCtbl],$C68,Banco[Periodo Contable],TEXT(AN$3,"mmm-yyyy"))</f>
        <v>0</v>
      </c>
      <c r="AO68" s="49">
        <f>SUMIFS(Banco[Monto],Banco[CtaCtbl],$C68,Banco[Periodo Contable],TEXT(AO$3,"mmm-yyyy"))</f>
        <v>-606900</v>
      </c>
      <c r="AP68" s="49">
        <f>SUMIFS(Banco[Monto],Banco[CtaCtbl],$C68,Banco[Periodo Contable],TEXT(AP$3,"mmm-yyyy"))</f>
        <v>0</v>
      </c>
      <c r="AQ68" s="49">
        <f>SUMIFS(Banco[Monto],Banco[CtaCtbl],$C68,Banco[Periodo Contable],TEXT(AQ$3,"mmm-yyyy"))</f>
        <v>0</v>
      </c>
      <c r="AR68" s="49">
        <f>SUMIFS(Banco[Monto],Banco[CtaCtbl],$C68,Banco[Periodo Contable],TEXT(AR$3,"mmm-yyyy"))</f>
        <v>0</v>
      </c>
      <c r="AS68" s="49">
        <f>SUMIFS(Banco[Monto],Banco[CtaCtbl],$C68,Banco[Periodo Contable],TEXT(AS$3,"mmm-yyyy"))</f>
        <v>0</v>
      </c>
      <c r="AT68" s="49">
        <f>SUMIFS(Banco[Monto],Banco[CtaCtbl],$C68,Banco[Periodo Contable],TEXT(AT$3,"mmm-yyyy"))</f>
        <v>0</v>
      </c>
      <c r="AU68" s="49">
        <f>SUMIFS(Banco[Monto],Banco[CtaCtbl],$C68,Banco[Periodo Contable],TEXT(AU$3,"mmm-yyyy"))</f>
        <v>0</v>
      </c>
      <c r="AV68" s="300">
        <f>SUM(Tabla17[[#This Row],[ene-24]:[dic-24]])</f>
        <v>-606900</v>
      </c>
      <c r="AW68" s="49">
        <f>SUMIFS(Banco[Monto],Banco[CtaCtbl],$C68,Banco[Periodo Contable],TEXT(AW$3,"mmm-yyyy"))</f>
        <v>0</v>
      </c>
      <c r="AX68" s="49">
        <f>SUMIFS(Banco[Monto],Banco[CtaCtbl],$C68,Banco[Periodo Contable],TEXT(AX$3,"mmm-yyyy"))</f>
        <v>0</v>
      </c>
      <c r="AY68" s="49">
        <f>SUMIFS(Banco[Monto],Banco[CtaCtbl],$C68,Banco[Periodo Contable],TEXT(AY$3,"mmm-yyyy"))</f>
        <v>0</v>
      </c>
      <c r="AZ68" s="49">
        <f>SUMIFS(Banco[Monto],Banco[CtaCtbl],$C68,Banco[Periodo Contable],TEXT(AZ$3,"mmm-yyyy"))</f>
        <v>0</v>
      </c>
      <c r="BA68" s="49">
        <f>SUMIFS(Banco[Monto],Banco[CtaCtbl],$C68,Banco[Periodo Contable],TEXT(BA$3,"mmm-yyyy"))</f>
        <v>0</v>
      </c>
      <c r="BB68" s="49">
        <f>SUMIFS(Banco[Monto],Banco[CtaCtbl],$C68,Banco[Periodo Contable],TEXT(BB$3,"mmm-yyyy"))</f>
        <v>0</v>
      </c>
      <c r="BC68" s="49">
        <f>SUMIFS(Banco[Monto],Banco[CtaCtbl],$C68,Banco[Periodo Contable],TEXT(BC$3,"mmm-yyyy"))</f>
        <v>0</v>
      </c>
      <c r="BD68" s="49">
        <f>SUMIFS(Banco[Monto],Banco[CtaCtbl],$C68,Banco[Periodo Contable],TEXT(BD$3,"mmm-yyyy"))</f>
        <v>0</v>
      </c>
      <c r="BE68" s="49">
        <f>SUMIFS(Banco[Monto],Banco[CtaCtbl],$C68,Banco[Periodo Contable],TEXT(BE$3,"mmm-yyyy"))</f>
        <v>0</v>
      </c>
      <c r="BF68" s="49">
        <f>SUMIFS(Banco[Monto],Banco[CtaCtbl],$C68,Banco[Periodo Contable],TEXT(BF$3,"mmm-yyyy"))</f>
        <v>0</v>
      </c>
      <c r="BG68" s="49">
        <f>SUMIFS(Banco[Monto],Banco[CtaCtbl],$C68,Banco[Periodo Contable],TEXT(BG$3,"mmm-yyyy"))</f>
        <v>0</v>
      </c>
      <c r="BH68" s="49">
        <f>SUMIFS(Banco[Monto],Banco[CtaCtbl],$C68,Banco[Periodo Contable],TEXT(BH$3,"mmm-yyyy"))</f>
        <v>0</v>
      </c>
      <c r="BI68" s="232">
        <f>SUM(Tabla17[[#This Row],[ene-25]:[dic-25]])</f>
        <v>0</v>
      </c>
      <c r="BJ68" s="49">
        <f>SUMIFS(Banco[Monto],Banco[CtaCtbl],$C68,Banco[Periodo Contable],TEXT(BJ$3,"mmm-yyyy"))</f>
        <v>0</v>
      </c>
      <c r="BK68" s="49">
        <f>SUMIFS(Banco[Monto],Banco[CtaCtbl],$C68,Banco[Periodo Contable],TEXT(BK$3,"mmm-yyyy"))</f>
        <v>0</v>
      </c>
      <c r="BL68" s="49">
        <f>SUMIFS(Banco[Monto],Banco[CtaCtbl],$C68,Banco[Periodo Contable],TEXT(BL$3,"mmm-yyyy"))</f>
        <v>0</v>
      </c>
      <c r="BM68" s="49">
        <f>SUMIFS(Banco[Monto],Banco[CtaCtbl],$C68,Banco[Periodo Contable],TEXT(BM$3,"mmm-yyyy"))</f>
        <v>0</v>
      </c>
      <c r="BN68" s="49">
        <f>SUMIFS(Banco[Monto],Banco[CtaCtbl],$C68,Banco[Periodo Contable],TEXT(BN$3,"mmm-yyyy"))</f>
        <v>0</v>
      </c>
      <c r="BO68" s="49">
        <f>SUMIFS(Banco[Monto],Banco[CtaCtbl],$C68,Banco[Periodo Contable],TEXT(BO$3,"mmm-yyyy"))</f>
        <v>0</v>
      </c>
      <c r="BP68" s="49">
        <f>SUMIFS(Banco[Monto],Banco[CtaCtbl],$C68,Banco[Periodo Contable],TEXT(BP$3,"mmm-yyyy"))</f>
        <v>0</v>
      </c>
      <c r="BQ68" s="49">
        <f>SUMIFS(Banco[Monto],Banco[CtaCtbl],$C68,Banco[Periodo Contable],TEXT(BQ$3,"mmm-yyyy"))</f>
        <v>0</v>
      </c>
      <c r="BR68" s="49">
        <f>SUMIFS(Banco[Monto],Banco[CtaCtbl],$C68,Banco[Periodo Contable],TEXT(BR$3,"mmm-yyyy"))</f>
        <v>0</v>
      </c>
      <c r="BS68" s="49">
        <f>SUMIFS(Banco[Monto],Banco[CtaCtbl],$C68,Banco[Periodo Contable],TEXT(BS$3,"mmm-yyyy"))</f>
        <v>0</v>
      </c>
      <c r="BT68" s="49">
        <f>SUMIFS(Banco[Monto],Banco[CtaCtbl],$C68,Banco[Periodo Contable],TEXT(BT$3,"mmm-yyyy"))</f>
        <v>0</v>
      </c>
      <c r="BU68" s="49">
        <f>SUMIFS(Banco[Monto],Banco[CtaCtbl],$C68,Banco[Periodo Contable],TEXT(BU$3,"mmm-yyyy"))</f>
        <v>0</v>
      </c>
      <c r="BV68" s="232">
        <f>SUM(Tabla17[[#This Row],[ene-26]:[dic-26]])</f>
        <v>0</v>
      </c>
      <c r="BW68" s="49">
        <f>SUMIFS(Banco[Monto],Banco[CtaCtbl],$C68,Banco[Periodo Contable],TEXT(BW$3,"mmm-yyyy"))</f>
        <v>0</v>
      </c>
    </row>
    <row r="69" spans="1:75" ht="21.6" outlineLevel="2">
      <c r="A69" s="36" t="s">
        <v>366</v>
      </c>
      <c r="B69" s="25" t="s">
        <v>367</v>
      </c>
      <c r="C69" s="22" t="str">
        <f>+Tabla17[[#This Row],[Cuenta]]&amp;" - "&amp;Tabla17[[#This Row],[Descripcion Cuenta]]</f>
        <v>2.02.02 - Sitio corporativo web</v>
      </c>
      <c r="D69" s="37"/>
      <c r="E69" s="49">
        <f>SUMIFS(Banco[Monto],Banco[CtaCtbl],$C69,Banco[Periodo Contable],TEXT(E$3,"mmm-yyyy"))</f>
        <v>0</v>
      </c>
      <c r="F69" s="49">
        <f>SUMIFS(Banco[Monto],Banco[CtaCtbl],$C69,Banco[Periodo Contable],TEXT(F$3,"mmm-yyyy"))</f>
        <v>0</v>
      </c>
      <c r="G69" s="49">
        <f>SUMIFS(Banco[Monto],Banco[CtaCtbl],$C69,Banco[Periodo Contable],TEXT(G$3,"mmm-yyyy"))</f>
        <v>0</v>
      </c>
      <c r="H69" s="49">
        <f>SUMIFS(Banco[Monto],Banco[CtaCtbl],$C69,Banco[Periodo Contable],TEXT(H$3,"mmm-yyyy"))</f>
        <v>0</v>
      </c>
      <c r="I69" s="49">
        <f>SUM(Tabla17[[#This Row],[sept-21]:[dic-21]])</f>
        <v>0</v>
      </c>
      <c r="J69" s="49">
        <f>SUMIFS(Banco[Monto],Banco[CtaCtbl],$C69,Banco[Periodo Contable],TEXT(J$3,"mmm-yyyy"))</f>
        <v>0</v>
      </c>
      <c r="K69" s="49">
        <f>SUMIFS(Banco[Monto],Banco[CtaCtbl],$C69,Banco[Periodo Contable],TEXT(K$3,"mmm-yyyy"))</f>
        <v>0</v>
      </c>
      <c r="L69" s="49">
        <f>SUMIFS(Banco[Monto],Banco[CtaCtbl],$C69,Banco[Periodo Contable],TEXT(L$3,"mmm-yyyy"))</f>
        <v>0</v>
      </c>
      <c r="M69" s="49">
        <f>SUMIFS(Banco[Monto],Banco[CtaCtbl],$C69,Banco[Periodo Contable],TEXT(M$3,"mmm-yyyy"))</f>
        <v>0</v>
      </c>
      <c r="N69" s="49">
        <f>SUMIFS(Banco[Monto],Banco[CtaCtbl],$C69,Banco[Periodo Contable],TEXT(N$3,"mmm-yyyy"))</f>
        <v>0</v>
      </c>
      <c r="O69" s="49">
        <f>SUMIFS(Banco[Monto],Banco[CtaCtbl],$C69,Banco[Periodo Contable],TEXT(O$3,"mmm-yyyy"))</f>
        <v>0</v>
      </c>
      <c r="P69" s="49">
        <f>SUMIFS(Banco[Monto],Banco[CtaCtbl],$C69,Banco[Periodo Contable],TEXT(P$3,"mmm-yyyy"))</f>
        <v>0</v>
      </c>
      <c r="Q69" s="49">
        <f>SUMIFS(Banco[Monto],Banco[CtaCtbl],$C69,Banco[Periodo Contable],TEXT(Q$3,"mmm-yyyy"))</f>
        <v>0</v>
      </c>
      <c r="R69" s="49">
        <f>SUMIFS(Banco[Monto],Banco[CtaCtbl],$C69,Banco[Periodo Contable],TEXT(R$3,"mmm-yyyy"))</f>
        <v>0</v>
      </c>
      <c r="S69" s="49">
        <f>SUMIFS(Banco[Monto],Banco[CtaCtbl],$C69,Banco[Periodo Contable],TEXT(S$3,"mmm-yyyy"))</f>
        <v>0</v>
      </c>
      <c r="T69" s="49">
        <f>SUMIFS(Banco[Monto],Banco[CtaCtbl],$C69,Banco[Periodo Contable],TEXT(T$3,"mmm-yyyy"))</f>
        <v>0</v>
      </c>
      <c r="U69" s="49">
        <f>SUMIFS(Banco[Monto],Banco[CtaCtbl],$C69,Banco[Periodo Contable],TEXT(U$3,"mmm-yyyy"))</f>
        <v>0</v>
      </c>
      <c r="V69" s="300">
        <f>SUM(Tabla17[[#This Row],[ene-22]:[dic-22]])</f>
        <v>0</v>
      </c>
      <c r="W69" s="49">
        <f>SUMIFS(Banco[Monto],Banco[CtaCtbl],$C69,Banco[Periodo Contable],TEXT(W$3,"mmm-yyyy"))</f>
        <v>0</v>
      </c>
      <c r="X69" s="49">
        <f>SUMIFS(Banco[Monto],Banco[CtaCtbl],$C69,Banco[Periodo Contable],TEXT(X$3,"mmm-yyyy"))</f>
        <v>0</v>
      </c>
      <c r="Y69" s="49">
        <f>SUMIFS(Banco[Monto],Banco[CtaCtbl],$C69,Banco[Periodo Contable],TEXT(Y$3,"mmm-yyyy"))</f>
        <v>0</v>
      </c>
      <c r="Z69" s="49">
        <f>SUMIFS(Banco[Monto],Banco[CtaCtbl],$C69,Banco[Periodo Contable],TEXT(Z$3,"mmm-yyyy"))</f>
        <v>0</v>
      </c>
      <c r="AA69" s="49">
        <f>SUMIFS(Banco[Monto],Banco[CtaCtbl],$C69,Banco[Periodo Contable],TEXT(AA$3,"mmm-yyyy"))</f>
        <v>0</v>
      </c>
      <c r="AB69" s="49">
        <f>SUMIFS(Banco[Monto],Banco[CtaCtbl],$C69,Banco[Periodo Contable],TEXT(AB$3,"mmm-yyyy"))</f>
        <v>0</v>
      </c>
      <c r="AC69" s="49">
        <f>SUMIFS(Banco[Monto],Banco[CtaCtbl],$C69,Banco[Periodo Contable],TEXT(AC$3,"mmm-yyyy"))</f>
        <v>0</v>
      </c>
      <c r="AD69" s="49">
        <f>SUMIFS(Banco[Monto],Banco[CtaCtbl],$C69,Banco[Periodo Contable],TEXT(AD$3,"mmm-yyyy"))</f>
        <v>0</v>
      </c>
      <c r="AE69" s="49">
        <f>SUMIFS(Banco[Monto],Banco[CtaCtbl],$C69,Banco[Periodo Contable],TEXT(AE$3,"mmm-yyyy"))</f>
        <v>0</v>
      </c>
      <c r="AF69" s="49">
        <f>SUMIFS(Banco[Monto],Banco[CtaCtbl],$C69,Banco[Periodo Contable],TEXT(AF$3,"mmm-yyyy"))</f>
        <v>0</v>
      </c>
      <c r="AG69" s="49">
        <f>SUMIFS(Banco[Monto],Banco[CtaCtbl],$C69,Banco[Periodo Contable],TEXT(AG$3,"mmm-yyyy"))</f>
        <v>0</v>
      </c>
      <c r="AH69" s="49">
        <f>SUMIFS(Banco[Monto],Banco[CtaCtbl],$C69,Banco[Periodo Contable],TEXT(AH$3,"mmm-yyyy"))</f>
        <v>0</v>
      </c>
      <c r="AI69" s="300">
        <f>SUM(Tabla17[[#This Row],[ene-23]:[dic-23]])</f>
        <v>0</v>
      </c>
      <c r="AJ69" s="49">
        <f>SUMIFS(Banco[Monto],Banco[CtaCtbl],$C69,Banco[Periodo Contable],TEXT(AJ$3,"mmm-yyyy"))</f>
        <v>0</v>
      </c>
      <c r="AK69" s="49">
        <f>SUMIFS(Banco[Monto],Banco[CtaCtbl],$C69,Banco[Periodo Contable],TEXT(AK$3,"mmm-yyyy"))</f>
        <v>0</v>
      </c>
      <c r="AL69" s="49">
        <f>SUMIFS(Banco[Monto],Banco[CtaCtbl],$C69,Banco[Periodo Contable],TEXT(AL$3,"mmm-yyyy"))</f>
        <v>0</v>
      </c>
      <c r="AM69" s="49">
        <f>SUMIFS(Banco[Monto],Banco[CtaCtbl],$C69,Banco[Periodo Contable],TEXT(AM$3,"mmm-yyyy"))</f>
        <v>0</v>
      </c>
      <c r="AN69" s="49">
        <f>SUMIFS(Banco[Monto],Banco[CtaCtbl],$C69,Banco[Periodo Contable],TEXT(AN$3,"mmm-yyyy"))</f>
        <v>0</v>
      </c>
      <c r="AO69" s="49">
        <f>SUMIFS(Banco[Monto],Banco[CtaCtbl],$C69,Banco[Periodo Contable],TEXT(AO$3,"mmm-yyyy"))</f>
        <v>0</v>
      </c>
      <c r="AP69" s="49">
        <f>SUMIFS(Banco[Monto],Banco[CtaCtbl],$C69,Banco[Periodo Contable],TEXT(AP$3,"mmm-yyyy"))</f>
        <v>0</v>
      </c>
      <c r="AQ69" s="49">
        <f>SUMIFS(Banco[Monto],Banco[CtaCtbl],$C69,Banco[Periodo Contable],TEXT(AQ$3,"mmm-yyyy"))</f>
        <v>0</v>
      </c>
      <c r="AR69" s="49">
        <f>SUMIFS(Banco[Monto],Banco[CtaCtbl],$C69,Banco[Periodo Contable],TEXT(AR$3,"mmm-yyyy"))</f>
        <v>0</v>
      </c>
      <c r="AS69" s="49">
        <f>SUMIFS(Banco[Monto],Banco[CtaCtbl],$C69,Banco[Periodo Contable],TEXT(AS$3,"mmm-yyyy"))</f>
        <v>0</v>
      </c>
      <c r="AT69" s="49">
        <f>SUMIFS(Banco[Monto],Banco[CtaCtbl],$C69,Banco[Periodo Contable],TEXT(AT$3,"mmm-yyyy"))</f>
        <v>0</v>
      </c>
      <c r="AU69" s="49">
        <f>SUMIFS(Banco[Monto],Banco[CtaCtbl],$C69,Banco[Periodo Contable],TEXT(AU$3,"mmm-yyyy"))</f>
        <v>0</v>
      </c>
      <c r="AV69" s="300">
        <f>SUM(Tabla17[[#This Row],[ene-24]:[dic-24]])</f>
        <v>0</v>
      </c>
      <c r="AW69" s="49">
        <f>SUMIFS(Banco[Monto],Banco[CtaCtbl],$C69,Banco[Periodo Contable],TEXT(AW$3,"mmm-yyyy"))</f>
        <v>0</v>
      </c>
      <c r="AX69" s="49">
        <f>SUMIFS(Banco[Monto],Banco[CtaCtbl],$C69,Banco[Periodo Contable],TEXT(AX$3,"mmm-yyyy"))</f>
        <v>0</v>
      </c>
      <c r="AY69" s="49">
        <f>SUMIFS(Banco[Monto],Banco[CtaCtbl],$C69,Banco[Periodo Contable],TEXT(AY$3,"mmm-yyyy"))</f>
        <v>0</v>
      </c>
      <c r="AZ69" s="49">
        <f>SUMIFS(Banco[Monto],Banco[CtaCtbl],$C69,Banco[Periodo Contable],TEXT(AZ$3,"mmm-yyyy"))</f>
        <v>0</v>
      </c>
      <c r="BA69" s="49">
        <f>SUMIFS(Banco[Monto],Banco[CtaCtbl],$C69,Banco[Periodo Contable],TEXT(BA$3,"mmm-yyyy"))</f>
        <v>0</v>
      </c>
      <c r="BB69" s="49">
        <f>SUMIFS(Banco[Monto],Banco[CtaCtbl],$C69,Banco[Periodo Contable],TEXT(BB$3,"mmm-yyyy"))</f>
        <v>0</v>
      </c>
      <c r="BC69" s="49">
        <f>SUMIFS(Banco[Monto],Banco[CtaCtbl],$C69,Banco[Periodo Contable],TEXT(BC$3,"mmm-yyyy"))</f>
        <v>0</v>
      </c>
      <c r="BD69" s="49">
        <f>SUMIFS(Banco[Monto],Banco[CtaCtbl],$C69,Banco[Periodo Contable],TEXT(BD$3,"mmm-yyyy"))</f>
        <v>0</v>
      </c>
      <c r="BE69" s="49">
        <f>SUMIFS(Banco[Monto],Banco[CtaCtbl],$C69,Banco[Periodo Contable],TEXT(BE$3,"mmm-yyyy"))</f>
        <v>0</v>
      </c>
      <c r="BF69" s="49">
        <f>SUMIFS(Banco[Monto],Banco[CtaCtbl],$C69,Banco[Periodo Contable],TEXT(BF$3,"mmm-yyyy"))</f>
        <v>0</v>
      </c>
      <c r="BG69" s="49">
        <f>SUMIFS(Banco[Monto],Banco[CtaCtbl],$C69,Banco[Periodo Contable],TEXT(BG$3,"mmm-yyyy"))</f>
        <v>-207152</v>
      </c>
      <c r="BH69" s="49">
        <f>SUMIFS(Banco[Monto],Banco[CtaCtbl],$C69,Banco[Periodo Contable],TEXT(BH$3,"mmm-yyyy"))</f>
        <v>0</v>
      </c>
      <c r="BI69" s="232">
        <f>SUM(Tabla17[[#This Row],[ene-25]:[dic-25]])</f>
        <v>-207152</v>
      </c>
      <c r="BJ69" s="49">
        <f>SUMIFS(Banco[Monto],Banco[CtaCtbl],$C69,Banco[Periodo Contable],TEXT(BJ$3,"mmm-yyyy"))</f>
        <v>0</v>
      </c>
      <c r="BK69" s="49">
        <f>SUMIFS(Banco[Monto],Banco[CtaCtbl],$C69,Banco[Periodo Contable],TEXT(BK$3,"mmm-yyyy"))</f>
        <v>0</v>
      </c>
      <c r="BL69" s="49">
        <f>SUMIFS(Banco[Monto],Banco[CtaCtbl],$C69,Banco[Periodo Contable],TEXT(BL$3,"mmm-yyyy"))</f>
        <v>0</v>
      </c>
      <c r="BM69" s="49">
        <f>SUMIFS(Banco[Monto],Banco[CtaCtbl],$C69,Banco[Periodo Contable],TEXT(BM$3,"mmm-yyyy"))</f>
        <v>0</v>
      </c>
      <c r="BN69" s="49">
        <f>SUMIFS(Banco[Monto],Banco[CtaCtbl],$C69,Banco[Periodo Contable],TEXT(BN$3,"mmm-yyyy"))</f>
        <v>0</v>
      </c>
      <c r="BO69" s="49">
        <f>SUMIFS(Banco[Monto],Banco[CtaCtbl],$C69,Banco[Periodo Contable],TEXT(BO$3,"mmm-yyyy"))</f>
        <v>0</v>
      </c>
      <c r="BP69" s="49">
        <f>SUMIFS(Banco[Monto],Banco[CtaCtbl],$C69,Banco[Periodo Contable],TEXT(BP$3,"mmm-yyyy"))</f>
        <v>0</v>
      </c>
      <c r="BQ69" s="49">
        <f>SUMIFS(Banco[Monto],Banco[CtaCtbl],$C69,Banco[Periodo Contable],TEXT(BQ$3,"mmm-yyyy"))</f>
        <v>0</v>
      </c>
      <c r="BR69" s="49">
        <f>SUMIFS(Banco[Monto],Banco[CtaCtbl],$C69,Banco[Periodo Contable],TEXT(BR$3,"mmm-yyyy"))</f>
        <v>0</v>
      </c>
      <c r="BS69" s="49">
        <f>SUMIFS(Banco[Monto],Banco[CtaCtbl],$C69,Banco[Periodo Contable],TEXT(BS$3,"mmm-yyyy"))</f>
        <v>0</v>
      </c>
      <c r="BT69" s="49">
        <f>SUMIFS(Banco[Monto],Banco[CtaCtbl],$C69,Banco[Periodo Contable],TEXT(BT$3,"mmm-yyyy"))</f>
        <v>0</v>
      </c>
      <c r="BU69" s="49">
        <f>SUMIFS(Banco[Monto],Banco[CtaCtbl],$C69,Banco[Periodo Contable],TEXT(BU$3,"mmm-yyyy"))</f>
        <v>0</v>
      </c>
      <c r="BV69" s="232">
        <f>SUM(Tabla17[[#This Row],[ene-26]:[dic-26]])</f>
        <v>0</v>
      </c>
      <c r="BW69" s="49">
        <f>SUMIFS(Banco[Monto],Banco[CtaCtbl],$C69,Banco[Periodo Contable],TEXT(BW$3,"mmm-yyyy"))</f>
        <v>0</v>
      </c>
    </row>
    <row r="70" spans="1:75" ht="21.6" outlineLevel="2">
      <c r="A70" s="36" t="s">
        <v>368</v>
      </c>
      <c r="B70" s="25" t="s">
        <v>369</v>
      </c>
      <c r="C70" s="22" t="str">
        <f>+Tabla17[[#This Row],[Cuenta]]&amp;" - "&amp;Tabla17[[#This Row],[Descripcion Cuenta]]</f>
        <v>2.02.03 - Compra Equipamiento Electronico</v>
      </c>
      <c r="D70" s="37"/>
      <c r="E70" s="49">
        <f>SUMIFS(Banco[Monto],Banco[CtaCtbl],$C70,Banco[Periodo Contable],TEXT(E$3,"mmm-yyyy"))</f>
        <v>0</v>
      </c>
      <c r="F70" s="49">
        <f>SUMIFS(Banco[Monto],Banco[CtaCtbl],$C70,Banco[Periodo Contable],TEXT(F$3,"mmm-yyyy"))</f>
        <v>0</v>
      </c>
      <c r="G70" s="49">
        <f>SUMIFS(Banco[Monto],Banco[CtaCtbl],$C70,Banco[Periodo Contable],TEXT(G$3,"mmm-yyyy"))</f>
        <v>0</v>
      </c>
      <c r="H70" s="49">
        <f>SUMIFS(Banco[Monto],Banco[CtaCtbl],$C70,Banco[Periodo Contable],TEXT(H$3,"mmm-yyyy"))</f>
        <v>0</v>
      </c>
      <c r="I70" s="49">
        <f>SUM(Tabla17[[#This Row],[sept-21]:[dic-21]])</f>
        <v>0</v>
      </c>
      <c r="J70" s="49">
        <f>SUMIFS(Banco[Monto],Banco[CtaCtbl],$C70,Banco[Periodo Contable],TEXT(J$3,"mmm-yyyy"))</f>
        <v>0</v>
      </c>
      <c r="K70" s="49">
        <f>SUMIFS(Banco[Monto],Banco[CtaCtbl],$C70,Banco[Periodo Contable],TEXT(K$3,"mmm-yyyy"))</f>
        <v>0</v>
      </c>
      <c r="L70" s="49">
        <f>SUMIFS(Banco[Monto],Banco[CtaCtbl],$C70,Banco[Periodo Contable],TEXT(L$3,"mmm-yyyy"))</f>
        <v>0</v>
      </c>
      <c r="M70" s="49">
        <f>SUMIFS(Banco[Monto],Banco[CtaCtbl],$C70,Banco[Periodo Contable],TEXT(M$3,"mmm-yyyy"))</f>
        <v>0</v>
      </c>
      <c r="N70" s="49">
        <f>SUMIFS(Banco[Monto],Banco[CtaCtbl],$C70,Banco[Periodo Contable],TEXT(N$3,"mmm-yyyy"))</f>
        <v>0</v>
      </c>
      <c r="O70" s="49">
        <f>SUMIFS(Banco[Monto],Banco[CtaCtbl],$C70,Banco[Periodo Contable],TEXT(O$3,"mmm-yyyy"))</f>
        <v>0</v>
      </c>
      <c r="P70" s="49">
        <f>SUMIFS(Banco[Monto],Banco[CtaCtbl],$C70,Banco[Periodo Contable],TEXT(P$3,"mmm-yyyy"))</f>
        <v>0</v>
      </c>
      <c r="Q70" s="49">
        <f>SUMIFS(Banco[Monto],Banco[CtaCtbl],$C70,Banco[Periodo Contable],TEXT(Q$3,"mmm-yyyy"))</f>
        <v>0</v>
      </c>
      <c r="R70" s="49">
        <f>SUMIFS(Banco[Monto],Banco[CtaCtbl],$C70,Banco[Periodo Contable],TEXT(R$3,"mmm-yyyy"))</f>
        <v>0</v>
      </c>
      <c r="S70" s="49">
        <f>SUMIFS(Banco[Monto],Banco[CtaCtbl],$C70,Banco[Periodo Contable],TEXT(S$3,"mmm-yyyy"))</f>
        <v>0</v>
      </c>
      <c r="T70" s="49">
        <f>SUMIFS(Banco[Monto],Banco[CtaCtbl],$C70,Banco[Periodo Contable],TEXT(T$3,"mmm-yyyy"))</f>
        <v>0</v>
      </c>
      <c r="U70" s="49">
        <f>SUMIFS(Banco[Monto],Banco[CtaCtbl],$C70,Banco[Periodo Contable],TEXT(U$3,"mmm-yyyy"))</f>
        <v>0</v>
      </c>
      <c r="V70" s="300">
        <f>SUM(Tabla17[[#This Row],[ene-22]:[dic-22]])</f>
        <v>0</v>
      </c>
      <c r="W70" s="49">
        <f>SUMIFS(Banco[Monto],Banco[CtaCtbl],$C70,Banco[Periodo Contable],TEXT(W$3,"mmm-yyyy"))</f>
        <v>0</v>
      </c>
      <c r="X70" s="49">
        <f>SUMIFS(Banco[Monto],Banco[CtaCtbl],$C70,Banco[Periodo Contable],TEXT(X$3,"mmm-yyyy"))</f>
        <v>0</v>
      </c>
      <c r="Y70" s="49">
        <f>SUMIFS(Banco[Monto],Banco[CtaCtbl],$C70,Banco[Periodo Contable],TEXT(Y$3,"mmm-yyyy"))</f>
        <v>0</v>
      </c>
      <c r="Z70" s="49">
        <f>SUMIFS(Banco[Monto],Banco[CtaCtbl],$C70,Banco[Periodo Contable],TEXT(Z$3,"mmm-yyyy"))</f>
        <v>0</v>
      </c>
      <c r="AA70" s="49">
        <f>SUMIFS(Banco[Monto],Banco[CtaCtbl],$C70,Banco[Periodo Contable],TEXT(AA$3,"mmm-yyyy"))</f>
        <v>0</v>
      </c>
      <c r="AB70" s="49">
        <f>SUMIFS(Banco[Monto],Banco[CtaCtbl],$C70,Banco[Periodo Contable],TEXT(AB$3,"mmm-yyyy"))</f>
        <v>0</v>
      </c>
      <c r="AC70" s="49">
        <f>SUMIFS(Banco[Monto],Banco[CtaCtbl],$C70,Banco[Periodo Contable],TEXT(AC$3,"mmm-yyyy"))</f>
        <v>0</v>
      </c>
      <c r="AD70" s="49">
        <f>SUMIFS(Banco[Monto],Banco[CtaCtbl],$C70,Banco[Periodo Contable],TEXT(AD$3,"mmm-yyyy"))</f>
        <v>0</v>
      </c>
      <c r="AE70" s="49">
        <f>SUMIFS(Banco[Monto],Banco[CtaCtbl],$C70,Banco[Periodo Contable],TEXT(AE$3,"mmm-yyyy"))</f>
        <v>0</v>
      </c>
      <c r="AF70" s="49">
        <f>SUMIFS(Banco[Monto],Banco[CtaCtbl],$C70,Banco[Periodo Contable],TEXT(AF$3,"mmm-yyyy"))</f>
        <v>0</v>
      </c>
      <c r="AG70" s="49">
        <f>SUMIFS(Banco[Monto],Banco[CtaCtbl],$C70,Banco[Periodo Contable],TEXT(AG$3,"mmm-yyyy"))</f>
        <v>0</v>
      </c>
      <c r="AH70" s="49">
        <f>SUMIFS(Banco[Monto],Banco[CtaCtbl],$C70,Banco[Periodo Contable],TEXT(AH$3,"mmm-yyyy"))</f>
        <v>0</v>
      </c>
      <c r="AI70" s="300">
        <f>SUM(Tabla17[[#This Row],[ene-23]:[dic-23]])</f>
        <v>0</v>
      </c>
      <c r="AJ70" s="49">
        <f>SUMIFS(Banco[Monto],Banco[CtaCtbl],$C70,Banco[Periodo Contable],TEXT(AJ$3,"mmm-yyyy"))</f>
        <v>0</v>
      </c>
      <c r="AK70" s="49">
        <f>SUMIFS(Banco[Monto],Banco[CtaCtbl],$C70,Banco[Periodo Contable],TEXT(AK$3,"mmm-yyyy"))</f>
        <v>0</v>
      </c>
      <c r="AL70" s="49">
        <f>SUMIFS(Banco[Monto],Banco[CtaCtbl],$C70,Banco[Periodo Contable],TEXT(AL$3,"mmm-yyyy"))</f>
        <v>0</v>
      </c>
      <c r="AM70" s="49">
        <f>SUMIFS(Banco[Monto],Banco[CtaCtbl],$C70,Banco[Periodo Contable],TEXT(AM$3,"mmm-yyyy"))</f>
        <v>0</v>
      </c>
      <c r="AN70" s="49">
        <f>SUMIFS(Banco[Monto],Banco[CtaCtbl],$C70,Banco[Periodo Contable],TEXT(AN$3,"mmm-yyyy"))</f>
        <v>0</v>
      </c>
      <c r="AO70" s="49">
        <f>SUMIFS(Banco[Monto],Banco[CtaCtbl],$C70,Banco[Periodo Contable],TEXT(AO$3,"mmm-yyyy"))</f>
        <v>0</v>
      </c>
      <c r="AP70" s="49">
        <f>SUMIFS(Banco[Monto],Banco[CtaCtbl],$C70,Banco[Periodo Contable],TEXT(AP$3,"mmm-yyyy"))</f>
        <v>0</v>
      </c>
      <c r="AQ70" s="49">
        <f>SUMIFS(Banco[Monto],Banco[CtaCtbl],$C70,Banco[Periodo Contable],TEXT(AQ$3,"mmm-yyyy"))</f>
        <v>0</v>
      </c>
      <c r="AR70" s="49">
        <f>SUMIFS(Banco[Monto],Banco[CtaCtbl],$C70,Banco[Periodo Contable],TEXT(AR$3,"mmm-yyyy"))</f>
        <v>0</v>
      </c>
      <c r="AS70" s="49">
        <f>SUMIFS(Banco[Monto],Banco[CtaCtbl],$C70,Banco[Periodo Contable],TEXT(AS$3,"mmm-yyyy"))</f>
        <v>0</v>
      </c>
      <c r="AT70" s="49">
        <f>SUMIFS(Banco[Monto],Banco[CtaCtbl],$C70,Banco[Periodo Contable],TEXT(AT$3,"mmm-yyyy"))</f>
        <v>0</v>
      </c>
      <c r="AU70" s="49">
        <f>SUMIFS(Banco[Monto],Banco[CtaCtbl],$C70,Banco[Periodo Contable],TEXT(AU$3,"mmm-yyyy"))</f>
        <v>0</v>
      </c>
      <c r="AV70" s="300">
        <f>SUM(Tabla17[[#This Row],[ene-24]:[dic-24]])</f>
        <v>0</v>
      </c>
      <c r="AW70" s="49">
        <f>SUMIFS(Banco[Monto],Banco[CtaCtbl],$C70,Banco[Periodo Contable],TEXT(AW$3,"mmm-yyyy"))</f>
        <v>0</v>
      </c>
      <c r="AX70" s="49">
        <f>SUMIFS(Banco[Monto],Banco[CtaCtbl],$C70,Banco[Periodo Contable],TEXT(AX$3,"mmm-yyyy"))</f>
        <v>0</v>
      </c>
      <c r="AY70" s="49">
        <f>SUMIFS(Banco[Monto],Banco[CtaCtbl],$C70,Banco[Periodo Contable],TEXT(AY$3,"mmm-yyyy"))</f>
        <v>0</v>
      </c>
      <c r="AZ70" s="49">
        <f>SUMIFS(Banco[Monto],Banco[CtaCtbl],$C70,Banco[Periodo Contable],TEXT(AZ$3,"mmm-yyyy"))</f>
        <v>0</v>
      </c>
      <c r="BA70" s="49">
        <f>SUMIFS(Banco[Monto],Banco[CtaCtbl],$C70,Banco[Periodo Contable],TEXT(BA$3,"mmm-yyyy"))</f>
        <v>0</v>
      </c>
      <c r="BB70" s="49">
        <f>SUMIFS(Banco[Monto],Banco[CtaCtbl],$C70,Banco[Periodo Contable],TEXT(BB$3,"mmm-yyyy"))</f>
        <v>0</v>
      </c>
      <c r="BC70" s="49">
        <f>SUMIFS(Banco[Monto],Banco[CtaCtbl],$C70,Banco[Periodo Contable],TEXT(BC$3,"mmm-yyyy"))</f>
        <v>0</v>
      </c>
      <c r="BD70" s="49">
        <f>SUMIFS(Banco[Monto],Banco[CtaCtbl],$C70,Banco[Periodo Contable],TEXT(BD$3,"mmm-yyyy"))</f>
        <v>0</v>
      </c>
      <c r="BE70" s="49">
        <f>SUMIFS(Banco[Monto],Banco[CtaCtbl],$C70,Banco[Periodo Contable],TEXT(BE$3,"mmm-yyyy"))</f>
        <v>0</v>
      </c>
      <c r="BF70" s="49">
        <f>SUMIFS(Banco[Monto],Banco[CtaCtbl],$C70,Banco[Periodo Contable],TEXT(BF$3,"mmm-yyyy"))</f>
        <v>0</v>
      </c>
      <c r="BG70" s="49">
        <f>SUMIFS(Banco[Monto],Banco[CtaCtbl],$C70,Banco[Periodo Contable],TEXT(BG$3,"mmm-yyyy"))</f>
        <v>0</v>
      </c>
      <c r="BH70" s="49">
        <f>SUMIFS(Banco[Monto],Banco[CtaCtbl],$C70,Banco[Periodo Contable],TEXT(BH$3,"mmm-yyyy"))</f>
        <v>0</v>
      </c>
      <c r="BI70" s="232">
        <f>SUM(Tabla17[[#This Row],[ene-25]:[dic-25]])</f>
        <v>0</v>
      </c>
      <c r="BJ70" s="49">
        <f>SUMIFS(Banco[Monto],Banco[CtaCtbl],$C70,Banco[Periodo Contable],TEXT(BJ$3,"mmm-yyyy"))</f>
        <v>0</v>
      </c>
      <c r="BK70" s="49">
        <f>SUMIFS(Banco[Monto],Banco[CtaCtbl],$C70,Banco[Periodo Contable],TEXT(BK$3,"mmm-yyyy"))</f>
        <v>0</v>
      </c>
      <c r="BL70" s="49">
        <f>SUMIFS(Banco[Monto],Banco[CtaCtbl],$C70,Banco[Periodo Contable],TEXT(BL$3,"mmm-yyyy"))</f>
        <v>0</v>
      </c>
      <c r="BM70" s="49">
        <f>SUMIFS(Banco[Monto],Banco[CtaCtbl],$C70,Banco[Periodo Contable],TEXT(BM$3,"mmm-yyyy"))</f>
        <v>0</v>
      </c>
      <c r="BN70" s="49">
        <f>SUMIFS(Banco[Monto],Banco[CtaCtbl],$C70,Banco[Periodo Contable],TEXT(BN$3,"mmm-yyyy"))</f>
        <v>0</v>
      </c>
      <c r="BO70" s="49">
        <f>SUMIFS(Banco[Monto],Banco[CtaCtbl],$C70,Banco[Periodo Contable],TEXT(BO$3,"mmm-yyyy"))</f>
        <v>0</v>
      </c>
      <c r="BP70" s="49">
        <f>SUMIFS(Banco[Monto],Banco[CtaCtbl],$C70,Banco[Periodo Contable],TEXT(BP$3,"mmm-yyyy"))</f>
        <v>0</v>
      </c>
      <c r="BQ70" s="49">
        <f>SUMIFS(Banco[Monto],Banco[CtaCtbl],$C70,Banco[Periodo Contable],TEXT(BQ$3,"mmm-yyyy"))</f>
        <v>0</v>
      </c>
      <c r="BR70" s="49">
        <f>SUMIFS(Banco[Monto],Banco[CtaCtbl],$C70,Banco[Periodo Contable],TEXT(BR$3,"mmm-yyyy"))</f>
        <v>0</v>
      </c>
      <c r="BS70" s="49">
        <f>SUMIFS(Banco[Monto],Banco[CtaCtbl],$C70,Banco[Periodo Contable],TEXT(BS$3,"mmm-yyyy"))</f>
        <v>0</v>
      </c>
      <c r="BT70" s="49">
        <f>SUMIFS(Banco[Monto],Banco[CtaCtbl],$C70,Banco[Periodo Contable],TEXT(BT$3,"mmm-yyyy"))</f>
        <v>0</v>
      </c>
      <c r="BU70" s="49">
        <f>SUMIFS(Banco[Monto],Banco[CtaCtbl],$C70,Banco[Periodo Contable],TEXT(BU$3,"mmm-yyyy"))</f>
        <v>0</v>
      </c>
      <c r="BV70" s="232">
        <f>SUM(Tabla17[[#This Row],[ene-26]:[dic-26]])</f>
        <v>0</v>
      </c>
      <c r="BW70" s="49">
        <f>SUMIFS(Banco[Monto],Banco[CtaCtbl],$C70,Banco[Periodo Contable],TEXT(BW$3,"mmm-yyyy"))</f>
        <v>0</v>
      </c>
    </row>
    <row r="71" spans="1:75" ht="21.6" outlineLevel="2">
      <c r="A71" s="36" t="s">
        <v>370</v>
      </c>
      <c r="B71" s="25" t="s">
        <v>371</v>
      </c>
      <c r="C71" s="22" t="str">
        <f>+Tabla17[[#This Row],[Cuenta]]&amp;" - "&amp;Tabla17[[#This Row],[Descripcion Cuenta]]</f>
        <v>2.02.04 - Mobiliario</v>
      </c>
      <c r="D71" s="37"/>
      <c r="E71" s="49">
        <f>SUMIFS(Banco[Monto],Banco[CtaCtbl],$C71,Banco[Periodo Contable],TEXT(E$3,"mmm-yyyy"))</f>
        <v>0</v>
      </c>
      <c r="F71" s="49">
        <f>SUMIFS(Banco[Monto],Banco[CtaCtbl],$C71,Banco[Periodo Contable],TEXT(F$3,"mmm-yyyy"))</f>
        <v>0</v>
      </c>
      <c r="G71" s="49">
        <f>SUMIFS(Banco[Monto],Banco[CtaCtbl],$C71,Banco[Periodo Contable],TEXT(G$3,"mmm-yyyy"))</f>
        <v>0</v>
      </c>
      <c r="H71" s="49">
        <f>SUMIFS(Banco[Monto],Banco[CtaCtbl],$C71,Banco[Periodo Contable],TEXT(H$3,"mmm-yyyy"))</f>
        <v>0</v>
      </c>
      <c r="I71" s="49">
        <f>SUM(Tabla17[[#This Row],[sept-21]:[dic-21]])</f>
        <v>0</v>
      </c>
      <c r="J71" s="49">
        <f>SUMIFS(Banco[Monto],Banco[CtaCtbl],$C71,Banco[Periodo Contable],TEXT(J$3,"mmm-yyyy"))</f>
        <v>0</v>
      </c>
      <c r="K71" s="49">
        <f>SUMIFS(Banco[Monto],Banco[CtaCtbl],$C71,Banco[Periodo Contable],TEXT(K$3,"mmm-yyyy"))</f>
        <v>0</v>
      </c>
      <c r="L71" s="49">
        <f>SUMIFS(Banco[Monto],Banco[CtaCtbl],$C71,Banco[Periodo Contable],TEXT(L$3,"mmm-yyyy"))</f>
        <v>0</v>
      </c>
      <c r="M71" s="49">
        <f>SUMIFS(Banco[Monto],Banco[CtaCtbl],$C71,Banco[Periodo Contable],TEXT(M$3,"mmm-yyyy"))</f>
        <v>0</v>
      </c>
      <c r="N71" s="49">
        <f>SUMIFS(Banco[Monto],Banco[CtaCtbl],$C71,Banco[Periodo Contable],TEXT(N$3,"mmm-yyyy"))</f>
        <v>0</v>
      </c>
      <c r="O71" s="49">
        <f>SUMIFS(Banco[Monto],Banco[CtaCtbl],$C71,Banco[Periodo Contable],TEXT(O$3,"mmm-yyyy"))</f>
        <v>0</v>
      </c>
      <c r="P71" s="49">
        <f>SUMIFS(Banco[Monto],Banco[CtaCtbl],$C71,Banco[Periodo Contable],TEXT(P$3,"mmm-yyyy"))</f>
        <v>0</v>
      </c>
      <c r="Q71" s="49">
        <f>SUMIFS(Banco[Monto],Banco[CtaCtbl],$C71,Banco[Periodo Contable],TEXT(Q$3,"mmm-yyyy"))</f>
        <v>0</v>
      </c>
      <c r="R71" s="49">
        <f>SUMIFS(Banco[Monto],Banco[CtaCtbl],$C71,Banco[Periodo Contable],TEXT(R$3,"mmm-yyyy"))</f>
        <v>0</v>
      </c>
      <c r="S71" s="49">
        <f>SUMIFS(Banco[Monto],Banco[CtaCtbl],$C71,Banco[Periodo Contable],TEXT(S$3,"mmm-yyyy"))</f>
        <v>0</v>
      </c>
      <c r="T71" s="49">
        <f>SUMIFS(Banco[Monto],Banco[CtaCtbl],$C71,Banco[Periodo Contable],TEXT(T$3,"mmm-yyyy"))</f>
        <v>0</v>
      </c>
      <c r="U71" s="49">
        <f>SUMIFS(Banco[Monto],Banco[CtaCtbl],$C71,Banco[Periodo Contable],TEXT(U$3,"mmm-yyyy"))</f>
        <v>0</v>
      </c>
      <c r="V71" s="300">
        <f>SUM(Tabla17[[#This Row],[ene-22]:[dic-22]])</f>
        <v>0</v>
      </c>
      <c r="W71" s="49">
        <f>SUMIFS(Banco[Monto],Banco[CtaCtbl],$C71,Banco[Periodo Contable],TEXT(W$3,"mmm-yyyy"))</f>
        <v>0</v>
      </c>
      <c r="X71" s="49">
        <f>SUMIFS(Banco[Monto],Banco[CtaCtbl],$C71,Banco[Periodo Contable],TEXT(X$3,"mmm-yyyy"))</f>
        <v>0</v>
      </c>
      <c r="Y71" s="49">
        <f>SUMIFS(Banco[Monto],Banco[CtaCtbl],$C71,Banco[Periodo Contable],TEXT(Y$3,"mmm-yyyy"))</f>
        <v>0</v>
      </c>
      <c r="Z71" s="49">
        <f>SUMIFS(Banco[Monto],Banco[CtaCtbl],$C71,Banco[Periodo Contable],TEXT(Z$3,"mmm-yyyy"))</f>
        <v>0</v>
      </c>
      <c r="AA71" s="49">
        <f>SUMIFS(Banco[Monto],Banco[CtaCtbl],$C71,Banco[Periodo Contable],TEXT(AA$3,"mmm-yyyy"))</f>
        <v>0</v>
      </c>
      <c r="AB71" s="49">
        <f>SUMIFS(Banco[Monto],Banco[CtaCtbl],$C71,Banco[Periodo Contable],TEXT(AB$3,"mmm-yyyy"))</f>
        <v>0</v>
      </c>
      <c r="AC71" s="49">
        <f>SUMIFS(Banco[Monto],Banco[CtaCtbl],$C71,Banco[Periodo Contable],TEXT(AC$3,"mmm-yyyy"))</f>
        <v>0</v>
      </c>
      <c r="AD71" s="49">
        <f>SUMIFS(Banco[Monto],Banco[CtaCtbl],$C71,Banco[Periodo Contable],TEXT(AD$3,"mmm-yyyy"))</f>
        <v>0</v>
      </c>
      <c r="AE71" s="49">
        <f>SUMIFS(Banco[Monto],Banco[CtaCtbl],$C71,Banco[Periodo Contable],TEXT(AE$3,"mmm-yyyy"))</f>
        <v>0</v>
      </c>
      <c r="AF71" s="49">
        <f>SUMIFS(Banco[Monto],Banco[CtaCtbl],$C71,Banco[Periodo Contable],TEXT(AF$3,"mmm-yyyy"))</f>
        <v>0</v>
      </c>
      <c r="AG71" s="49">
        <f>SUMIFS(Banco[Monto],Banco[CtaCtbl],$C71,Banco[Periodo Contable],TEXT(AG$3,"mmm-yyyy"))</f>
        <v>0</v>
      </c>
      <c r="AH71" s="49">
        <f>SUMIFS(Banco[Monto],Banco[CtaCtbl],$C71,Banco[Periodo Contable],TEXT(AH$3,"mmm-yyyy"))</f>
        <v>0</v>
      </c>
      <c r="AI71" s="300">
        <f>SUM(Tabla17[[#This Row],[ene-23]:[dic-23]])</f>
        <v>0</v>
      </c>
      <c r="AJ71" s="49">
        <f>SUMIFS(Banco[Monto],Banco[CtaCtbl],$C71,Banco[Periodo Contable],TEXT(AJ$3,"mmm-yyyy"))</f>
        <v>0</v>
      </c>
      <c r="AK71" s="49">
        <f>SUMIFS(Banco[Monto],Banco[CtaCtbl],$C71,Banco[Periodo Contable],TEXT(AK$3,"mmm-yyyy"))</f>
        <v>0</v>
      </c>
      <c r="AL71" s="49">
        <f>SUMIFS(Banco[Monto],Banco[CtaCtbl],$C71,Banco[Periodo Contable],TEXT(AL$3,"mmm-yyyy"))</f>
        <v>0</v>
      </c>
      <c r="AM71" s="49">
        <f>SUMIFS(Banco[Monto],Banco[CtaCtbl],$C71,Banco[Periodo Contable],TEXT(AM$3,"mmm-yyyy"))</f>
        <v>0</v>
      </c>
      <c r="AN71" s="49">
        <f>SUMIFS(Banco[Monto],Banco[CtaCtbl],$C71,Banco[Periodo Contable],TEXT(AN$3,"mmm-yyyy"))</f>
        <v>0</v>
      </c>
      <c r="AO71" s="49">
        <f>SUMIFS(Banco[Monto],Banco[CtaCtbl],$C71,Banco[Periodo Contable],TEXT(AO$3,"mmm-yyyy"))</f>
        <v>0</v>
      </c>
      <c r="AP71" s="49">
        <f>SUMIFS(Banco[Monto],Banco[CtaCtbl],$C71,Banco[Periodo Contable],TEXT(AP$3,"mmm-yyyy"))</f>
        <v>0</v>
      </c>
      <c r="AQ71" s="49">
        <f>SUMIFS(Banco[Monto],Banco[CtaCtbl],$C71,Banco[Periodo Contable],TEXT(AQ$3,"mmm-yyyy"))</f>
        <v>0</v>
      </c>
      <c r="AR71" s="49">
        <f>SUMIFS(Banco[Monto],Banco[CtaCtbl],$C71,Banco[Periodo Contable],TEXT(AR$3,"mmm-yyyy"))</f>
        <v>0</v>
      </c>
      <c r="AS71" s="49">
        <f>SUMIFS(Banco[Monto],Banco[CtaCtbl],$C71,Banco[Periodo Contable],TEXT(AS$3,"mmm-yyyy"))</f>
        <v>0</v>
      </c>
      <c r="AT71" s="49">
        <f>SUMIFS(Banco[Monto],Banco[CtaCtbl],$C71,Banco[Periodo Contable],TEXT(AT$3,"mmm-yyyy"))</f>
        <v>0</v>
      </c>
      <c r="AU71" s="49">
        <f>SUMIFS(Banco[Monto],Banco[CtaCtbl],$C71,Banco[Periodo Contable],TEXT(AU$3,"mmm-yyyy"))</f>
        <v>0</v>
      </c>
      <c r="AV71" s="300">
        <f>SUM(Tabla17[[#This Row],[ene-24]:[dic-24]])</f>
        <v>0</v>
      </c>
      <c r="AW71" s="49">
        <f>SUMIFS(Banco[Monto],Banco[CtaCtbl],$C71,Banco[Periodo Contable],TEXT(AW$3,"mmm-yyyy"))</f>
        <v>0</v>
      </c>
      <c r="AX71" s="49">
        <f>SUMIFS(Banco[Monto],Banco[CtaCtbl],$C71,Banco[Periodo Contable],TEXT(AX$3,"mmm-yyyy"))</f>
        <v>0</v>
      </c>
      <c r="AY71" s="49">
        <f>SUMIFS(Banco[Monto],Banco[CtaCtbl],$C71,Banco[Periodo Contable],TEXT(AY$3,"mmm-yyyy"))</f>
        <v>0</v>
      </c>
      <c r="AZ71" s="49">
        <f>SUMIFS(Banco[Monto],Banco[CtaCtbl],$C71,Banco[Periodo Contable],TEXT(AZ$3,"mmm-yyyy"))</f>
        <v>0</v>
      </c>
      <c r="BA71" s="49">
        <f>SUMIFS(Banco[Monto],Banco[CtaCtbl],$C71,Banco[Periodo Contable],TEXT(BA$3,"mmm-yyyy"))</f>
        <v>0</v>
      </c>
      <c r="BB71" s="49">
        <f>SUMIFS(Banco[Monto],Banco[CtaCtbl],$C71,Banco[Periodo Contable],TEXT(BB$3,"mmm-yyyy"))</f>
        <v>0</v>
      </c>
      <c r="BC71" s="49">
        <f>SUMIFS(Banco[Monto],Banco[CtaCtbl],$C71,Banco[Periodo Contable],TEXT(BC$3,"mmm-yyyy"))</f>
        <v>0</v>
      </c>
      <c r="BD71" s="49">
        <f>SUMIFS(Banco[Monto],Banco[CtaCtbl],$C71,Banco[Periodo Contable],TEXT(BD$3,"mmm-yyyy"))</f>
        <v>0</v>
      </c>
      <c r="BE71" s="49">
        <f>SUMIFS(Banco[Monto],Banco[CtaCtbl],$C71,Banco[Periodo Contable],TEXT(BE$3,"mmm-yyyy"))</f>
        <v>0</v>
      </c>
      <c r="BF71" s="49">
        <f>SUMIFS(Banco[Monto],Banco[CtaCtbl],$C71,Banco[Periodo Contable],TEXT(BF$3,"mmm-yyyy"))</f>
        <v>0</v>
      </c>
      <c r="BG71" s="49">
        <f>SUMIFS(Banco[Monto],Banco[CtaCtbl],$C71,Banco[Periodo Contable],TEXT(BG$3,"mmm-yyyy"))</f>
        <v>0</v>
      </c>
      <c r="BH71" s="49">
        <f>SUMIFS(Banco[Monto],Banco[CtaCtbl],$C71,Banco[Periodo Contable],TEXT(BH$3,"mmm-yyyy"))</f>
        <v>0</v>
      </c>
      <c r="BI71" s="232">
        <f>SUM(Tabla17[[#This Row],[ene-25]:[dic-25]])</f>
        <v>0</v>
      </c>
      <c r="BJ71" s="49">
        <f>SUMIFS(Banco[Monto],Banco[CtaCtbl],$C71,Banco[Periodo Contable],TEXT(BJ$3,"mmm-yyyy"))</f>
        <v>0</v>
      </c>
      <c r="BK71" s="49">
        <f>SUMIFS(Banco[Monto],Banco[CtaCtbl],$C71,Banco[Periodo Contable],TEXT(BK$3,"mmm-yyyy"))</f>
        <v>0</v>
      </c>
      <c r="BL71" s="49">
        <f>SUMIFS(Banco[Monto],Banco[CtaCtbl],$C71,Banco[Periodo Contable],TEXT(BL$3,"mmm-yyyy"))</f>
        <v>0</v>
      </c>
      <c r="BM71" s="49">
        <f>SUMIFS(Banco[Monto],Banco[CtaCtbl],$C71,Banco[Periodo Contable],TEXT(BM$3,"mmm-yyyy"))</f>
        <v>0</v>
      </c>
      <c r="BN71" s="49">
        <f>SUMIFS(Banco[Monto],Banco[CtaCtbl],$C71,Banco[Periodo Contable],TEXT(BN$3,"mmm-yyyy"))</f>
        <v>0</v>
      </c>
      <c r="BO71" s="49">
        <f>SUMIFS(Banco[Monto],Banco[CtaCtbl],$C71,Banco[Periodo Contable],TEXT(BO$3,"mmm-yyyy"))</f>
        <v>0</v>
      </c>
      <c r="BP71" s="49">
        <f>SUMIFS(Banco[Monto],Banco[CtaCtbl],$C71,Banco[Periodo Contable],TEXT(BP$3,"mmm-yyyy"))</f>
        <v>0</v>
      </c>
      <c r="BQ71" s="49">
        <f>SUMIFS(Banco[Monto],Banco[CtaCtbl],$C71,Banco[Periodo Contable],TEXT(BQ$3,"mmm-yyyy"))</f>
        <v>0</v>
      </c>
      <c r="BR71" s="49">
        <f>SUMIFS(Banco[Monto],Banco[CtaCtbl],$C71,Banco[Periodo Contable],TEXT(BR$3,"mmm-yyyy"))</f>
        <v>0</v>
      </c>
      <c r="BS71" s="49">
        <f>SUMIFS(Banco[Monto],Banco[CtaCtbl],$C71,Banco[Periodo Contable],TEXT(BS$3,"mmm-yyyy"))</f>
        <v>0</v>
      </c>
      <c r="BT71" s="49">
        <f>SUMIFS(Banco[Monto],Banco[CtaCtbl],$C71,Banco[Periodo Contable],TEXT(BT$3,"mmm-yyyy"))</f>
        <v>0</v>
      </c>
      <c r="BU71" s="49">
        <f>SUMIFS(Banco[Monto],Banco[CtaCtbl],$C71,Banco[Periodo Contable],TEXT(BU$3,"mmm-yyyy"))</f>
        <v>0</v>
      </c>
      <c r="BV71" s="232">
        <f>SUM(Tabla17[[#This Row],[ene-26]:[dic-26]])</f>
        <v>0</v>
      </c>
      <c r="BW71" s="49">
        <f>SUMIFS(Banco[Monto],Banco[CtaCtbl],$C71,Banco[Periodo Contable],TEXT(BW$3,"mmm-yyyy"))</f>
        <v>0</v>
      </c>
    </row>
    <row r="72" spans="1:75" ht="21.6" outlineLevel="2">
      <c r="A72" s="36" t="s">
        <v>372</v>
      </c>
      <c r="B72" s="25" t="s">
        <v>373</v>
      </c>
      <c r="C72" s="22" t="str">
        <f>+Tabla17[[#This Row],[Cuenta]]&amp;" - "&amp;Tabla17[[#This Row],[Descripcion Cuenta]]</f>
        <v>2.02.05 - Restitución Fondos Socios</v>
      </c>
      <c r="D72" s="37" t="s">
        <v>374</v>
      </c>
      <c r="E72" s="49">
        <f>SUMIFS(Banco[Monto],Banco[CtaCtbl],$C72,Banco[Periodo Contable],TEXT(E$3,"mmm-yyyy"))</f>
        <v>0</v>
      </c>
      <c r="F72" s="49">
        <f>SUMIFS(Banco[Monto],Banco[CtaCtbl],$C72,Banco[Periodo Contable],TEXT(F$3,"mmm-yyyy"))</f>
        <v>0</v>
      </c>
      <c r="G72" s="49">
        <f>SUMIFS(Banco[Monto],Banco[CtaCtbl],$C72,Banco[Periodo Contable],TEXT(G$3,"mmm-yyyy"))</f>
        <v>0</v>
      </c>
      <c r="H72" s="49">
        <f>SUMIFS(Banco[Monto],Banco[CtaCtbl],$C72,Banco[Periodo Contable],TEXT(H$3,"mmm-yyyy"))</f>
        <v>0</v>
      </c>
      <c r="I72" s="49">
        <f>SUM(Tabla17[[#This Row],[sept-21]:[dic-21]])</f>
        <v>0</v>
      </c>
      <c r="J72" s="49">
        <f>SUMIFS(Banco[Monto],Banco[CtaCtbl],$C72,Banco[Periodo Contable],TEXT(J$3,"mmm-yyyy"))</f>
        <v>0</v>
      </c>
      <c r="K72" s="49">
        <f>SUMIFS(Banco[Monto],Banco[CtaCtbl],$C72,Banco[Periodo Contable],TEXT(K$3,"mmm-yyyy"))</f>
        <v>0</v>
      </c>
      <c r="L72" s="49">
        <f>SUMIFS(Banco[Monto],Banco[CtaCtbl],$C72,Banco[Periodo Contable],TEXT(L$3,"mmm-yyyy"))</f>
        <v>0</v>
      </c>
      <c r="M72" s="49">
        <f>SUMIFS(Banco[Monto],Banco[CtaCtbl],$C72,Banco[Periodo Contable],TEXT(M$3,"mmm-yyyy"))</f>
        <v>-15606</v>
      </c>
      <c r="N72" s="49">
        <f>SUMIFS(Banco[Monto],Banco[CtaCtbl],$C72,Banco[Periodo Contable],TEXT(N$3,"mmm-yyyy"))</f>
        <v>0</v>
      </c>
      <c r="O72" s="49">
        <f>SUMIFS(Banco[Monto],Banco[CtaCtbl],$C72,Banco[Periodo Contable],TEXT(O$3,"mmm-yyyy"))</f>
        <v>0</v>
      </c>
      <c r="P72" s="49">
        <f>SUMIFS(Banco[Monto],Banco[CtaCtbl],$C72,Banco[Periodo Contable],TEXT(P$3,"mmm-yyyy"))</f>
        <v>0</v>
      </c>
      <c r="Q72" s="49">
        <f>SUMIFS(Banco[Monto],Banco[CtaCtbl],$C72,Banco[Periodo Contable],TEXT(Q$3,"mmm-yyyy"))</f>
        <v>0</v>
      </c>
      <c r="R72" s="49">
        <f>SUMIFS(Banco[Monto],Banco[CtaCtbl],$C72,Banco[Periodo Contable],TEXT(R$3,"mmm-yyyy"))</f>
        <v>0</v>
      </c>
      <c r="S72" s="49">
        <f>SUMIFS(Banco[Monto],Banco[CtaCtbl],$C72,Banco[Periodo Contable],TEXT(S$3,"mmm-yyyy"))</f>
        <v>0</v>
      </c>
      <c r="T72" s="49">
        <f>SUMIFS(Banco[Monto],Banco[CtaCtbl],$C72,Banco[Periodo Contable],TEXT(T$3,"mmm-yyyy"))</f>
        <v>0</v>
      </c>
      <c r="U72" s="49">
        <f>SUMIFS(Banco[Monto],Banco[CtaCtbl],$C72,Banco[Periodo Contable],TEXT(U$3,"mmm-yyyy"))</f>
        <v>0</v>
      </c>
      <c r="V72" s="300">
        <f>SUM(Tabla17[[#This Row],[ene-22]:[dic-22]])</f>
        <v>-15606</v>
      </c>
      <c r="W72" s="49">
        <f>SUMIFS(Banco[Monto],Banco[CtaCtbl],$C72,Banco[Periodo Contable],TEXT(W$3,"mmm-yyyy"))</f>
        <v>0</v>
      </c>
      <c r="X72" s="49">
        <f>SUMIFS(Banco[Monto],Banco[CtaCtbl],$C72,Banco[Periodo Contable],TEXT(X$3,"mmm-yyyy"))</f>
        <v>0</v>
      </c>
      <c r="Y72" s="49">
        <f>SUMIFS(Banco[Monto],Banco[CtaCtbl],$C72,Banco[Periodo Contable],TEXT(Y$3,"mmm-yyyy"))</f>
        <v>0</v>
      </c>
      <c r="Z72" s="49">
        <f>SUMIFS(Banco[Monto],Banco[CtaCtbl],$C72,Banco[Periodo Contable],TEXT(Z$3,"mmm-yyyy"))</f>
        <v>0</v>
      </c>
      <c r="AA72" s="49">
        <f>SUMIFS(Banco[Monto],Banco[CtaCtbl],$C72,Banco[Periodo Contable],TEXT(AA$3,"mmm-yyyy"))</f>
        <v>0</v>
      </c>
      <c r="AB72" s="49">
        <f>SUMIFS(Banco[Monto],Banco[CtaCtbl],$C72,Banco[Periodo Contable],TEXT(AB$3,"mmm-yyyy"))</f>
        <v>0</v>
      </c>
      <c r="AC72" s="49">
        <f>SUMIFS(Banco[Monto],Banco[CtaCtbl],$C72,Banco[Periodo Contable],TEXT(AC$3,"mmm-yyyy"))</f>
        <v>0</v>
      </c>
      <c r="AD72" s="49">
        <f>SUMIFS(Banco[Monto],Banco[CtaCtbl],$C72,Banco[Periodo Contable],TEXT(AD$3,"mmm-yyyy"))</f>
        <v>0</v>
      </c>
      <c r="AE72" s="49">
        <f>SUMIFS(Banco[Monto],Banco[CtaCtbl],$C72,Banco[Periodo Contable],TEXT(AE$3,"mmm-yyyy"))</f>
        <v>0</v>
      </c>
      <c r="AF72" s="49">
        <f>SUMIFS(Banco[Monto],Banco[CtaCtbl],$C72,Banco[Periodo Contable],TEXT(AF$3,"mmm-yyyy"))</f>
        <v>0</v>
      </c>
      <c r="AG72" s="49">
        <f>SUMIFS(Banco[Monto],Banco[CtaCtbl],$C72,Banco[Periodo Contable],TEXT(AG$3,"mmm-yyyy"))</f>
        <v>0</v>
      </c>
      <c r="AH72" s="49">
        <f>SUMIFS(Banco[Monto],Banco[CtaCtbl],$C72,Banco[Periodo Contable],TEXT(AH$3,"mmm-yyyy"))</f>
        <v>0</v>
      </c>
      <c r="AI72" s="300">
        <f>SUM(Tabla17[[#This Row],[ene-23]:[dic-23]])</f>
        <v>0</v>
      </c>
      <c r="AJ72" s="49">
        <f>SUMIFS(Banco[Monto],Banco[CtaCtbl],$C72,Banco[Periodo Contable],TEXT(AJ$3,"mmm-yyyy"))</f>
        <v>0</v>
      </c>
      <c r="AK72" s="49">
        <f>SUMIFS(Banco[Monto],Banco[CtaCtbl],$C72,Banco[Periodo Contable],TEXT(AK$3,"mmm-yyyy"))</f>
        <v>0</v>
      </c>
      <c r="AL72" s="49">
        <f>SUMIFS(Banco[Monto],Banco[CtaCtbl],$C72,Banco[Periodo Contable],TEXT(AL$3,"mmm-yyyy"))</f>
        <v>0</v>
      </c>
      <c r="AM72" s="49">
        <f>SUMIFS(Banco[Monto],Banco[CtaCtbl],$C72,Banco[Periodo Contable],TEXT(AM$3,"mmm-yyyy"))</f>
        <v>0</v>
      </c>
      <c r="AN72" s="49">
        <f>SUMIFS(Banco[Monto],Banco[CtaCtbl],$C72,Banco[Periodo Contable],TEXT(AN$3,"mmm-yyyy"))</f>
        <v>0</v>
      </c>
      <c r="AO72" s="49">
        <f>SUMIFS(Banco[Monto],Banco[CtaCtbl],$C72,Banco[Periodo Contable],TEXT(AO$3,"mmm-yyyy"))</f>
        <v>0</v>
      </c>
      <c r="AP72" s="49">
        <f>SUMIFS(Banco[Monto],Banco[CtaCtbl],$C72,Banco[Periodo Contable],TEXT(AP$3,"mmm-yyyy"))</f>
        <v>0</v>
      </c>
      <c r="AQ72" s="49">
        <f>SUMIFS(Banco[Monto],Banco[CtaCtbl],$C72,Banco[Periodo Contable],TEXT(AQ$3,"mmm-yyyy"))</f>
        <v>0</v>
      </c>
      <c r="AR72" s="49">
        <f>SUMIFS(Banco[Monto],Banco[CtaCtbl],$C72,Banco[Periodo Contable],TEXT(AR$3,"mmm-yyyy"))</f>
        <v>0</v>
      </c>
      <c r="AS72" s="49">
        <f>SUMIFS(Banco[Monto],Banco[CtaCtbl],$C72,Banco[Periodo Contable],TEXT(AS$3,"mmm-yyyy"))</f>
        <v>0</v>
      </c>
      <c r="AT72" s="49">
        <f>SUMIFS(Banco[Monto],Banco[CtaCtbl],$C72,Banco[Periodo Contable],TEXT(AT$3,"mmm-yyyy"))</f>
        <v>0</v>
      </c>
      <c r="AU72" s="49">
        <f>SUMIFS(Banco[Monto],Banco[CtaCtbl],$C72,Banco[Periodo Contable],TEXT(AU$3,"mmm-yyyy"))</f>
        <v>-219384</v>
      </c>
      <c r="AV72" s="300">
        <f>SUM(Tabla17[[#This Row],[ene-24]:[dic-24]])</f>
        <v>-219384</v>
      </c>
      <c r="AW72" s="49">
        <f>SUMIFS(Banco[Monto],Banco[CtaCtbl],$C72,Banco[Periodo Contable],TEXT(AW$3,"mmm-yyyy"))</f>
        <v>0</v>
      </c>
      <c r="AX72" s="49">
        <f>SUMIFS(Banco[Monto],Banco[CtaCtbl],$C72,Banco[Periodo Contable],TEXT(AX$3,"mmm-yyyy"))</f>
        <v>0</v>
      </c>
      <c r="AY72" s="49">
        <f>SUMIFS(Banco[Monto],Banco[CtaCtbl],$C72,Banco[Periodo Contable],TEXT(AY$3,"mmm-yyyy"))</f>
        <v>0</v>
      </c>
      <c r="AZ72" s="49">
        <f>SUMIFS(Banco[Monto],Banco[CtaCtbl],$C72,Banco[Periodo Contable],TEXT(AZ$3,"mmm-yyyy"))</f>
        <v>0</v>
      </c>
      <c r="BA72" s="49">
        <f>SUMIFS(Banco[Monto],Banco[CtaCtbl],$C72,Banco[Periodo Contable],TEXT(BA$3,"mmm-yyyy"))</f>
        <v>0</v>
      </c>
      <c r="BB72" s="49">
        <f>SUMIFS(Banco[Monto],Banco[CtaCtbl],$C72,Banco[Periodo Contable],TEXT(BB$3,"mmm-yyyy"))</f>
        <v>0</v>
      </c>
      <c r="BC72" s="49">
        <f>SUMIFS(Banco[Monto],Banco[CtaCtbl],$C72,Banco[Periodo Contable],TEXT(BC$3,"mmm-yyyy"))</f>
        <v>0</v>
      </c>
      <c r="BD72" s="49">
        <f>SUMIFS(Banco[Monto],Banco[CtaCtbl],$C72,Banco[Periodo Contable],TEXT(BD$3,"mmm-yyyy"))</f>
        <v>0</v>
      </c>
      <c r="BE72" s="49">
        <f>SUMIFS(Banco[Monto],Banco[CtaCtbl],$C72,Banco[Periodo Contable],TEXT(BE$3,"mmm-yyyy"))</f>
        <v>0</v>
      </c>
      <c r="BF72" s="49">
        <f>SUMIFS(Banco[Monto],Banco[CtaCtbl],$C72,Banco[Periodo Contable],TEXT(BF$3,"mmm-yyyy"))</f>
        <v>0</v>
      </c>
      <c r="BG72" s="49">
        <f>SUMIFS(Banco[Monto],Banco[CtaCtbl],$C72,Banco[Periodo Contable],TEXT(BG$3,"mmm-yyyy"))</f>
        <v>0</v>
      </c>
      <c r="BH72" s="49">
        <f>SUMIFS(Banco[Monto],Banco[CtaCtbl],$C72,Banco[Periodo Contable],TEXT(BH$3,"mmm-yyyy"))</f>
        <v>0</v>
      </c>
      <c r="BI72" s="232">
        <f>SUM(Tabla17[[#This Row],[ene-25]:[dic-25]])</f>
        <v>0</v>
      </c>
      <c r="BJ72" s="49">
        <f>SUMIFS(Banco[Monto],Banco[CtaCtbl],$C72,Banco[Periodo Contable],TEXT(BJ$3,"mmm-yyyy"))</f>
        <v>0</v>
      </c>
      <c r="BK72" s="49">
        <f>SUMIFS(Banco[Monto],Banco[CtaCtbl],$C72,Banco[Periodo Contable],TEXT(BK$3,"mmm-yyyy"))</f>
        <v>0</v>
      </c>
      <c r="BL72" s="49">
        <f>SUMIFS(Banco[Monto],Banco[CtaCtbl],$C72,Banco[Periodo Contable],TEXT(BL$3,"mmm-yyyy"))</f>
        <v>0</v>
      </c>
      <c r="BM72" s="49">
        <f>SUMIFS(Banco[Monto],Banco[CtaCtbl],$C72,Banco[Periodo Contable],TEXT(BM$3,"mmm-yyyy"))</f>
        <v>0</v>
      </c>
      <c r="BN72" s="49">
        <f>SUMIFS(Banco[Monto],Banco[CtaCtbl],$C72,Banco[Periodo Contable],TEXT(BN$3,"mmm-yyyy"))</f>
        <v>0</v>
      </c>
      <c r="BO72" s="49">
        <f>SUMIFS(Banco[Monto],Banco[CtaCtbl],$C72,Banco[Periodo Contable],TEXT(BO$3,"mmm-yyyy"))</f>
        <v>0</v>
      </c>
      <c r="BP72" s="49">
        <f>SUMIFS(Banco[Monto],Banco[CtaCtbl],$C72,Banco[Periodo Contable],TEXT(BP$3,"mmm-yyyy"))</f>
        <v>0</v>
      </c>
      <c r="BQ72" s="49">
        <f>SUMIFS(Banco[Monto],Banco[CtaCtbl],$C72,Banco[Periodo Contable],TEXT(BQ$3,"mmm-yyyy"))</f>
        <v>0</v>
      </c>
      <c r="BR72" s="49">
        <f>SUMIFS(Banco[Monto],Banco[CtaCtbl],$C72,Banco[Periodo Contable],TEXT(BR$3,"mmm-yyyy"))</f>
        <v>0</v>
      </c>
      <c r="BS72" s="49">
        <f>SUMIFS(Banco[Monto],Banco[CtaCtbl],$C72,Banco[Periodo Contable],TEXT(BS$3,"mmm-yyyy"))</f>
        <v>0</v>
      </c>
      <c r="BT72" s="49">
        <f>SUMIFS(Banco[Monto],Banco[CtaCtbl],$C72,Banco[Periodo Contable],TEXT(BT$3,"mmm-yyyy"))</f>
        <v>0</v>
      </c>
      <c r="BU72" s="49">
        <f>SUMIFS(Banco[Monto],Banco[CtaCtbl],$C72,Banco[Periodo Contable],TEXT(BU$3,"mmm-yyyy"))</f>
        <v>0</v>
      </c>
      <c r="BV72" s="232">
        <f>SUM(Tabla17[[#This Row],[ene-26]:[dic-26]])</f>
        <v>0</v>
      </c>
      <c r="BW72" s="49">
        <f>SUMIFS(Banco[Monto],Banco[CtaCtbl],$C72,Banco[Periodo Contable],TEXT(BW$3,"mmm-yyyy"))</f>
        <v>0</v>
      </c>
    </row>
    <row r="73" spans="1:75" ht="21.6" outlineLevel="2">
      <c r="A73" s="36" t="s">
        <v>375</v>
      </c>
      <c r="B73" s="25" t="s">
        <v>376</v>
      </c>
      <c r="C73" s="22" t="str">
        <f>+Tabla17[[#This Row],[Cuenta]]&amp;" - "&amp;Tabla17[[#This Row],[Descripcion Cuenta]]</f>
        <v>2.02.06 - Pago Bonos a Socios</v>
      </c>
      <c r="D73" s="37" t="s">
        <v>377</v>
      </c>
      <c r="E73" s="49">
        <f>SUMIFS(Banco[Monto],Banco[CtaCtbl],$C73,Banco[Periodo Contable],TEXT(E$3,"mmm-yyyy"))</f>
        <v>0</v>
      </c>
      <c r="F73" s="49">
        <f>SUMIFS(Banco[Monto],Banco[CtaCtbl],$C73,Banco[Periodo Contable],TEXT(F$3,"mmm-yyyy"))</f>
        <v>0</v>
      </c>
      <c r="G73" s="49">
        <f>SUMIFS(Banco[Monto],Banco[CtaCtbl],$C73,Banco[Periodo Contable],TEXT(G$3,"mmm-yyyy"))</f>
        <v>0</v>
      </c>
      <c r="H73" s="49">
        <f>SUMIFS(Banco[Monto],Banco[CtaCtbl],$C73,Banco[Periodo Contable],TEXT(H$3,"mmm-yyyy"))</f>
        <v>0</v>
      </c>
      <c r="I73" s="49">
        <f>SUM(Tabla17[[#This Row],[sept-21]:[dic-21]])</f>
        <v>0</v>
      </c>
      <c r="J73" s="49">
        <f>SUMIFS(Banco[Monto],Banco[CtaCtbl],$C73,Banco[Periodo Contable],TEXT(J$3,"mmm-yyyy"))</f>
        <v>0</v>
      </c>
      <c r="K73" s="49">
        <f>SUMIFS(Banco[Monto],Banco[CtaCtbl],$C73,Banco[Periodo Contable],TEXT(K$3,"mmm-yyyy"))</f>
        <v>0</v>
      </c>
      <c r="L73" s="49">
        <f>SUMIFS(Banco[Monto],Banco[CtaCtbl],$C73,Banco[Periodo Contable],TEXT(L$3,"mmm-yyyy"))</f>
        <v>0</v>
      </c>
      <c r="M73" s="49">
        <f>SUMIFS(Banco[Monto],Banco[CtaCtbl],$C73,Banco[Periodo Contable],TEXT(M$3,"mmm-yyyy"))</f>
        <v>0</v>
      </c>
      <c r="N73" s="49">
        <f>SUMIFS(Banco[Monto],Banco[CtaCtbl],$C73,Banco[Periodo Contable],TEXT(N$3,"mmm-yyyy"))</f>
        <v>0</v>
      </c>
      <c r="O73" s="49">
        <f>SUMIFS(Banco[Monto],Banco[CtaCtbl],$C73,Banco[Periodo Contable],TEXT(O$3,"mmm-yyyy"))</f>
        <v>-109500000</v>
      </c>
      <c r="P73" s="49">
        <f>SUMIFS(Banco[Monto],Banco[CtaCtbl],$C73,Banco[Periodo Contable],TEXT(P$3,"mmm-yyyy"))</f>
        <v>0</v>
      </c>
      <c r="Q73" s="49">
        <f>SUMIFS(Banco[Monto],Banco[CtaCtbl],$C73,Banco[Periodo Contable],TEXT(Q$3,"mmm-yyyy"))</f>
        <v>0</v>
      </c>
      <c r="R73" s="49">
        <f>SUMIFS(Banco[Monto],Banco[CtaCtbl],$C73,Banco[Periodo Contable],TEXT(R$3,"mmm-yyyy"))</f>
        <v>0</v>
      </c>
      <c r="S73" s="49">
        <f>SUMIFS(Banco[Monto],Banco[CtaCtbl],$C73,Banco[Periodo Contable],TEXT(S$3,"mmm-yyyy"))</f>
        <v>0</v>
      </c>
      <c r="T73" s="49">
        <f>SUMIFS(Banco[Monto],Banco[CtaCtbl],$C73,Banco[Periodo Contable],TEXT(T$3,"mmm-yyyy"))</f>
        <v>0</v>
      </c>
      <c r="U73" s="49">
        <f>SUMIFS(Banco[Monto],Banco[CtaCtbl],$C73,Banco[Periodo Contable],TEXT(U$3,"mmm-yyyy"))</f>
        <v>0</v>
      </c>
      <c r="V73" s="300">
        <f>SUM(Tabla17[[#This Row],[ene-22]:[dic-22]])</f>
        <v>-109500000</v>
      </c>
      <c r="W73" s="49">
        <f>SUMIFS(Banco[Monto],Banco[CtaCtbl],$C73,Banco[Periodo Contable],TEXT(W$3,"mmm-yyyy"))</f>
        <v>0</v>
      </c>
      <c r="X73" s="49">
        <f>SUMIFS(Banco[Monto],Banco[CtaCtbl],$C73,Banco[Periodo Contable],TEXT(X$3,"mmm-yyyy"))</f>
        <v>0</v>
      </c>
      <c r="Y73" s="49">
        <f>SUMIFS(Banco[Monto],Banco[CtaCtbl],$C73,Banco[Periodo Contable],TEXT(Y$3,"mmm-yyyy"))</f>
        <v>0</v>
      </c>
      <c r="Z73" s="49">
        <f>SUMIFS(Banco[Monto],Banco[CtaCtbl],$C73,Banco[Periodo Contable],TEXT(Z$3,"mmm-yyyy"))</f>
        <v>0</v>
      </c>
      <c r="AA73" s="49">
        <f>SUMIFS(Banco[Monto],Banco[CtaCtbl],$C73,Banco[Periodo Contable],TEXT(AA$3,"mmm-yyyy"))</f>
        <v>0</v>
      </c>
      <c r="AB73" s="49">
        <f>SUMIFS(Banco[Monto],Banco[CtaCtbl],$C73,Banco[Periodo Contable],TEXT(AB$3,"mmm-yyyy"))</f>
        <v>0</v>
      </c>
      <c r="AC73" s="49">
        <f>SUMIFS(Banco[Monto],Banco[CtaCtbl],$C73,Banco[Periodo Contable],TEXT(AC$3,"mmm-yyyy"))</f>
        <v>0</v>
      </c>
      <c r="AD73" s="49">
        <f>SUMIFS(Banco[Monto],Banco[CtaCtbl],$C73,Banco[Periodo Contable],TEXT(AD$3,"mmm-yyyy"))</f>
        <v>0</v>
      </c>
      <c r="AE73" s="49">
        <f>SUMIFS(Banco[Monto],Banco[CtaCtbl],$C73,Banco[Periodo Contable],TEXT(AE$3,"mmm-yyyy"))</f>
        <v>0</v>
      </c>
      <c r="AF73" s="49">
        <f>SUMIFS(Banco[Monto],Banco[CtaCtbl],$C73,Banco[Periodo Contable],TEXT(AF$3,"mmm-yyyy"))</f>
        <v>0</v>
      </c>
      <c r="AG73" s="49">
        <f>SUMIFS(Banco[Monto],Banco[CtaCtbl],$C73,Banco[Periodo Contable],TEXT(AG$3,"mmm-yyyy"))</f>
        <v>0</v>
      </c>
      <c r="AH73" s="49">
        <f>SUMIFS(Banco[Monto],Banco[CtaCtbl],$C73,Banco[Periodo Contable],TEXT(AH$3,"mmm-yyyy"))</f>
        <v>0</v>
      </c>
      <c r="AI73" s="300">
        <f>SUM(Tabla17[[#This Row],[ene-23]:[dic-23]])</f>
        <v>0</v>
      </c>
      <c r="AJ73" s="49">
        <f>SUMIFS(Banco[Monto],Banco[CtaCtbl],$C73,Banco[Periodo Contable],TEXT(AJ$3,"mmm-yyyy"))</f>
        <v>0</v>
      </c>
      <c r="AK73" s="49">
        <f>SUMIFS(Banco[Monto],Banco[CtaCtbl],$C73,Banco[Periodo Contable],TEXT(AK$3,"mmm-yyyy"))</f>
        <v>0</v>
      </c>
      <c r="AL73" s="49">
        <f>SUMIFS(Banco[Monto],Banco[CtaCtbl],$C73,Banco[Periodo Contable],TEXT(AL$3,"mmm-yyyy"))</f>
        <v>0</v>
      </c>
      <c r="AM73" s="49">
        <f>SUMIFS(Banco[Monto],Banco[CtaCtbl],$C73,Banco[Periodo Contable],TEXT(AM$3,"mmm-yyyy"))</f>
        <v>0</v>
      </c>
      <c r="AN73" s="49">
        <f>SUMIFS(Banco[Monto],Banco[CtaCtbl],$C73,Banco[Periodo Contable],TEXT(AN$3,"mmm-yyyy"))</f>
        <v>0</v>
      </c>
      <c r="AO73" s="49">
        <f>SUMIFS(Banco[Monto],Banco[CtaCtbl],$C73,Banco[Periodo Contable],TEXT(AO$3,"mmm-yyyy"))</f>
        <v>0</v>
      </c>
      <c r="AP73" s="49">
        <f>SUMIFS(Banco[Monto],Banco[CtaCtbl],$C73,Banco[Periodo Contable],TEXT(AP$3,"mmm-yyyy"))</f>
        <v>0</v>
      </c>
      <c r="AQ73" s="49">
        <f>SUMIFS(Banco[Monto],Banco[CtaCtbl],$C73,Banco[Periodo Contable],TEXT(AQ$3,"mmm-yyyy"))</f>
        <v>0</v>
      </c>
      <c r="AR73" s="49">
        <f>SUMIFS(Banco[Monto],Banco[CtaCtbl],$C73,Banco[Periodo Contable],TEXT(AR$3,"mmm-yyyy"))</f>
        <v>0</v>
      </c>
      <c r="AS73" s="49">
        <f>SUMIFS(Banco[Monto],Banco[CtaCtbl],$C73,Banco[Periodo Contable],TEXT(AS$3,"mmm-yyyy"))</f>
        <v>0</v>
      </c>
      <c r="AT73" s="49">
        <f>SUMIFS(Banco[Monto],Banco[CtaCtbl],$C73,Banco[Periodo Contable],TEXT(AT$3,"mmm-yyyy"))</f>
        <v>0</v>
      </c>
      <c r="AU73" s="49">
        <f>SUMIFS(Banco[Monto],Banco[CtaCtbl],$C73,Banco[Periodo Contable],TEXT(AU$3,"mmm-yyyy"))</f>
        <v>0</v>
      </c>
      <c r="AV73" s="300">
        <f>SUM(Tabla17[[#This Row],[ene-24]:[dic-24]])</f>
        <v>0</v>
      </c>
      <c r="AW73" s="49">
        <f>SUMIFS(Banco[Monto],Banco[CtaCtbl],$C73,Banco[Periodo Contable],TEXT(AW$3,"mmm-yyyy"))</f>
        <v>0</v>
      </c>
      <c r="AX73" s="49">
        <f>SUMIFS(Banco[Monto],Banco[CtaCtbl],$C73,Banco[Periodo Contable],TEXT(AX$3,"mmm-yyyy"))</f>
        <v>0</v>
      </c>
      <c r="AY73" s="49">
        <f>SUMIFS(Banco[Monto],Banco[CtaCtbl],$C73,Banco[Periodo Contable],TEXT(AY$3,"mmm-yyyy"))</f>
        <v>0</v>
      </c>
      <c r="AZ73" s="49">
        <f>SUMIFS(Banco[Monto],Banco[CtaCtbl],$C73,Banco[Periodo Contable],TEXT(AZ$3,"mmm-yyyy"))</f>
        <v>0</v>
      </c>
      <c r="BA73" s="49">
        <f>SUMIFS(Banco[Monto],Banco[CtaCtbl],$C73,Banco[Periodo Contable],TEXT(BA$3,"mmm-yyyy"))</f>
        <v>0</v>
      </c>
      <c r="BB73" s="49">
        <f>SUMIFS(Banco[Monto],Banco[CtaCtbl],$C73,Banco[Periodo Contable],TEXT(BB$3,"mmm-yyyy"))</f>
        <v>-628170220</v>
      </c>
      <c r="BC73" s="49">
        <f>SUMIFS(Banco[Monto],Banco[CtaCtbl],$C73,Banco[Periodo Contable],TEXT(BC$3,"mmm-yyyy"))</f>
        <v>-26700482</v>
      </c>
      <c r="BD73" s="49">
        <f>SUMIFS(Banco[Monto],Banco[CtaCtbl],$C73,Banco[Periodo Contable],TEXT(BD$3,"mmm-yyyy"))</f>
        <v>-1137776</v>
      </c>
      <c r="BE73" s="49">
        <f>SUMIFS(Banco[Monto],Banco[CtaCtbl],$C73,Banco[Periodo Contable],TEXT(BE$3,"mmm-yyyy"))</f>
        <v>0</v>
      </c>
      <c r="BF73" s="49">
        <f>SUMIFS(Banco[Monto],Banco[CtaCtbl],$C73,Banco[Periodo Contable],TEXT(BF$3,"mmm-yyyy"))</f>
        <v>0</v>
      </c>
      <c r="BG73" s="49">
        <f>SUMIFS(Banco[Monto],Banco[CtaCtbl],$C73,Banco[Periodo Contable],TEXT(BG$3,"mmm-yyyy"))</f>
        <v>0</v>
      </c>
      <c r="BH73" s="49">
        <f>SUMIFS(Banco[Monto],Banco[CtaCtbl],$C73,Banco[Periodo Contable],TEXT(BH$3,"mmm-yyyy"))</f>
        <v>0</v>
      </c>
      <c r="BI73" s="232">
        <f>SUM(Tabla17[[#This Row],[ene-25]:[dic-25]])</f>
        <v>-656008478</v>
      </c>
      <c r="BJ73" s="49">
        <f>SUMIFS(Banco[Monto],Banco[CtaCtbl],$C73,Banco[Periodo Contable],TEXT(BJ$3,"mmm-yyyy"))</f>
        <v>0</v>
      </c>
      <c r="BK73" s="49">
        <f>SUMIFS(Banco[Monto],Banco[CtaCtbl],$C73,Banco[Periodo Contable],TEXT(BK$3,"mmm-yyyy"))</f>
        <v>0</v>
      </c>
      <c r="BL73" s="49">
        <f>SUMIFS(Banco[Monto],Banco[CtaCtbl],$C73,Banco[Periodo Contable],TEXT(BL$3,"mmm-yyyy"))</f>
        <v>0</v>
      </c>
      <c r="BM73" s="49">
        <f>SUMIFS(Banco[Monto],Banco[CtaCtbl],$C73,Banco[Periodo Contable],TEXT(BM$3,"mmm-yyyy"))</f>
        <v>0</v>
      </c>
      <c r="BN73" s="49">
        <f>SUMIFS(Banco[Monto],Banco[CtaCtbl],$C73,Banco[Periodo Contable],TEXT(BN$3,"mmm-yyyy"))</f>
        <v>0</v>
      </c>
      <c r="BO73" s="49">
        <f>SUMIFS(Banco[Monto],Banco[CtaCtbl],$C73,Banco[Periodo Contable],TEXT(BO$3,"mmm-yyyy"))</f>
        <v>0</v>
      </c>
      <c r="BP73" s="49">
        <f>SUMIFS(Banco[Monto],Banco[CtaCtbl],$C73,Banco[Periodo Contable],TEXT(BP$3,"mmm-yyyy"))</f>
        <v>0</v>
      </c>
      <c r="BQ73" s="49">
        <f>SUMIFS(Banco[Monto],Banco[CtaCtbl],$C73,Banco[Periodo Contable],TEXT(BQ$3,"mmm-yyyy"))</f>
        <v>0</v>
      </c>
      <c r="BR73" s="49">
        <f>SUMIFS(Banco[Monto],Banco[CtaCtbl],$C73,Banco[Periodo Contable],TEXT(BR$3,"mmm-yyyy"))</f>
        <v>0</v>
      </c>
      <c r="BS73" s="49">
        <f>SUMIFS(Banco[Monto],Banco[CtaCtbl],$C73,Banco[Periodo Contable],TEXT(BS$3,"mmm-yyyy"))</f>
        <v>0</v>
      </c>
      <c r="BT73" s="49">
        <f>SUMIFS(Banco[Monto],Banco[CtaCtbl],$C73,Banco[Periodo Contable],TEXT(BT$3,"mmm-yyyy"))</f>
        <v>0</v>
      </c>
      <c r="BU73" s="49">
        <f>SUMIFS(Banco[Monto],Banco[CtaCtbl],$C73,Banco[Periodo Contable],TEXT(BU$3,"mmm-yyyy"))</f>
        <v>0</v>
      </c>
      <c r="BV73" s="232">
        <f>SUM(Tabla17[[#This Row],[ene-26]:[dic-26]])</f>
        <v>0</v>
      </c>
      <c r="BW73" s="49">
        <f>SUMIFS(Banco[Monto],Banco[CtaCtbl],$C73,Banco[Periodo Contable],TEXT(BW$3,"mmm-yyyy"))</f>
        <v>0</v>
      </c>
    </row>
    <row r="74" spans="1:75" ht="21.6" outlineLevel="2">
      <c r="A74" s="36"/>
      <c r="B74" s="25"/>
      <c r="C74" s="22" t="str">
        <f>+Tabla17[[#This Row],[Cuenta]]&amp;" - "&amp;Tabla17[[#This Row],[Descripcion Cuenta]]</f>
        <v xml:space="preserve"> - </v>
      </c>
      <c r="D74" s="37"/>
      <c r="E74" s="49">
        <f>SUMIFS(Banco[Monto],Banco[CtaCtbl],$C74,Banco[Periodo Contable],TEXT(E$3,"mmm-yyyy"))</f>
        <v>0</v>
      </c>
      <c r="F74" s="49">
        <f>SUMIFS(Banco[Monto],Banco[CtaCtbl],$C74,Banco[Periodo Contable],TEXT(F$3,"mmm-yyyy"))</f>
        <v>0</v>
      </c>
      <c r="G74" s="49">
        <f>SUMIFS(Banco[Monto],Banco[CtaCtbl],$C74,Banco[Periodo Contable],TEXT(G$3,"mmm-yyyy"))</f>
        <v>0</v>
      </c>
      <c r="H74" s="49">
        <f>SUMIFS(Banco[Monto],Banco[CtaCtbl],$C74,Banco[Periodo Contable],TEXT(H$3,"mmm-yyyy"))</f>
        <v>0</v>
      </c>
      <c r="I74" s="49">
        <f>SUM(Tabla17[[#This Row],[sept-21]:[dic-21]])</f>
        <v>0</v>
      </c>
      <c r="J74" s="49">
        <f>SUMIFS(Banco[Monto],Banco[CtaCtbl],$C74,Banco[Periodo Contable],TEXT(J$3,"mmm-yyyy"))</f>
        <v>0</v>
      </c>
      <c r="K74" s="49">
        <f>SUMIFS(Banco[Monto],Banco[CtaCtbl],$C74,Banco[Periodo Contable],TEXT(K$3,"mmm-yyyy"))</f>
        <v>0</v>
      </c>
      <c r="L74" s="49">
        <f>SUMIFS(Banco[Monto],Banco[CtaCtbl],$C74,Banco[Periodo Contable],TEXT(L$3,"mmm-yyyy"))</f>
        <v>0</v>
      </c>
      <c r="M74" s="49">
        <f>SUMIFS(Banco[Monto],Banco[CtaCtbl],$C74,Banco[Periodo Contable],TEXT(M$3,"mmm-yyyy"))</f>
        <v>0</v>
      </c>
      <c r="N74" s="49">
        <f>SUMIFS(Banco[Monto],Banco[CtaCtbl],$C74,Banco[Periodo Contable],TEXT(N$3,"mmm-yyyy"))</f>
        <v>0</v>
      </c>
      <c r="O74" s="49">
        <f>SUMIFS(Banco[Monto],Banco[CtaCtbl],$C74,Banco[Periodo Contable],TEXT(O$3,"mmm-yyyy"))</f>
        <v>0</v>
      </c>
      <c r="P74" s="49">
        <f>SUMIFS(Banco[Monto],Banco[CtaCtbl],$C74,Banco[Periodo Contable],TEXT(P$3,"mmm-yyyy"))</f>
        <v>0</v>
      </c>
      <c r="Q74" s="49">
        <f>SUMIFS(Banco[Monto],Banco[CtaCtbl],$C74,Banco[Periodo Contable],TEXT(Q$3,"mmm-yyyy"))</f>
        <v>0</v>
      </c>
      <c r="R74" s="49">
        <f>SUMIFS(Banco[Monto],Banco[CtaCtbl],$C74,Banco[Periodo Contable],TEXT(R$3,"mmm-yyyy"))</f>
        <v>0</v>
      </c>
      <c r="S74" s="49">
        <f>SUMIFS(Banco[Monto],Banco[CtaCtbl],$C74,Banco[Periodo Contable],TEXT(S$3,"mmm-yyyy"))</f>
        <v>0</v>
      </c>
      <c r="T74" s="49">
        <f>SUMIFS(Banco[Monto],Banco[CtaCtbl],$C74,Banco[Periodo Contable],TEXT(T$3,"mmm-yyyy"))</f>
        <v>0</v>
      </c>
      <c r="U74" s="49">
        <f>SUMIFS(Banco[Monto],Banco[CtaCtbl],$C74,Banco[Periodo Contable],TEXT(U$3,"mmm-yyyy"))</f>
        <v>0</v>
      </c>
      <c r="V74" s="300">
        <f>SUM(Tabla17[[#This Row],[ene-22]:[dic-22]])</f>
        <v>0</v>
      </c>
      <c r="W74" s="49">
        <f>SUMIFS(Banco[Monto],Banco[CtaCtbl],$C74,Banco[Periodo Contable],TEXT(W$3,"mmm-yyyy"))</f>
        <v>0</v>
      </c>
      <c r="X74" s="49">
        <f>SUMIFS(Banco[Monto],Banco[CtaCtbl],$C74,Banco[Periodo Contable],TEXT(X$3,"mmm-yyyy"))</f>
        <v>0</v>
      </c>
      <c r="Y74" s="49">
        <f>SUMIFS(Banco[Monto],Banco[CtaCtbl],$C74,Banco[Periodo Contable],TEXT(Y$3,"mmm-yyyy"))</f>
        <v>0</v>
      </c>
      <c r="Z74" s="49">
        <f>SUMIFS(Banco[Monto],Banco[CtaCtbl],$C74,Banco[Periodo Contable],TEXT(Z$3,"mmm-yyyy"))</f>
        <v>0</v>
      </c>
      <c r="AA74" s="49">
        <f>SUMIFS(Banco[Monto],Banco[CtaCtbl],$C74,Banco[Periodo Contable],TEXT(AA$3,"mmm-yyyy"))</f>
        <v>0</v>
      </c>
      <c r="AB74" s="49">
        <f>SUMIFS(Banco[Monto],Banco[CtaCtbl],$C74,Banco[Periodo Contable],TEXT(AB$3,"mmm-yyyy"))</f>
        <v>0</v>
      </c>
      <c r="AC74" s="49">
        <f>SUMIFS(Banco[Monto],Banco[CtaCtbl],$C74,Banco[Periodo Contable],TEXT(AC$3,"mmm-yyyy"))</f>
        <v>0</v>
      </c>
      <c r="AD74" s="49">
        <f>SUMIFS(Banco[Monto],Banco[CtaCtbl],$C74,Banco[Periodo Contable],TEXT(AD$3,"mmm-yyyy"))</f>
        <v>0</v>
      </c>
      <c r="AE74" s="49">
        <f>SUMIFS(Banco[Monto],Banco[CtaCtbl],$C74,Banco[Periodo Contable],TEXT(AE$3,"mmm-yyyy"))</f>
        <v>0</v>
      </c>
      <c r="AF74" s="49">
        <f>SUMIFS(Banco[Monto],Banco[CtaCtbl],$C74,Banco[Periodo Contable],TEXT(AF$3,"mmm-yyyy"))</f>
        <v>0</v>
      </c>
      <c r="AG74" s="49">
        <f>SUMIFS(Banco[Monto],Banco[CtaCtbl],$C74,Banco[Periodo Contable],TEXT(AG$3,"mmm-yyyy"))</f>
        <v>0</v>
      </c>
      <c r="AH74" s="49">
        <f>SUMIFS(Banco[Monto],Banco[CtaCtbl],$C74,Banco[Periodo Contable],TEXT(AH$3,"mmm-yyyy"))</f>
        <v>0</v>
      </c>
      <c r="AI74" s="300">
        <f>SUM(Tabla17[[#This Row],[ene-23]:[dic-23]])</f>
        <v>0</v>
      </c>
      <c r="AJ74" s="49">
        <f>SUMIFS(Banco[Monto],Banco[CtaCtbl],$C74,Banco[Periodo Contable],TEXT(AJ$3,"mmm-yyyy"))</f>
        <v>0</v>
      </c>
      <c r="AK74" s="49">
        <f>SUMIFS(Banco[Monto],Banco[CtaCtbl],$C74,Banco[Periodo Contable],TEXT(AK$3,"mmm-yyyy"))</f>
        <v>0</v>
      </c>
      <c r="AL74" s="49">
        <f>SUMIFS(Banco[Monto],Banco[CtaCtbl],$C74,Banco[Periodo Contable],TEXT(AL$3,"mmm-yyyy"))</f>
        <v>0</v>
      </c>
      <c r="AM74" s="49">
        <f>SUMIFS(Banco[Monto],Banco[CtaCtbl],$C74,Banco[Periodo Contable],TEXT(AM$3,"mmm-yyyy"))</f>
        <v>0</v>
      </c>
      <c r="AN74" s="49">
        <f>SUMIFS(Banco[Monto],Banco[CtaCtbl],$C74,Banco[Periodo Contable],TEXT(AN$3,"mmm-yyyy"))</f>
        <v>0</v>
      </c>
      <c r="AO74" s="49">
        <f>SUMIFS(Banco[Monto],Banco[CtaCtbl],$C74,Banco[Periodo Contable],TEXT(AO$3,"mmm-yyyy"))</f>
        <v>0</v>
      </c>
      <c r="AP74" s="49">
        <f>SUMIFS(Banco[Monto],Banco[CtaCtbl],$C74,Banco[Periodo Contable],TEXT(AP$3,"mmm-yyyy"))</f>
        <v>0</v>
      </c>
      <c r="AQ74" s="49">
        <f>SUMIFS(Banco[Monto],Banco[CtaCtbl],$C74,Banco[Periodo Contable],TEXT(AQ$3,"mmm-yyyy"))</f>
        <v>0</v>
      </c>
      <c r="AR74" s="49">
        <f>SUMIFS(Banco[Monto],Banco[CtaCtbl],$C74,Banco[Periodo Contable],TEXT(AR$3,"mmm-yyyy"))</f>
        <v>0</v>
      </c>
      <c r="AS74" s="49">
        <f>SUMIFS(Banco[Monto],Banco[CtaCtbl],$C74,Banco[Periodo Contable],TEXT(AS$3,"mmm-yyyy"))</f>
        <v>0</v>
      </c>
      <c r="AT74" s="49">
        <f>SUMIFS(Banco[Monto],Banco[CtaCtbl],$C74,Banco[Periodo Contable],TEXT(AT$3,"mmm-yyyy"))</f>
        <v>0</v>
      </c>
      <c r="AU74" s="49">
        <f>SUMIFS(Banco[Monto],Banco[CtaCtbl],$C74,Banco[Periodo Contable],TEXT(AU$3,"mmm-yyyy"))</f>
        <v>0</v>
      </c>
      <c r="AV74" s="300">
        <f>SUM(Tabla17[[#This Row],[ene-24]:[dic-24]])</f>
        <v>0</v>
      </c>
      <c r="AW74" s="49">
        <f>SUMIFS(Banco[Monto],Banco[CtaCtbl],$C74,Banco[Periodo Contable],TEXT(AW$3,"mmm-yyyy"))</f>
        <v>0</v>
      </c>
      <c r="AX74" s="49">
        <f>SUMIFS(Banco[Monto],Banco[CtaCtbl],$C74,Banco[Periodo Contable],TEXT(AX$3,"mmm-yyyy"))</f>
        <v>0</v>
      </c>
      <c r="AY74" s="49">
        <f>SUMIFS(Banco[Monto],Banco[CtaCtbl],$C74,Banco[Periodo Contable],TEXT(AY$3,"mmm-yyyy"))</f>
        <v>0</v>
      </c>
      <c r="AZ74" s="49">
        <f>SUMIFS(Banco[Monto],Banco[CtaCtbl],$C74,Banco[Periodo Contable],TEXT(AZ$3,"mmm-yyyy"))</f>
        <v>0</v>
      </c>
      <c r="BA74" s="49">
        <f>SUMIFS(Banco[Monto],Banco[CtaCtbl],$C74,Banco[Periodo Contable],TEXT(BA$3,"mmm-yyyy"))</f>
        <v>0</v>
      </c>
      <c r="BB74" s="49">
        <f>SUMIFS(Banco[Monto],Banco[CtaCtbl],$C74,Banco[Periodo Contable],TEXT(BB$3,"mmm-yyyy"))</f>
        <v>0</v>
      </c>
      <c r="BC74" s="49">
        <f>SUMIFS(Banco[Monto],Banco[CtaCtbl],$C74,Banco[Periodo Contable],TEXT(BC$3,"mmm-yyyy"))</f>
        <v>0</v>
      </c>
      <c r="BD74" s="49">
        <f>SUMIFS(Banco[Monto],Banco[CtaCtbl],$C74,Banco[Periodo Contable],TEXT(BD$3,"mmm-yyyy"))</f>
        <v>0</v>
      </c>
      <c r="BE74" s="49">
        <f>SUMIFS(Banco[Monto],Banco[CtaCtbl],$C74,Banco[Periodo Contable],TEXT(BE$3,"mmm-yyyy"))</f>
        <v>0</v>
      </c>
      <c r="BF74" s="49">
        <f>SUMIFS(Banco[Monto],Banco[CtaCtbl],$C74,Banco[Periodo Contable],TEXT(BF$3,"mmm-yyyy"))</f>
        <v>0</v>
      </c>
      <c r="BG74" s="49">
        <f>SUMIFS(Banco[Monto],Banco[CtaCtbl],$C74,Banco[Periodo Contable],TEXT(BG$3,"mmm-yyyy"))</f>
        <v>0</v>
      </c>
      <c r="BH74" s="49">
        <f>SUMIFS(Banco[Monto],Banco[CtaCtbl],$C74,Banco[Periodo Contable],TEXT(BH$3,"mmm-yyyy"))</f>
        <v>0</v>
      </c>
      <c r="BI74" s="232">
        <f>SUM(Tabla17[[#This Row],[ene-25]:[dic-25]])</f>
        <v>0</v>
      </c>
      <c r="BJ74" s="49">
        <f>SUMIFS(Banco[Monto],Banco[CtaCtbl],$C74,Banco[Periodo Contable],TEXT(BJ$3,"mmm-yyyy"))</f>
        <v>0</v>
      </c>
      <c r="BK74" s="49">
        <f>SUMIFS(Banco[Monto],Banco[CtaCtbl],$C74,Banco[Periodo Contable],TEXT(BK$3,"mmm-yyyy"))</f>
        <v>0</v>
      </c>
      <c r="BL74" s="49">
        <f>SUMIFS(Banco[Monto],Banco[CtaCtbl],$C74,Banco[Periodo Contable],TEXT(BL$3,"mmm-yyyy"))</f>
        <v>0</v>
      </c>
      <c r="BM74" s="49">
        <f>SUMIFS(Banco[Monto],Banco[CtaCtbl],$C74,Banco[Periodo Contable],TEXT(BM$3,"mmm-yyyy"))</f>
        <v>0</v>
      </c>
      <c r="BN74" s="49">
        <f>SUMIFS(Banco[Monto],Banco[CtaCtbl],$C74,Banco[Periodo Contable],TEXT(BN$3,"mmm-yyyy"))</f>
        <v>0</v>
      </c>
      <c r="BO74" s="49">
        <f>SUMIFS(Banco[Monto],Banco[CtaCtbl],$C74,Banco[Periodo Contable],TEXT(BO$3,"mmm-yyyy"))</f>
        <v>0</v>
      </c>
      <c r="BP74" s="49">
        <f>SUMIFS(Banco[Monto],Banco[CtaCtbl],$C74,Banco[Periodo Contable],TEXT(BP$3,"mmm-yyyy"))</f>
        <v>0</v>
      </c>
      <c r="BQ74" s="49">
        <f>SUMIFS(Banco[Monto],Banco[CtaCtbl],$C74,Banco[Periodo Contable],TEXT(BQ$3,"mmm-yyyy"))</f>
        <v>0</v>
      </c>
      <c r="BR74" s="49">
        <f>SUMIFS(Banco[Monto],Banco[CtaCtbl],$C74,Banco[Periodo Contable],TEXT(BR$3,"mmm-yyyy"))</f>
        <v>0</v>
      </c>
      <c r="BS74" s="49">
        <f>SUMIFS(Banco[Monto],Banco[CtaCtbl],$C74,Banco[Periodo Contable],TEXT(BS$3,"mmm-yyyy"))</f>
        <v>0</v>
      </c>
      <c r="BT74" s="49">
        <f>SUMIFS(Banco[Monto],Banco[CtaCtbl],$C74,Banco[Periodo Contable],TEXT(BT$3,"mmm-yyyy"))</f>
        <v>0</v>
      </c>
      <c r="BU74" s="49">
        <f>SUMIFS(Banco[Monto],Banco[CtaCtbl],$C74,Banco[Periodo Contable],TEXT(BU$3,"mmm-yyyy"))</f>
        <v>0</v>
      </c>
      <c r="BV74" s="232">
        <f>SUM(Tabla17[[#This Row],[ene-26]:[dic-26]])</f>
        <v>0</v>
      </c>
      <c r="BW74" s="49">
        <f>SUMIFS(Banco[Monto],Banco[CtaCtbl],$C74,Banco[Periodo Contable],TEXT(BW$3,"mmm-yyyy"))</f>
        <v>0</v>
      </c>
    </row>
    <row r="75" spans="1:75" ht="21.6" outlineLevel="2">
      <c r="A75" s="36"/>
      <c r="B75" s="25"/>
      <c r="C75" s="22" t="str">
        <f>+Tabla17[[#This Row],[Cuenta]]&amp;" - "&amp;Tabla17[[#This Row],[Descripcion Cuenta]]</f>
        <v xml:space="preserve"> - </v>
      </c>
      <c r="D75" s="37"/>
      <c r="E75" s="49">
        <f>SUMIFS(Banco[Monto],Banco[CtaCtbl],$C75,Banco[Periodo Contable],TEXT(E$3,"mmm-yyyy"))</f>
        <v>0</v>
      </c>
      <c r="F75" s="49">
        <f>SUMIFS(Banco[Monto],Banco[CtaCtbl],$C75,Banco[Periodo Contable],TEXT(F$3,"mmm-yyyy"))</f>
        <v>0</v>
      </c>
      <c r="G75" s="49">
        <f>SUMIFS(Banco[Monto],Banco[CtaCtbl],$C75,Banco[Periodo Contable],TEXT(G$3,"mmm-yyyy"))</f>
        <v>0</v>
      </c>
      <c r="H75" s="49">
        <f>SUMIFS(Banco[Monto],Banco[CtaCtbl],$C75,Banco[Periodo Contable],TEXT(H$3,"mmm-yyyy"))</f>
        <v>0</v>
      </c>
      <c r="I75" s="49">
        <f>SUM(Tabla17[[#This Row],[sept-21]:[dic-21]])</f>
        <v>0</v>
      </c>
      <c r="J75" s="49">
        <f>SUMIFS(Banco[Monto],Banco[CtaCtbl],$C75,Banco[Periodo Contable],TEXT(J$3,"mmm-yyyy"))</f>
        <v>0</v>
      </c>
      <c r="K75" s="49">
        <f>SUMIFS(Banco[Monto],Banco[CtaCtbl],$C75,Banco[Periodo Contable],TEXT(K$3,"mmm-yyyy"))</f>
        <v>0</v>
      </c>
      <c r="L75" s="49">
        <f>SUMIFS(Banco[Monto],Banco[CtaCtbl],$C75,Banco[Periodo Contable],TEXT(L$3,"mmm-yyyy"))</f>
        <v>0</v>
      </c>
      <c r="M75" s="49">
        <f>SUMIFS(Banco[Monto],Banco[CtaCtbl],$C75,Banco[Periodo Contable],TEXT(M$3,"mmm-yyyy"))</f>
        <v>0</v>
      </c>
      <c r="N75" s="49">
        <f>SUMIFS(Banco[Monto],Banco[CtaCtbl],$C75,Banco[Periodo Contable],TEXT(N$3,"mmm-yyyy"))</f>
        <v>0</v>
      </c>
      <c r="O75" s="49">
        <f>SUMIFS(Banco[Monto],Banco[CtaCtbl],$C75,Banco[Periodo Contable],TEXT(O$3,"mmm-yyyy"))</f>
        <v>0</v>
      </c>
      <c r="P75" s="49">
        <f>SUMIFS(Banco[Monto],Banco[CtaCtbl],$C75,Banco[Periodo Contable],TEXT(P$3,"mmm-yyyy"))</f>
        <v>0</v>
      </c>
      <c r="Q75" s="49">
        <f>SUMIFS(Banco[Monto],Banco[CtaCtbl],$C75,Banco[Periodo Contable],TEXT(Q$3,"mmm-yyyy"))</f>
        <v>0</v>
      </c>
      <c r="R75" s="49">
        <f>SUMIFS(Banco[Monto],Banco[CtaCtbl],$C75,Banco[Periodo Contable],TEXT(R$3,"mmm-yyyy"))</f>
        <v>0</v>
      </c>
      <c r="S75" s="49">
        <f>SUMIFS(Banco[Monto],Banco[CtaCtbl],$C75,Banco[Periodo Contable],TEXT(S$3,"mmm-yyyy"))</f>
        <v>0</v>
      </c>
      <c r="T75" s="49">
        <f>SUMIFS(Banco[Monto],Banco[CtaCtbl],$C75,Banco[Periodo Contable],TEXT(T$3,"mmm-yyyy"))</f>
        <v>0</v>
      </c>
      <c r="U75" s="49">
        <f>SUMIFS(Banco[Monto],Banco[CtaCtbl],$C75,Banco[Periodo Contable],TEXT(U$3,"mmm-yyyy"))</f>
        <v>0</v>
      </c>
      <c r="V75" s="300">
        <f>SUM(Tabla17[[#This Row],[ene-22]:[dic-22]])</f>
        <v>0</v>
      </c>
      <c r="W75" s="49">
        <f>SUMIFS(Banco[Monto],Banco[CtaCtbl],$C75,Banco[Periodo Contable],TEXT(W$3,"mmm-yyyy"))</f>
        <v>0</v>
      </c>
      <c r="X75" s="49">
        <f>SUMIFS(Banco[Monto],Banco[CtaCtbl],$C75,Banco[Periodo Contable],TEXT(X$3,"mmm-yyyy"))</f>
        <v>0</v>
      </c>
      <c r="Y75" s="49">
        <f>SUMIFS(Banco[Monto],Banco[CtaCtbl],$C75,Banco[Periodo Contable],TEXT(Y$3,"mmm-yyyy"))</f>
        <v>0</v>
      </c>
      <c r="Z75" s="49">
        <f>SUMIFS(Banco[Monto],Banco[CtaCtbl],$C75,Banco[Periodo Contable],TEXT(Z$3,"mmm-yyyy"))</f>
        <v>0</v>
      </c>
      <c r="AA75" s="49">
        <f>SUMIFS(Banco[Monto],Banco[CtaCtbl],$C75,Banco[Periodo Contable],TEXT(AA$3,"mmm-yyyy"))</f>
        <v>0</v>
      </c>
      <c r="AB75" s="49">
        <f>SUMIFS(Banco[Monto],Banco[CtaCtbl],$C75,Banco[Periodo Contable],TEXT(AB$3,"mmm-yyyy"))</f>
        <v>0</v>
      </c>
      <c r="AC75" s="49">
        <f>SUMIFS(Banco[Monto],Banco[CtaCtbl],$C75,Banco[Periodo Contable],TEXT(AC$3,"mmm-yyyy"))</f>
        <v>0</v>
      </c>
      <c r="AD75" s="49">
        <f>SUMIFS(Banco[Monto],Banco[CtaCtbl],$C75,Banco[Periodo Contable],TEXT(AD$3,"mmm-yyyy"))</f>
        <v>0</v>
      </c>
      <c r="AE75" s="49">
        <f>SUMIFS(Banco[Monto],Banco[CtaCtbl],$C75,Banco[Periodo Contable],TEXT(AE$3,"mmm-yyyy"))</f>
        <v>0</v>
      </c>
      <c r="AF75" s="49">
        <f>SUMIFS(Banco[Monto],Banco[CtaCtbl],$C75,Banco[Periodo Contable],TEXT(AF$3,"mmm-yyyy"))</f>
        <v>0</v>
      </c>
      <c r="AG75" s="49">
        <f>SUMIFS(Banco[Monto],Banco[CtaCtbl],$C75,Banco[Periodo Contable],TEXT(AG$3,"mmm-yyyy"))</f>
        <v>0</v>
      </c>
      <c r="AH75" s="49">
        <f>SUMIFS(Banco[Monto],Banco[CtaCtbl],$C75,Banco[Periodo Contable],TEXT(AH$3,"mmm-yyyy"))</f>
        <v>0</v>
      </c>
      <c r="AI75" s="300">
        <f>SUM(Tabla17[[#This Row],[ene-23]:[dic-23]])</f>
        <v>0</v>
      </c>
      <c r="AJ75" s="49">
        <f>SUMIFS(Banco[Monto],Banco[CtaCtbl],$C75,Banco[Periodo Contable],TEXT(AJ$3,"mmm-yyyy"))</f>
        <v>0</v>
      </c>
      <c r="AK75" s="49">
        <f>SUMIFS(Banco[Monto],Banco[CtaCtbl],$C75,Banco[Periodo Contable],TEXT(AK$3,"mmm-yyyy"))</f>
        <v>0</v>
      </c>
      <c r="AL75" s="49">
        <f>SUMIFS(Banco[Monto],Banco[CtaCtbl],$C75,Banco[Periodo Contable],TEXT(AL$3,"mmm-yyyy"))</f>
        <v>0</v>
      </c>
      <c r="AM75" s="49">
        <f>SUMIFS(Banco[Monto],Banco[CtaCtbl],$C75,Banco[Periodo Contable],TEXT(AM$3,"mmm-yyyy"))</f>
        <v>0</v>
      </c>
      <c r="AN75" s="49">
        <f>SUMIFS(Banco[Monto],Banco[CtaCtbl],$C75,Banco[Periodo Contable],TEXT(AN$3,"mmm-yyyy"))</f>
        <v>0</v>
      </c>
      <c r="AO75" s="49">
        <f>SUMIFS(Banco[Monto],Banco[CtaCtbl],$C75,Banco[Periodo Contable],TEXT(AO$3,"mmm-yyyy"))</f>
        <v>0</v>
      </c>
      <c r="AP75" s="49">
        <f>SUMIFS(Banco[Monto],Banco[CtaCtbl],$C75,Banco[Periodo Contable],TEXT(AP$3,"mmm-yyyy"))</f>
        <v>0</v>
      </c>
      <c r="AQ75" s="49">
        <f>SUMIFS(Banco[Monto],Banco[CtaCtbl],$C75,Banco[Periodo Contable],TEXT(AQ$3,"mmm-yyyy"))</f>
        <v>0</v>
      </c>
      <c r="AR75" s="49">
        <f>SUMIFS(Banco[Monto],Banco[CtaCtbl],$C75,Banco[Periodo Contable],TEXT(AR$3,"mmm-yyyy"))</f>
        <v>0</v>
      </c>
      <c r="AS75" s="49">
        <f>SUMIFS(Banco[Monto],Banco[CtaCtbl],$C75,Banco[Periodo Contable],TEXT(AS$3,"mmm-yyyy"))</f>
        <v>0</v>
      </c>
      <c r="AT75" s="49">
        <f>SUMIFS(Banco[Monto],Banco[CtaCtbl],$C75,Banco[Periodo Contable],TEXT(AT$3,"mmm-yyyy"))</f>
        <v>0</v>
      </c>
      <c r="AU75" s="49">
        <f>SUMIFS(Banco[Monto],Banco[CtaCtbl],$C75,Banco[Periodo Contable],TEXT(AU$3,"mmm-yyyy"))</f>
        <v>0</v>
      </c>
      <c r="AV75" s="300">
        <f>SUM(Tabla17[[#This Row],[ene-24]:[dic-24]])</f>
        <v>0</v>
      </c>
      <c r="AW75" s="49">
        <f>SUMIFS(Banco[Monto],Banco[CtaCtbl],$C75,Banco[Periodo Contable],TEXT(AW$3,"mmm-yyyy"))</f>
        <v>0</v>
      </c>
      <c r="AX75" s="49">
        <f>SUMIFS(Banco[Monto],Banco[CtaCtbl],$C75,Banco[Periodo Contable],TEXT(AX$3,"mmm-yyyy"))</f>
        <v>0</v>
      </c>
      <c r="AY75" s="49">
        <f>SUMIFS(Banco[Monto],Banco[CtaCtbl],$C75,Banco[Periodo Contable],TEXT(AY$3,"mmm-yyyy"))</f>
        <v>0</v>
      </c>
      <c r="AZ75" s="49">
        <f>SUMIFS(Banco[Monto],Banco[CtaCtbl],$C75,Banco[Periodo Contable],TEXT(AZ$3,"mmm-yyyy"))</f>
        <v>0</v>
      </c>
      <c r="BA75" s="49">
        <f>SUMIFS(Banco[Monto],Banco[CtaCtbl],$C75,Banco[Periodo Contable],TEXT(BA$3,"mmm-yyyy"))</f>
        <v>0</v>
      </c>
      <c r="BB75" s="49">
        <f>SUMIFS(Banco[Monto],Banco[CtaCtbl],$C75,Banco[Periodo Contable],TEXT(BB$3,"mmm-yyyy"))</f>
        <v>0</v>
      </c>
      <c r="BC75" s="49">
        <f>SUMIFS(Banco[Monto],Banco[CtaCtbl],$C75,Banco[Periodo Contable],TEXT(BC$3,"mmm-yyyy"))</f>
        <v>0</v>
      </c>
      <c r="BD75" s="49">
        <f>SUMIFS(Banco[Monto],Banco[CtaCtbl],$C75,Banco[Periodo Contable],TEXT(BD$3,"mmm-yyyy"))</f>
        <v>0</v>
      </c>
      <c r="BE75" s="49">
        <f>SUMIFS(Banco[Monto],Banco[CtaCtbl],$C75,Banco[Periodo Contable],TEXT(BE$3,"mmm-yyyy"))</f>
        <v>0</v>
      </c>
      <c r="BF75" s="49">
        <f>SUMIFS(Banco[Monto],Banco[CtaCtbl],$C75,Banco[Periodo Contable],TEXT(BF$3,"mmm-yyyy"))</f>
        <v>0</v>
      </c>
      <c r="BG75" s="49">
        <f>SUMIFS(Banco[Monto],Banco[CtaCtbl],$C75,Banco[Periodo Contable],TEXT(BG$3,"mmm-yyyy"))</f>
        <v>0</v>
      </c>
      <c r="BH75" s="49">
        <f>SUMIFS(Banco[Monto],Banco[CtaCtbl],$C75,Banco[Periodo Contable],TEXT(BH$3,"mmm-yyyy"))</f>
        <v>0</v>
      </c>
      <c r="BI75" s="232">
        <f>SUM(Tabla17[[#This Row],[ene-25]:[dic-25]])</f>
        <v>0</v>
      </c>
      <c r="BJ75" s="49">
        <f>SUMIFS(Banco[Monto],Banco[CtaCtbl],$C75,Banco[Periodo Contable],TEXT(BJ$3,"mmm-yyyy"))</f>
        <v>0</v>
      </c>
      <c r="BK75" s="49">
        <f>SUMIFS(Banco[Monto],Banco[CtaCtbl],$C75,Banco[Periodo Contable],TEXT(BK$3,"mmm-yyyy"))</f>
        <v>0</v>
      </c>
      <c r="BL75" s="49">
        <f>SUMIFS(Banco[Monto],Banco[CtaCtbl],$C75,Banco[Periodo Contable],TEXT(BL$3,"mmm-yyyy"))</f>
        <v>0</v>
      </c>
      <c r="BM75" s="49">
        <f>SUMIFS(Banco[Monto],Banco[CtaCtbl],$C75,Banco[Periodo Contable],TEXT(BM$3,"mmm-yyyy"))</f>
        <v>0</v>
      </c>
      <c r="BN75" s="49">
        <f>SUMIFS(Banco[Monto],Banco[CtaCtbl],$C75,Banco[Periodo Contable],TEXT(BN$3,"mmm-yyyy"))</f>
        <v>0</v>
      </c>
      <c r="BO75" s="49">
        <f>SUMIFS(Banco[Monto],Banco[CtaCtbl],$C75,Banco[Periodo Contable],TEXT(BO$3,"mmm-yyyy"))</f>
        <v>0</v>
      </c>
      <c r="BP75" s="49">
        <f>SUMIFS(Banco[Monto],Banco[CtaCtbl],$C75,Banco[Periodo Contable],TEXT(BP$3,"mmm-yyyy"))</f>
        <v>0</v>
      </c>
      <c r="BQ75" s="49">
        <f>SUMIFS(Banco[Monto],Banco[CtaCtbl],$C75,Banco[Periodo Contable],TEXT(BQ$3,"mmm-yyyy"))</f>
        <v>0</v>
      </c>
      <c r="BR75" s="49">
        <f>SUMIFS(Banco[Monto],Banco[CtaCtbl],$C75,Banco[Periodo Contable],TEXT(BR$3,"mmm-yyyy"))</f>
        <v>0</v>
      </c>
      <c r="BS75" s="49">
        <f>SUMIFS(Banco[Monto],Banco[CtaCtbl],$C75,Banco[Periodo Contable],TEXT(BS$3,"mmm-yyyy"))</f>
        <v>0</v>
      </c>
      <c r="BT75" s="49">
        <f>SUMIFS(Banco[Monto],Banco[CtaCtbl],$C75,Banco[Periodo Contable],TEXT(BT$3,"mmm-yyyy"))</f>
        <v>0</v>
      </c>
      <c r="BU75" s="49">
        <f>SUMIFS(Banco[Monto],Banco[CtaCtbl],$C75,Banco[Periodo Contable],TEXT(BU$3,"mmm-yyyy"))</f>
        <v>0</v>
      </c>
      <c r="BV75" s="232">
        <f>SUM(Tabla17[[#This Row],[ene-26]:[dic-26]])</f>
        <v>0</v>
      </c>
      <c r="BW75" s="49">
        <f>SUMIFS(Banco[Monto],Banco[CtaCtbl],$C75,Banco[Periodo Contable],TEXT(BW$3,"mmm-yyyy"))</f>
        <v>0</v>
      </c>
    </row>
    <row r="76" spans="1:75" ht="21.6" outlineLevel="2">
      <c r="A76" s="36"/>
      <c r="B76" s="25"/>
      <c r="C76" s="22" t="str">
        <f>+Tabla17[[#This Row],[Cuenta]]&amp;" - "&amp;Tabla17[[#This Row],[Descripcion Cuenta]]</f>
        <v xml:space="preserve"> - </v>
      </c>
      <c r="D76" s="37"/>
      <c r="E76" s="49">
        <f>SUMIFS(Banco[Monto],Banco[CtaCtbl],$C76,Banco[Periodo Contable],TEXT(E$3,"mmm-yyyy"))</f>
        <v>0</v>
      </c>
      <c r="F76" s="49">
        <f>SUMIFS(Banco[Monto],Banco[CtaCtbl],$C76,Banco[Periodo Contable],TEXT(F$3,"mmm-yyyy"))</f>
        <v>0</v>
      </c>
      <c r="G76" s="49">
        <f>SUMIFS(Banco[Monto],Banco[CtaCtbl],$C76,Banco[Periodo Contable],TEXT(G$3,"mmm-yyyy"))</f>
        <v>0</v>
      </c>
      <c r="H76" s="49">
        <f>SUMIFS(Banco[Monto],Banco[CtaCtbl],$C76,Banco[Periodo Contable],TEXT(H$3,"mmm-yyyy"))</f>
        <v>0</v>
      </c>
      <c r="I76" s="49">
        <f>SUM(Tabla17[[#This Row],[sept-21]:[dic-21]])</f>
        <v>0</v>
      </c>
      <c r="J76" s="49">
        <f>SUMIFS(Banco[Monto],Banco[CtaCtbl],$C76,Banco[Periodo Contable],TEXT(J$3,"mmm-yyyy"))</f>
        <v>0</v>
      </c>
      <c r="K76" s="49">
        <f>SUMIFS(Banco[Monto],Banco[CtaCtbl],$C76,Banco[Periodo Contable],TEXT(K$3,"mmm-yyyy"))</f>
        <v>0</v>
      </c>
      <c r="L76" s="49">
        <f>SUMIFS(Banco[Monto],Banco[CtaCtbl],$C76,Banco[Periodo Contable],TEXT(L$3,"mmm-yyyy"))</f>
        <v>0</v>
      </c>
      <c r="M76" s="49">
        <f>SUMIFS(Banco[Monto],Banco[CtaCtbl],$C76,Banco[Periodo Contable],TEXT(M$3,"mmm-yyyy"))</f>
        <v>0</v>
      </c>
      <c r="N76" s="49">
        <f>SUMIFS(Banco[Monto],Banco[CtaCtbl],$C76,Banco[Periodo Contable],TEXT(N$3,"mmm-yyyy"))</f>
        <v>0</v>
      </c>
      <c r="O76" s="49">
        <f>SUMIFS(Banco[Monto],Banco[CtaCtbl],$C76,Banco[Periodo Contable],TEXT(O$3,"mmm-yyyy"))</f>
        <v>0</v>
      </c>
      <c r="P76" s="49">
        <f>SUMIFS(Banco[Monto],Banco[CtaCtbl],$C76,Banco[Periodo Contable],TEXT(P$3,"mmm-yyyy"))</f>
        <v>0</v>
      </c>
      <c r="Q76" s="49">
        <f>SUMIFS(Banco[Monto],Banco[CtaCtbl],$C76,Banco[Periodo Contable],TEXT(Q$3,"mmm-yyyy"))</f>
        <v>0</v>
      </c>
      <c r="R76" s="49">
        <f>SUMIFS(Banco[Monto],Banco[CtaCtbl],$C76,Banco[Periodo Contable],TEXT(R$3,"mmm-yyyy"))</f>
        <v>0</v>
      </c>
      <c r="S76" s="49">
        <f>SUMIFS(Banco[Monto],Banco[CtaCtbl],$C76,Banco[Periodo Contable],TEXT(S$3,"mmm-yyyy"))</f>
        <v>0</v>
      </c>
      <c r="T76" s="49">
        <f>SUMIFS(Banco[Monto],Banco[CtaCtbl],$C76,Banco[Periodo Contable],TEXT(T$3,"mmm-yyyy"))</f>
        <v>0</v>
      </c>
      <c r="U76" s="49">
        <f>SUMIFS(Banco[Monto],Banco[CtaCtbl],$C76,Banco[Periodo Contable],TEXT(U$3,"mmm-yyyy"))</f>
        <v>0</v>
      </c>
      <c r="V76" s="300">
        <f>SUM(Tabla17[[#This Row],[ene-22]:[dic-22]])</f>
        <v>0</v>
      </c>
      <c r="W76" s="49">
        <f>SUMIFS(Banco[Monto],Banco[CtaCtbl],$C76,Banco[Periodo Contable],TEXT(W$3,"mmm-yyyy"))</f>
        <v>0</v>
      </c>
      <c r="X76" s="49">
        <f>SUMIFS(Banco[Monto],Banco[CtaCtbl],$C76,Banco[Periodo Contable],TEXT(X$3,"mmm-yyyy"))</f>
        <v>0</v>
      </c>
      <c r="Y76" s="49">
        <f>SUMIFS(Banco[Monto],Banco[CtaCtbl],$C76,Banco[Periodo Contable],TEXT(Y$3,"mmm-yyyy"))</f>
        <v>0</v>
      </c>
      <c r="Z76" s="49">
        <f>SUMIFS(Banco[Monto],Banco[CtaCtbl],$C76,Banco[Periodo Contable],TEXT(Z$3,"mmm-yyyy"))</f>
        <v>0</v>
      </c>
      <c r="AA76" s="49">
        <f>SUMIFS(Banco[Monto],Banco[CtaCtbl],$C76,Banco[Periodo Contable],TEXT(AA$3,"mmm-yyyy"))</f>
        <v>0</v>
      </c>
      <c r="AB76" s="49">
        <f>SUMIFS(Banco[Monto],Banco[CtaCtbl],$C76,Banco[Periodo Contable],TEXT(AB$3,"mmm-yyyy"))</f>
        <v>0</v>
      </c>
      <c r="AC76" s="49">
        <f>SUMIFS(Banco[Monto],Banco[CtaCtbl],$C76,Banco[Periodo Contable],TEXT(AC$3,"mmm-yyyy"))</f>
        <v>0</v>
      </c>
      <c r="AD76" s="49">
        <f>SUMIFS(Banco[Monto],Banco[CtaCtbl],$C76,Banco[Periodo Contable],TEXT(AD$3,"mmm-yyyy"))</f>
        <v>0</v>
      </c>
      <c r="AE76" s="49">
        <f>SUMIFS(Banco[Monto],Banco[CtaCtbl],$C76,Banco[Periodo Contable],TEXT(AE$3,"mmm-yyyy"))</f>
        <v>0</v>
      </c>
      <c r="AF76" s="49">
        <f>SUMIFS(Banco[Monto],Banco[CtaCtbl],$C76,Banco[Periodo Contable],TEXT(AF$3,"mmm-yyyy"))</f>
        <v>0</v>
      </c>
      <c r="AG76" s="49">
        <f>SUMIFS(Banco[Monto],Banco[CtaCtbl],$C76,Banco[Periodo Contable],TEXT(AG$3,"mmm-yyyy"))</f>
        <v>0</v>
      </c>
      <c r="AH76" s="49">
        <f>SUMIFS(Banco[Monto],Banco[CtaCtbl],$C76,Banco[Periodo Contable],TEXT(AH$3,"mmm-yyyy"))</f>
        <v>0</v>
      </c>
      <c r="AI76" s="300">
        <f>SUM(Tabla17[[#This Row],[ene-23]:[dic-23]])</f>
        <v>0</v>
      </c>
      <c r="AJ76" s="49">
        <f>SUMIFS(Banco[Monto],Banco[CtaCtbl],$C76,Banco[Periodo Contable],TEXT(AJ$3,"mmm-yyyy"))</f>
        <v>0</v>
      </c>
      <c r="AK76" s="49">
        <f>SUMIFS(Banco[Monto],Banco[CtaCtbl],$C76,Banco[Periodo Contable],TEXT(AK$3,"mmm-yyyy"))</f>
        <v>0</v>
      </c>
      <c r="AL76" s="49">
        <f>SUMIFS(Banco[Monto],Banco[CtaCtbl],$C76,Banco[Periodo Contable],TEXT(AL$3,"mmm-yyyy"))</f>
        <v>0</v>
      </c>
      <c r="AM76" s="49">
        <f>SUMIFS(Banco[Monto],Banco[CtaCtbl],$C76,Banco[Periodo Contable],TEXT(AM$3,"mmm-yyyy"))</f>
        <v>0</v>
      </c>
      <c r="AN76" s="49">
        <f>SUMIFS(Banco[Monto],Banco[CtaCtbl],$C76,Banco[Periodo Contable],TEXT(AN$3,"mmm-yyyy"))</f>
        <v>0</v>
      </c>
      <c r="AO76" s="49">
        <f>SUMIFS(Banco[Monto],Banco[CtaCtbl],$C76,Banco[Periodo Contable],TEXT(AO$3,"mmm-yyyy"))</f>
        <v>0</v>
      </c>
      <c r="AP76" s="49">
        <f>SUMIFS(Banco[Monto],Banco[CtaCtbl],$C76,Banco[Periodo Contable],TEXT(AP$3,"mmm-yyyy"))</f>
        <v>0</v>
      </c>
      <c r="AQ76" s="49">
        <f>SUMIFS(Banco[Monto],Banco[CtaCtbl],$C76,Banco[Periodo Contable],TEXT(AQ$3,"mmm-yyyy"))</f>
        <v>0</v>
      </c>
      <c r="AR76" s="49">
        <f>SUMIFS(Banco[Monto],Banco[CtaCtbl],$C76,Banco[Periodo Contable],TEXT(AR$3,"mmm-yyyy"))</f>
        <v>0</v>
      </c>
      <c r="AS76" s="49">
        <f>SUMIFS(Banco[Monto],Banco[CtaCtbl],$C76,Banco[Periodo Contable],TEXT(AS$3,"mmm-yyyy"))</f>
        <v>0</v>
      </c>
      <c r="AT76" s="49">
        <f>SUMIFS(Banco[Monto],Banco[CtaCtbl],$C76,Banco[Periodo Contable],TEXT(AT$3,"mmm-yyyy"))</f>
        <v>0</v>
      </c>
      <c r="AU76" s="49">
        <f>SUMIFS(Banco[Monto],Banco[CtaCtbl],$C76,Banco[Periodo Contable],TEXT(AU$3,"mmm-yyyy"))</f>
        <v>0</v>
      </c>
      <c r="AV76" s="300">
        <f>SUM(Tabla17[[#This Row],[ene-24]:[dic-24]])</f>
        <v>0</v>
      </c>
      <c r="AW76" s="49">
        <f>SUMIFS(Banco[Monto],Banco[CtaCtbl],$C76,Banco[Periodo Contable],TEXT(AW$3,"mmm-yyyy"))</f>
        <v>0</v>
      </c>
      <c r="AX76" s="49">
        <f>SUMIFS(Banco[Monto],Banco[CtaCtbl],$C76,Banco[Periodo Contable],TEXT(AX$3,"mmm-yyyy"))</f>
        <v>0</v>
      </c>
      <c r="AY76" s="49">
        <f>SUMIFS(Banco[Monto],Banco[CtaCtbl],$C76,Banco[Periodo Contable],TEXT(AY$3,"mmm-yyyy"))</f>
        <v>0</v>
      </c>
      <c r="AZ76" s="49">
        <f>SUMIFS(Banco[Monto],Banco[CtaCtbl],$C76,Banco[Periodo Contable],TEXT(AZ$3,"mmm-yyyy"))</f>
        <v>0</v>
      </c>
      <c r="BA76" s="49">
        <f>SUMIFS(Banco[Monto],Banco[CtaCtbl],$C76,Banco[Periodo Contable],TEXT(BA$3,"mmm-yyyy"))</f>
        <v>0</v>
      </c>
      <c r="BB76" s="49">
        <f>SUMIFS(Banco[Monto],Banco[CtaCtbl],$C76,Banco[Periodo Contable],TEXT(BB$3,"mmm-yyyy"))</f>
        <v>0</v>
      </c>
      <c r="BC76" s="49">
        <f>SUMIFS(Banco[Monto],Banco[CtaCtbl],$C76,Banco[Periodo Contable],TEXT(BC$3,"mmm-yyyy"))</f>
        <v>0</v>
      </c>
      <c r="BD76" s="49">
        <f>SUMIFS(Banco[Monto],Banco[CtaCtbl],$C76,Banco[Periodo Contable],TEXT(BD$3,"mmm-yyyy"))</f>
        <v>0</v>
      </c>
      <c r="BE76" s="49">
        <f>SUMIFS(Banco[Monto],Banco[CtaCtbl],$C76,Banco[Periodo Contable],TEXT(BE$3,"mmm-yyyy"))</f>
        <v>0</v>
      </c>
      <c r="BF76" s="49">
        <f>SUMIFS(Banco[Monto],Banco[CtaCtbl],$C76,Banco[Periodo Contable],TEXT(BF$3,"mmm-yyyy"))</f>
        <v>0</v>
      </c>
      <c r="BG76" s="49">
        <f>SUMIFS(Banco[Monto],Banco[CtaCtbl],$C76,Banco[Periodo Contable],TEXT(BG$3,"mmm-yyyy"))</f>
        <v>0</v>
      </c>
      <c r="BH76" s="49">
        <f>SUMIFS(Banco[Monto],Banco[CtaCtbl],$C76,Banco[Periodo Contable],TEXT(BH$3,"mmm-yyyy"))</f>
        <v>0</v>
      </c>
      <c r="BI76" s="232">
        <f>SUM(Tabla17[[#This Row],[ene-25]:[dic-25]])</f>
        <v>0</v>
      </c>
      <c r="BJ76" s="49">
        <f>SUMIFS(Banco[Monto],Banco[CtaCtbl],$C76,Banco[Periodo Contable],TEXT(BJ$3,"mmm-yyyy"))</f>
        <v>0</v>
      </c>
      <c r="BK76" s="49">
        <f>SUMIFS(Banco[Monto],Banco[CtaCtbl],$C76,Banco[Periodo Contable],TEXT(BK$3,"mmm-yyyy"))</f>
        <v>0</v>
      </c>
      <c r="BL76" s="49">
        <f>SUMIFS(Banco[Monto],Banco[CtaCtbl],$C76,Banco[Periodo Contable],TEXT(BL$3,"mmm-yyyy"))</f>
        <v>0</v>
      </c>
      <c r="BM76" s="49">
        <f>SUMIFS(Banco[Monto],Banco[CtaCtbl],$C76,Banco[Periodo Contable],TEXT(BM$3,"mmm-yyyy"))</f>
        <v>0</v>
      </c>
      <c r="BN76" s="49">
        <f>SUMIFS(Banco[Monto],Banco[CtaCtbl],$C76,Banco[Periodo Contable],TEXT(BN$3,"mmm-yyyy"))</f>
        <v>0</v>
      </c>
      <c r="BO76" s="49">
        <f>SUMIFS(Banco[Monto],Banco[CtaCtbl],$C76,Banco[Periodo Contable],TEXT(BO$3,"mmm-yyyy"))</f>
        <v>0</v>
      </c>
      <c r="BP76" s="49">
        <f>SUMIFS(Banco[Monto],Banco[CtaCtbl],$C76,Banco[Periodo Contable],TEXT(BP$3,"mmm-yyyy"))</f>
        <v>0</v>
      </c>
      <c r="BQ76" s="49">
        <f>SUMIFS(Banco[Monto],Banco[CtaCtbl],$C76,Banco[Periodo Contable],TEXT(BQ$3,"mmm-yyyy"))</f>
        <v>0</v>
      </c>
      <c r="BR76" s="49">
        <f>SUMIFS(Banco[Monto],Banco[CtaCtbl],$C76,Banco[Periodo Contable],TEXT(BR$3,"mmm-yyyy"))</f>
        <v>0</v>
      </c>
      <c r="BS76" s="49">
        <f>SUMIFS(Banco[Monto],Banco[CtaCtbl],$C76,Banco[Periodo Contable],TEXT(BS$3,"mmm-yyyy"))</f>
        <v>0</v>
      </c>
      <c r="BT76" s="49">
        <f>SUMIFS(Banco[Monto],Banco[CtaCtbl],$C76,Banco[Periodo Contable],TEXT(BT$3,"mmm-yyyy"))</f>
        <v>0</v>
      </c>
      <c r="BU76" s="49">
        <f>SUMIFS(Banco[Monto],Banco[CtaCtbl],$C76,Banco[Periodo Contable],TEXT(BU$3,"mmm-yyyy"))</f>
        <v>0</v>
      </c>
      <c r="BV76" s="232">
        <f>SUM(Tabla17[[#This Row],[ene-26]:[dic-26]])</f>
        <v>0</v>
      </c>
      <c r="BW76" s="49">
        <f>SUMIFS(Banco[Monto],Banco[CtaCtbl],$C76,Banco[Periodo Contable],TEXT(BW$3,"mmm-yyyy"))</f>
        <v>0</v>
      </c>
    </row>
    <row r="77" spans="1:75" ht="21.6" outlineLevel="2">
      <c r="A77" s="38" t="s">
        <v>390</v>
      </c>
      <c r="B77" s="18" t="s">
        <v>378</v>
      </c>
      <c r="C77" s="19" t="str">
        <f>+Tabla17[[#This Row],[Cuenta]]&amp;" - "&amp;Tabla17[[#This Row],[Descripcion Cuenta]]</f>
        <v>2.02.10 - Regalo Corporativo</v>
      </c>
      <c r="D77" s="39"/>
      <c r="E77" s="44">
        <f>SUBTOTAL(9,E78:E79)</f>
        <v>0</v>
      </c>
      <c r="F77" s="44">
        <f>SUBTOTAL(9,F78:F79)</f>
        <v>0</v>
      </c>
      <c r="G77" s="44">
        <f>SUBTOTAL(9,G78:G79)</f>
        <v>0</v>
      </c>
      <c r="H77" s="44">
        <f>SUBTOTAL(9,H78:H79)</f>
        <v>0</v>
      </c>
      <c r="I77" s="44">
        <f>SUM(Tabla17[[#This Row],[sept-21]:[dic-21]])</f>
        <v>0</v>
      </c>
      <c r="J77" s="44">
        <f t="shared" ref="J77:AW77" si="220">SUBTOTAL(9,J78:J79)</f>
        <v>0</v>
      </c>
      <c r="K77" s="44">
        <f t="shared" si="220"/>
        <v>0</v>
      </c>
      <c r="L77" s="44">
        <f t="shared" si="220"/>
        <v>0</v>
      </c>
      <c r="M77" s="44">
        <f t="shared" si="220"/>
        <v>0</v>
      </c>
      <c r="N77" s="44">
        <f t="shared" si="220"/>
        <v>0</v>
      </c>
      <c r="O77" s="44">
        <f t="shared" si="220"/>
        <v>0</v>
      </c>
      <c r="P77" s="44">
        <f t="shared" si="220"/>
        <v>0</v>
      </c>
      <c r="Q77" s="44">
        <f t="shared" si="220"/>
        <v>0</v>
      </c>
      <c r="R77" s="44">
        <f t="shared" si="220"/>
        <v>-5375701</v>
      </c>
      <c r="S77" s="44">
        <f t="shared" si="220"/>
        <v>0</v>
      </c>
      <c r="T77" s="44">
        <f t="shared" si="220"/>
        <v>0</v>
      </c>
      <c r="U77" s="44">
        <f t="shared" si="220"/>
        <v>0</v>
      </c>
      <c r="V77" s="44">
        <f t="shared" si="220"/>
        <v>-5375701</v>
      </c>
      <c r="W77" s="44">
        <f t="shared" si="220"/>
        <v>0</v>
      </c>
      <c r="X77" s="44">
        <f t="shared" si="220"/>
        <v>0</v>
      </c>
      <c r="Y77" s="44">
        <f t="shared" si="220"/>
        <v>0</v>
      </c>
      <c r="Z77" s="44">
        <f t="shared" si="220"/>
        <v>0</v>
      </c>
      <c r="AA77" s="44">
        <f t="shared" si="220"/>
        <v>0</v>
      </c>
      <c r="AB77" s="44">
        <f t="shared" si="220"/>
        <v>0</v>
      </c>
      <c r="AC77" s="44">
        <f t="shared" si="220"/>
        <v>0</v>
      </c>
      <c r="AD77" s="44">
        <f t="shared" si="220"/>
        <v>-1859252</v>
      </c>
      <c r="AE77" s="44">
        <f t="shared" si="220"/>
        <v>-1848152</v>
      </c>
      <c r="AF77" s="44">
        <f t="shared" si="220"/>
        <v>0</v>
      </c>
      <c r="AG77" s="44">
        <f t="shared" si="220"/>
        <v>0</v>
      </c>
      <c r="AH77" s="44">
        <f t="shared" si="220"/>
        <v>0</v>
      </c>
      <c r="AI77" s="44">
        <f t="shared" si="220"/>
        <v>-3707404</v>
      </c>
      <c r="AJ77" s="44">
        <f t="shared" si="220"/>
        <v>0</v>
      </c>
      <c r="AK77" s="44">
        <f t="shared" si="220"/>
        <v>0</v>
      </c>
      <c r="AL77" s="44">
        <f t="shared" si="220"/>
        <v>0</v>
      </c>
      <c r="AM77" s="44">
        <f t="shared" si="220"/>
        <v>0</v>
      </c>
      <c r="AN77" s="44">
        <f t="shared" si="220"/>
        <v>0</v>
      </c>
      <c r="AO77" s="44">
        <f t="shared" si="220"/>
        <v>0</v>
      </c>
      <c r="AP77" s="44">
        <f t="shared" si="220"/>
        <v>0</v>
      </c>
      <c r="AQ77" s="44">
        <f t="shared" si="220"/>
        <v>0</v>
      </c>
      <c r="AR77" s="44">
        <f t="shared" si="220"/>
        <v>0</v>
      </c>
      <c r="AS77" s="44">
        <f t="shared" si="220"/>
        <v>-3958020</v>
      </c>
      <c r="AT77" s="44">
        <f t="shared" si="220"/>
        <v>0</v>
      </c>
      <c r="AU77" s="44">
        <f t="shared" si="220"/>
        <v>0</v>
      </c>
      <c r="AV77" s="44">
        <f t="shared" si="220"/>
        <v>-3958020</v>
      </c>
      <c r="AW77" s="44">
        <f t="shared" si="220"/>
        <v>0</v>
      </c>
      <c r="AX77" s="44">
        <f t="shared" ref="AX77:BH77" si="221">SUBTOTAL(9,AX78:AX79)</f>
        <v>0</v>
      </c>
      <c r="AY77" s="44">
        <f t="shared" si="221"/>
        <v>0</v>
      </c>
      <c r="AZ77" s="44">
        <f t="shared" si="221"/>
        <v>0</v>
      </c>
      <c r="BA77" s="44">
        <f t="shared" si="221"/>
        <v>0</v>
      </c>
      <c r="BB77" s="44">
        <f t="shared" si="221"/>
        <v>0</v>
      </c>
      <c r="BC77" s="44">
        <f t="shared" si="221"/>
        <v>0</v>
      </c>
      <c r="BD77" s="44">
        <f t="shared" si="221"/>
        <v>0</v>
      </c>
      <c r="BE77" s="44">
        <f t="shared" si="221"/>
        <v>0</v>
      </c>
      <c r="BF77" s="44">
        <f t="shared" si="221"/>
        <v>0</v>
      </c>
      <c r="BG77" s="44">
        <f t="shared" si="221"/>
        <v>0</v>
      </c>
      <c r="BH77" s="44">
        <f t="shared" si="221"/>
        <v>-16957600</v>
      </c>
      <c r="BI77" s="44">
        <f>SUBTOTAL(9,BI78:BI79)</f>
        <v>-16957600</v>
      </c>
      <c r="BJ77" s="44">
        <f t="shared" ref="BJ77" si="222">SUBTOTAL(9,BJ78:BJ79)</f>
        <v>0</v>
      </c>
      <c r="BK77" s="44">
        <f t="shared" ref="BK77" si="223">SUBTOTAL(9,BK78:BK79)</f>
        <v>0</v>
      </c>
      <c r="BL77" s="44">
        <f t="shared" ref="BL77" si="224">SUBTOTAL(9,BL78:BL79)</f>
        <v>0</v>
      </c>
      <c r="BM77" s="44">
        <f t="shared" ref="BM77" si="225">SUBTOTAL(9,BM78:BM79)</f>
        <v>0</v>
      </c>
      <c r="BN77" s="44">
        <f t="shared" ref="BN77" si="226">SUBTOTAL(9,BN78:BN79)</f>
        <v>0</v>
      </c>
      <c r="BO77" s="44">
        <f t="shared" ref="BO77" si="227">SUBTOTAL(9,BO78:BO79)</f>
        <v>0</v>
      </c>
      <c r="BP77" s="44">
        <f t="shared" ref="BP77" si="228">SUBTOTAL(9,BP78:BP79)</f>
        <v>0</v>
      </c>
      <c r="BQ77" s="44">
        <f t="shared" ref="BQ77" si="229">SUBTOTAL(9,BQ78:BQ79)</f>
        <v>0</v>
      </c>
      <c r="BR77" s="44">
        <f t="shared" ref="BR77" si="230">SUBTOTAL(9,BR78:BR79)</f>
        <v>0</v>
      </c>
      <c r="BS77" s="44">
        <f t="shared" ref="BS77" si="231">SUBTOTAL(9,BS78:BS79)</f>
        <v>0</v>
      </c>
      <c r="BT77" s="44">
        <f t="shared" ref="BT77" si="232">SUBTOTAL(9,BT78:BT79)</f>
        <v>0</v>
      </c>
      <c r="BU77" s="44">
        <f t="shared" ref="BU77" si="233">SUBTOTAL(9,BU78:BU79)</f>
        <v>0</v>
      </c>
      <c r="BV77" s="44">
        <f>SUBTOTAL(9,BV78:BV79)</f>
        <v>0</v>
      </c>
      <c r="BW77" s="44">
        <f>SUBTOTAL(9,BW78:BW79)</f>
        <v>0</v>
      </c>
    </row>
    <row r="78" spans="1:75" ht="21.6" outlineLevel="3">
      <c r="A78" s="130" t="s">
        <v>533</v>
      </c>
      <c r="B78" s="131" t="s">
        <v>380</v>
      </c>
      <c r="C78" s="132" t="str">
        <f>+Tabla17[[#This Row],[Cuenta]]&amp;" - "&amp;Tabla17[[#This Row],[Descripcion Cuenta]]</f>
        <v>2.02.10.1 - Regalo Corportivo (Aniversario)</v>
      </c>
      <c r="D78" s="133"/>
      <c r="E78" s="134">
        <f>SUMIFS(Banco[Monto],Banco[CtaCtbl],$C78,Banco[Periodo Contable],TEXT(E$3,"mmm-yyyy"))</f>
        <v>0</v>
      </c>
      <c r="F78" s="134">
        <f>SUMIFS(Banco[Monto],Banco[CtaCtbl],$C78,Banco[Periodo Contable],TEXT(F$3,"mmm-yyyy"))</f>
        <v>0</v>
      </c>
      <c r="G78" s="134">
        <f>SUMIFS(Banco[Monto],Banco[CtaCtbl],$C78,Banco[Periodo Contable],TEXT(G$3,"mmm-yyyy"))</f>
        <v>0</v>
      </c>
      <c r="H78" s="134">
        <f>SUMIFS(Banco[Monto],Banco[CtaCtbl],$C78,Banco[Periodo Contable],TEXT(H$3,"mmm-yyyy"))</f>
        <v>0</v>
      </c>
      <c r="I78" s="134">
        <f>SUM(Tabla17[[#This Row],[sept-21]:[dic-21]])</f>
        <v>0</v>
      </c>
      <c r="J78" s="134">
        <f>SUMIFS(Banco[Monto],Banco[CtaCtbl],$C78,Banco[Periodo Contable],TEXT(J$3,"mmm-yyyy"))</f>
        <v>0</v>
      </c>
      <c r="K78" s="134">
        <f>SUMIFS(Banco[Monto],Banco[CtaCtbl],$C78,Banco[Periodo Contable],TEXT(K$3,"mmm-yyyy"))</f>
        <v>0</v>
      </c>
      <c r="L78" s="134">
        <f>SUMIFS(Banco[Monto],Banco[CtaCtbl],$C78,Banco[Periodo Contable],TEXT(L$3,"mmm-yyyy"))</f>
        <v>0</v>
      </c>
      <c r="M78" s="134">
        <f>SUMIFS(Banco[Monto],Banco[CtaCtbl],$C78,Banco[Periodo Contable],TEXT(M$3,"mmm-yyyy"))</f>
        <v>0</v>
      </c>
      <c r="N78" s="134">
        <f>SUMIFS(Banco[Monto],Banco[CtaCtbl],$C78,Banco[Periodo Contable],TEXT(N$3,"mmm-yyyy"))</f>
        <v>0</v>
      </c>
      <c r="O78" s="134">
        <f>SUMIFS(Banco[Monto],Banco[CtaCtbl],$C78,Banco[Periodo Contable],TEXT(O$3,"mmm-yyyy"))</f>
        <v>0</v>
      </c>
      <c r="P78" s="134">
        <f>SUMIFS(Banco[Monto],Banco[CtaCtbl],$C78,Banco[Periodo Contable],TEXT(P$3,"mmm-yyyy"))</f>
        <v>0</v>
      </c>
      <c r="Q78" s="134">
        <f>SUMIFS(Banco[Monto],Banco[CtaCtbl],$C78,Banco[Periodo Contable],TEXT(Q$3,"mmm-yyyy"))</f>
        <v>0</v>
      </c>
      <c r="R78" s="134">
        <f>SUMIFS(Banco[Monto],Banco[CtaCtbl],$C78,Banco[Periodo Contable],TEXT(R$3,"mmm-yyyy"))</f>
        <v>-5375701</v>
      </c>
      <c r="S78" s="134">
        <f>SUMIFS(Banco[Monto],Banco[CtaCtbl],$C78,Banco[Periodo Contable],TEXT(S$3,"mmm-yyyy"))</f>
        <v>0</v>
      </c>
      <c r="T78" s="134">
        <f>SUMIFS(Banco[Monto],Banco[CtaCtbl],$C78,Banco[Periodo Contable],TEXT(T$3,"mmm-yyyy"))</f>
        <v>0</v>
      </c>
      <c r="U78" s="134">
        <f>SUMIFS(Banco[Monto],Banco[CtaCtbl],$C78,Banco[Periodo Contable],TEXT(U$3,"mmm-yyyy"))</f>
        <v>0</v>
      </c>
      <c r="V78" s="300">
        <f>SUM(Tabla17[[#This Row],[ene-22]:[dic-22]])</f>
        <v>-5375701</v>
      </c>
      <c r="W78" s="134">
        <f>SUMIFS(Banco[Monto],Banco[CtaCtbl],$C78,Banco[Periodo Contable],TEXT(W$3,"mmm-yyyy"))</f>
        <v>0</v>
      </c>
      <c r="X78" s="134">
        <f>SUMIFS(Banco[Monto],Banco[CtaCtbl],$C78,Banco[Periodo Contable],TEXT(X$3,"mmm-yyyy"))</f>
        <v>0</v>
      </c>
      <c r="Y78" s="134">
        <f>SUMIFS(Banco[Monto],Banco[CtaCtbl],$C78,Banco[Periodo Contable],TEXT(Y$3,"mmm-yyyy"))</f>
        <v>0</v>
      </c>
      <c r="Z78" s="134">
        <f>SUMIFS(Banco[Monto],Banco[CtaCtbl],$C78,Banco[Periodo Contable],TEXT(Z$3,"mmm-yyyy"))</f>
        <v>0</v>
      </c>
      <c r="AA78" s="134">
        <f>SUMIFS(Banco[Monto],Banco[CtaCtbl],$C78,Banco[Periodo Contable],TEXT(AA$3,"mmm-yyyy"))</f>
        <v>0</v>
      </c>
      <c r="AB78" s="134">
        <f>SUMIFS(Banco[Monto],Banco[CtaCtbl],$C78,Banco[Periodo Contable],TEXT(AB$3,"mmm-yyyy"))</f>
        <v>0</v>
      </c>
      <c r="AC78" s="134">
        <f>SUMIFS(Banco[Monto],Banco[CtaCtbl],$C78,Banco[Periodo Contable],TEXT(AC$3,"mmm-yyyy"))</f>
        <v>0</v>
      </c>
      <c r="AD78" s="134">
        <f>SUMIFS(Banco[Monto],Banco[CtaCtbl],$C78,Banco[Periodo Contable],TEXT(AD$3,"mmm-yyyy"))</f>
        <v>-1859252</v>
      </c>
      <c r="AE78" s="134">
        <f>SUMIFS(Banco[Monto],Banco[CtaCtbl],$C78,Banco[Periodo Contable],TEXT(AE$3,"mmm-yyyy"))</f>
        <v>-1848152</v>
      </c>
      <c r="AF78" s="134">
        <f>SUMIFS(Banco[Monto],Banco[CtaCtbl],$C78,Banco[Periodo Contable],TEXT(AF$3,"mmm-yyyy"))</f>
        <v>0</v>
      </c>
      <c r="AG78" s="134">
        <f>SUMIFS(Banco[Monto],Banco[CtaCtbl],$C78,Banco[Periodo Contable],TEXT(AG$3,"mmm-yyyy"))</f>
        <v>0</v>
      </c>
      <c r="AH78" s="134">
        <f>SUMIFS(Banco[Monto],Banco[CtaCtbl],$C78,Banco[Periodo Contable],TEXT(AH$3,"mmm-yyyy"))</f>
        <v>0</v>
      </c>
      <c r="AI78" s="300">
        <f>SUM(Tabla17[[#This Row],[ene-23]:[dic-23]])</f>
        <v>-3707404</v>
      </c>
      <c r="AJ78" s="134">
        <f>SUMIFS(Banco[Monto],Banco[CtaCtbl],$C78,Banco[Periodo Contable],TEXT(AJ$3,"mmm-yyyy"))</f>
        <v>0</v>
      </c>
      <c r="AK78" s="134">
        <f>SUMIFS(Banco[Monto],Banco[CtaCtbl],$C78,Banco[Periodo Contable],TEXT(AK$3,"mmm-yyyy"))</f>
        <v>0</v>
      </c>
      <c r="AL78" s="134">
        <f>SUMIFS(Banco[Monto],Banco[CtaCtbl],$C78,Banco[Periodo Contable],TEXT(AL$3,"mmm-yyyy"))</f>
        <v>0</v>
      </c>
      <c r="AM78" s="134">
        <f>SUMIFS(Banco[Monto],Banco[CtaCtbl],$C78,Banco[Periodo Contable],TEXT(AM$3,"mmm-yyyy"))</f>
        <v>0</v>
      </c>
      <c r="AN78" s="134">
        <f>SUMIFS(Banco[Monto],Banco[CtaCtbl],$C78,Banco[Periodo Contable],TEXT(AN$3,"mmm-yyyy"))</f>
        <v>0</v>
      </c>
      <c r="AO78" s="134">
        <f>SUMIFS(Banco[Monto],Banco[CtaCtbl],$C78,Banco[Periodo Contable],TEXT(AO$3,"mmm-yyyy"))</f>
        <v>0</v>
      </c>
      <c r="AP78" s="134">
        <f>SUMIFS(Banco[Monto],Banco[CtaCtbl],$C78,Banco[Periodo Contable],TEXT(AP$3,"mmm-yyyy"))</f>
        <v>0</v>
      </c>
      <c r="AQ78" s="134">
        <f>SUMIFS(Banco[Monto],Banco[CtaCtbl],$C78,Banco[Periodo Contable],TEXT(AQ$3,"mmm-yyyy"))</f>
        <v>0</v>
      </c>
      <c r="AR78" s="134">
        <f>SUMIFS(Banco[Monto],Banco[CtaCtbl],$C78,Banco[Periodo Contable],TEXT(AR$3,"mmm-yyyy"))</f>
        <v>0</v>
      </c>
      <c r="AS78" s="134">
        <f>SUMIFS(Banco[Monto],Banco[CtaCtbl],$C78,Banco[Periodo Contable],TEXT(AS$3,"mmm-yyyy"))</f>
        <v>-3958020</v>
      </c>
      <c r="AT78" s="134">
        <f>SUMIFS(Banco[Monto],Banco[CtaCtbl],$C78,Banco[Periodo Contable],TEXT(AT$3,"mmm-yyyy"))</f>
        <v>0</v>
      </c>
      <c r="AU78" s="134">
        <f>SUMIFS(Banco[Monto],Banco[CtaCtbl],$C78,Banco[Periodo Contable],TEXT(AU$3,"mmm-yyyy"))</f>
        <v>0</v>
      </c>
      <c r="AV78" s="300">
        <f>SUM(Tabla17[[#This Row],[ene-24]:[dic-24]])</f>
        <v>-3958020</v>
      </c>
      <c r="AW78" s="134">
        <f>SUMIFS(Banco[Monto],Banco[CtaCtbl],$C78,Banco[Periodo Contable],TEXT(AW$3,"mmm-yyyy"))</f>
        <v>0</v>
      </c>
      <c r="AX78" s="134">
        <f>SUMIFS(Banco[Monto],Banco[CtaCtbl],$C78,Banco[Periodo Contable],TEXT(AX$3,"mmm-yyyy"))</f>
        <v>0</v>
      </c>
      <c r="AY78" s="134">
        <f>SUMIFS(Banco[Monto],Banco[CtaCtbl],$C78,Banco[Periodo Contable],TEXT(AY$3,"mmm-yyyy"))</f>
        <v>0</v>
      </c>
      <c r="AZ78" s="134">
        <f>SUMIFS(Banco[Monto],Banco[CtaCtbl],$C78,Banco[Periodo Contable],TEXT(AZ$3,"mmm-yyyy"))</f>
        <v>0</v>
      </c>
      <c r="BA78" s="134">
        <f>SUMIFS(Banco[Monto],Banco[CtaCtbl],$C78,Banco[Periodo Contable],TEXT(BA$3,"mmm-yyyy"))</f>
        <v>0</v>
      </c>
      <c r="BB78" s="134">
        <f>SUMIFS(Banco[Monto],Banco[CtaCtbl],$C78,Banco[Periodo Contable],TEXT(BB$3,"mmm-yyyy"))</f>
        <v>0</v>
      </c>
      <c r="BC78" s="134">
        <f>SUMIFS(Banco[Monto],Banco[CtaCtbl],$C78,Banco[Periodo Contable],TEXT(BC$3,"mmm-yyyy"))</f>
        <v>0</v>
      </c>
      <c r="BD78" s="134">
        <f>SUMIFS(Banco[Monto],Banco[CtaCtbl],$C78,Banco[Periodo Contable],TEXT(BD$3,"mmm-yyyy"))</f>
        <v>0</v>
      </c>
      <c r="BE78" s="134">
        <f>SUMIFS(Banco[Monto],Banco[CtaCtbl],$C78,Banco[Periodo Contable],TEXT(BE$3,"mmm-yyyy"))</f>
        <v>0</v>
      </c>
      <c r="BF78" s="134">
        <f>SUMIFS(Banco[Monto],Banco[CtaCtbl],$C78,Banco[Periodo Contable],TEXT(BF$3,"mmm-yyyy"))</f>
        <v>0</v>
      </c>
      <c r="BG78" s="134">
        <f>SUMIFS(Banco[Monto],Banco[CtaCtbl],$C78,Banco[Periodo Contable],TEXT(BG$3,"mmm-yyyy"))</f>
        <v>0</v>
      </c>
      <c r="BH78" s="134">
        <f>SUMIFS(Banco[Monto],Banco[CtaCtbl],$C78,Banco[Periodo Contable],TEXT(BH$3,"mmm-yyyy"))</f>
        <v>-16957600</v>
      </c>
      <c r="BI78" s="232">
        <f>SUM(Tabla17[[#This Row],[ene-25]:[dic-25]])</f>
        <v>-16957600</v>
      </c>
      <c r="BJ78" s="134">
        <f>SUMIFS(Banco[Monto],Banco[CtaCtbl],$C78,Banco[Periodo Contable],TEXT(BJ$3,"mmm-yyyy"))</f>
        <v>0</v>
      </c>
      <c r="BK78" s="134">
        <f>SUMIFS(Banco[Monto],Banco[CtaCtbl],$C78,Banco[Periodo Contable],TEXT(BK$3,"mmm-yyyy"))</f>
        <v>0</v>
      </c>
      <c r="BL78" s="134">
        <f>SUMIFS(Banco[Monto],Banco[CtaCtbl],$C78,Banco[Periodo Contable],TEXT(BL$3,"mmm-yyyy"))</f>
        <v>0</v>
      </c>
      <c r="BM78" s="134">
        <f>SUMIFS(Banco[Monto],Banco[CtaCtbl],$C78,Banco[Periodo Contable],TEXT(BM$3,"mmm-yyyy"))</f>
        <v>0</v>
      </c>
      <c r="BN78" s="134">
        <f>SUMIFS(Banco[Monto],Banco[CtaCtbl],$C78,Banco[Periodo Contable],TEXT(BN$3,"mmm-yyyy"))</f>
        <v>0</v>
      </c>
      <c r="BO78" s="134">
        <f>SUMIFS(Banco[Monto],Banco[CtaCtbl],$C78,Banco[Periodo Contable],TEXT(BO$3,"mmm-yyyy"))</f>
        <v>0</v>
      </c>
      <c r="BP78" s="134">
        <f>SUMIFS(Banco[Monto],Banco[CtaCtbl],$C78,Banco[Periodo Contable],TEXT(BP$3,"mmm-yyyy"))</f>
        <v>0</v>
      </c>
      <c r="BQ78" s="134">
        <f>SUMIFS(Banco[Monto],Banco[CtaCtbl],$C78,Banco[Periodo Contable],TEXT(BQ$3,"mmm-yyyy"))</f>
        <v>0</v>
      </c>
      <c r="BR78" s="134">
        <f>SUMIFS(Banco[Monto],Banco[CtaCtbl],$C78,Banco[Periodo Contable],TEXT(BR$3,"mmm-yyyy"))</f>
        <v>0</v>
      </c>
      <c r="BS78" s="134">
        <f>SUMIFS(Banco[Monto],Banco[CtaCtbl],$C78,Banco[Periodo Contable],TEXT(BS$3,"mmm-yyyy"))</f>
        <v>0</v>
      </c>
      <c r="BT78" s="134">
        <f>SUMIFS(Banco[Monto],Banco[CtaCtbl],$C78,Banco[Periodo Contable],TEXT(BT$3,"mmm-yyyy"))</f>
        <v>0</v>
      </c>
      <c r="BU78" s="134">
        <f>SUMIFS(Banco[Monto],Banco[CtaCtbl],$C78,Banco[Periodo Contable],TEXT(BU$3,"mmm-yyyy"))</f>
        <v>0</v>
      </c>
      <c r="BV78" s="232">
        <f>SUM(Tabla17[[#This Row],[ene-26]:[dic-26]])</f>
        <v>0</v>
      </c>
      <c r="BW78" s="134">
        <f>SUMIFS(Banco[Monto],Banco[CtaCtbl],$C78,Banco[Periodo Contable],TEXT(BW$3,"mmm-yyyy"))</f>
        <v>0</v>
      </c>
    </row>
    <row r="79" spans="1:75" ht="21.6" outlineLevel="3">
      <c r="A79" s="130" t="s">
        <v>534</v>
      </c>
      <c r="B79" s="131" t="s">
        <v>382</v>
      </c>
      <c r="C79" s="132" t="str">
        <f>+Tabla17[[#This Row],[Cuenta]]&amp;" - "&amp;Tabla17[[#This Row],[Descripcion Cuenta]]</f>
        <v>2.02.10.2 - Regalo Corportivo - Extraordinario</v>
      </c>
      <c r="D79" s="133"/>
      <c r="E79" s="134">
        <f>SUMIFS(Banco[Monto],Banco[CtaCtbl],$C79,Banco[Periodo Contable],TEXT(E$3,"mmm-yyyy"))</f>
        <v>0</v>
      </c>
      <c r="F79" s="134">
        <f>SUMIFS(Banco[Monto],Banco[CtaCtbl],$C79,Banco[Periodo Contable],TEXT(F$3,"mmm-yyyy"))</f>
        <v>0</v>
      </c>
      <c r="G79" s="134">
        <f>SUMIFS(Banco[Monto],Banco[CtaCtbl],$C79,Banco[Periodo Contable],TEXT(G$3,"mmm-yyyy"))</f>
        <v>0</v>
      </c>
      <c r="H79" s="134">
        <f>SUMIFS(Banco[Monto],Banco[CtaCtbl],$C79,Banco[Periodo Contable],TEXT(H$3,"mmm-yyyy"))</f>
        <v>0</v>
      </c>
      <c r="I79" s="134">
        <f>SUM(Tabla17[[#This Row],[sept-21]:[dic-21]])</f>
        <v>0</v>
      </c>
      <c r="J79" s="134">
        <f>SUMIFS(Banco[Monto],Banco[CtaCtbl],$C79,Banco[Periodo Contable],TEXT(J$3,"mmm-yyyy"))</f>
        <v>0</v>
      </c>
      <c r="K79" s="134">
        <f>SUMIFS(Banco[Monto],Banco[CtaCtbl],$C79,Banco[Periodo Contable],TEXT(K$3,"mmm-yyyy"))</f>
        <v>0</v>
      </c>
      <c r="L79" s="134">
        <f>SUMIFS(Banco[Monto],Banco[CtaCtbl],$C79,Banco[Periodo Contable],TEXT(L$3,"mmm-yyyy"))</f>
        <v>0</v>
      </c>
      <c r="M79" s="134">
        <f>SUMIFS(Banco[Monto],Banco[CtaCtbl],$C79,Banco[Periodo Contable],TEXT(M$3,"mmm-yyyy"))</f>
        <v>0</v>
      </c>
      <c r="N79" s="134">
        <f>SUMIFS(Banco[Monto],Banco[CtaCtbl],$C79,Banco[Periodo Contable],TEXT(N$3,"mmm-yyyy"))</f>
        <v>0</v>
      </c>
      <c r="O79" s="134">
        <f>SUMIFS(Banco[Monto],Banco[CtaCtbl],$C79,Banco[Periodo Contable],TEXT(O$3,"mmm-yyyy"))</f>
        <v>0</v>
      </c>
      <c r="P79" s="134">
        <f>SUMIFS(Banco[Monto],Banco[CtaCtbl],$C79,Banco[Periodo Contable],TEXT(P$3,"mmm-yyyy"))</f>
        <v>0</v>
      </c>
      <c r="Q79" s="134">
        <f>SUMIFS(Banco[Monto],Banco[CtaCtbl],$C79,Banco[Periodo Contable],TEXT(Q$3,"mmm-yyyy"))</f>
        <v>0</v>
      </c>
      <c r="R79" s="134">
        <f>SUMIFS(Banco[Monto],Banco[CtaCtbl],$C79,Banco[Periodo Contable],TEXT(R$3,"mmm-yyyy"))</f>
        <v>0</v>
      </c>
      <c r="S79" s="134">
        <f>SUMIFS(Banco[Monto],Banco[CtaCtbl],$C79,Banco[Periodo Contable],TEXT(S$3,"mmm-yyyy"))</f>
        <v>0</v>
      </c>
      <c r="T79" s="134">
        <f>SUMIFS(Banco[Monto],Banco[CtaCtbl],$C79,Banco[Periodo Contable],TEXT(T$3,"mmm-yyyy"))</f>
        <v>0</v>
      </c>
      <c r="U79" s="134">
        <f>SUMIFS(Banco[Monto],Banco[CtaCtbl],$C79,Banco[Periodo Contable],TEXT(U$3,"mmm-yyyy"))</f>
        <v>0</v>
      </c>
      <c r="V79" s="300">
        <f>SUM(Tabla17[[#This Row],[ene-22]:[dic-22]])</f>
        <v>0</v>
      </c>
      <c r="W79" s="134">
        <f>SUMIFS(Banco[Monto],Banco[CtaCtbl],$C79,Banco[Periodo Contable],TEXT(W$3,"mmm-yyyy"))</f>
        <v>0</v>
      </c>
      <c r="X79" s="134">
        <f>SUMIFS(Banco[Monto],Banco[CtaCtbl],$C79,Banco[Periodo Contable],TEXT(X$3,"mmm-yyyy"))</f>
        <v>0</v>
      </c>
      <c r="Y79" s="134">
        <f>SUMIFS(Banco[Monto],Banco[CtaCtbl],$C79,Banco[Periodo Contable],TEXT(Y$3,"mmm-yyyy"))</f>
        <v>0</v>
      </c>
      <c r="Z79" s="134">
        <f>SUMIFS(Banco[Monto],Banco[CtaCtbl],$C79,Banco[Periodo Contable],TEXT(Z$3,"mmm-yyyy"))</f>
        <v>0</v>
      </c>
      <c r="AA79" s="134">
        <f>SUMIFS(Banco[Monto],Banco[CtaCtbl],$C79,Banco[Periodo Contable],TEXT(AA$3,"mmm-yyyy"))</f>
        <v>0</v>
      </c>
      <c r="AB79" s="134">
        <f>SUMIFS(Banco[Monto],Banco[CtaCtbl],$C79,Banco[Periodo Contable],TEXT(AB$3,"mmm-yyyy"))</f>
        <v>0</v>
      </c>
      <c r="AC79" s="134">
        <f>SUMIFS(Banco[Monto],Banco[CtaCtbl],$C79,Banco[Periodo Contable],TEXT(AC$3,"mmm-yyyy"))</f>
        <v>0</v>
      </c>
      <c r="AD79" s="134">
        <f>SUMIFS(Banco[Monto],Banco[CtaCtbl],$C79,Banco[Periodo Contable],TEXT(AD$3,"mmm-yyyy"))</f>
        <v>0</v>
      </c>
      <c r="AE79" s="134">
        <f>SUMIFS(Banco[Monto],Banco[CtaCtbl],$C79,Banco[Periodo Contable],TEXT(AE$3,"mmm-yyyy"))</f>
        <v>0</v>
      </c>
      <c r="AF79" s="134">
        <f>SUMIFS(Banco[Monto],Banco[CtaCtbl],$C79,Banco[Periodo Contable],TEXT(AF$3,"mmm-yyyy"))</f>
        <v>0</v>
      </c>
      <c r="AG79" s="134">
        <f>SUMIFS(Banco[Monto],Banco[CtaCtbl],$C79,Banco[Periodo Contable],TEXT(AG$3,"mmm-yyyy"))</f>
        <v>0</v>
      </c>
      <c r="AH79" s="134">
        <f>SUMIFS(Banco[Monto],Banco[CtaCtbl],$C79,Banco[Periodo Contable],TEXT(AH$3,"mmm-yyyy"))</f>
        <v>0</v>
      </c>
      <c r="AI79" s="300">
        <f>SUM(Tabla17[[#This Row],[ene-23]:[dic-23]])</f>
        <v>0</v>
      </c>
      <c r="AJ79" s="134">
        <f>SUMIFS(Banco[Monto],Banco[CtaCtbl],$C79,Banco[Periodo Contable],TEXT(AJ$3,"mmm-yyyy"))</f>
        <v>0</v>
      </c>
      <c r="AK79" s="134">
        <f>SUMIFS(Banco[Monto],Banco[CtaCtbl],$C79,Banco[Periodo Contable],TEXT(AK$3,"mmm-yyyy"))</f>
        <v>0</v>
      </c>
      <c r="AL79" s="134">
        <f>SUMIFS(Banco[Monto],Banco[CtaCtbl],$C79,Banco[Periodo Contable],TEXT(AL$3,"mmm-yyyy"))</f>
        <v>0</v>
      </c>
      <c r="AM79" s="134">
        <f>SUMIFS(Banco[Monto],Banco[CtaCtbl],$C79,Banco[Periodo Contable],TEXT(AM$3,"mmm-yyyy"))</f>
        <v>0</v>
      </c>
      <c r="AN79" s="134">
        <f>SUMIFS(Banco[Monto],Banco[CtaCtbl],$C79,Banco[Periodo Contable],TEXT(AN$3,"mmm-yyyy"))</f>
        <v>0</v>
      </c>
      <c r="AO79" s="134">
        <f>SUMIFS(Banco[Monto],Banco[CtaCtbl],$C79,Banco[Periodo Contable],TEXT(AO$3,"mmm-yyyy"))</f>
        <v>0</v>
      </c>
      <c r="AP79" s="134">
        <f>SUMIFS(Banco[Monto],Banco[CtaCtbl],$C79,Banco[Periodo Contable],TEXT(AP$3,"mmm-yyyy"))</f>
        <v>0</v>
      </c>
      <c r="AQ79" s="134">
        <f>SUMIFS(Banco[Monto],Banco[CtaCtbl],$C79,Banco[Periodo Contable],TEXT(AQ$3,"mmm-yyyy"))</f>
        <v>0</v>
      </c>
      <c r="AR79" s="134">
        <f>SUMIFS(Banco[Monto],Banco[CtaCtbl],$C79,Banco[Periodo Contable],TEXT(AR$3,"mmm-yyyy"))</f>
        <v>0</v>
      </c>
      <c r="AS79" s="134">
        <f>SUMIFS(Banco[Monto],Banco[CtaCtbl],$C79,Banco[Periodo Contable],TEXT(AS$3,"mmm-yyyy"))</f>
        <v>0</v>
      </c>
      <c r="AT79" s="134">
        <f>SUMIFS(Banco[Monto],Banco[CtaCtbl],$C79,Banco[Periodo Contable],TEXT(AT$3,"mmm-yyyy"))</f>
        <v>0</v>
      </c>
      <c r="AU79" s="134">
        <f>SUMIFS(Banco[Monto],Banco[CtaCtbl],$C79,Banco[Periodo Contable],TEXT(AU$3,"mmm-yyyy"))</f>
        <v>0</v>
      </c>
      <c r="AV79" s="300">
        <f>SUM(Tabla17[[#This Row],[ene-24]:[dic-24]])</f>
        <v>0</v>
      </c>
      <c r="AW79" s="134">
        <f>SUMIFS(Banco[Monto],Banco[CtaCtbl],$C79,Banco[Periodo Contable],TEXT(AW$3,"mmm-yyyy"))</f>
        <v>0</v>
      </c>
      <c r="AX79" s="134">
        <f>SUMIFS(Banco[Monto],Banco[CtaCtbl],$C79,Banco[Periodo Contable],TEXT(AX$3,"mmm-yyyy"))</f>
        <v>0</v>
      </c>
      <c r="AY79" s="134">
        <f>SUMIFS(Banco[Monto],Banco[CtaCtbl],$C79,Banco[Periodo Contable],TEXT(AY$3,"mmm-yyyy"))</f>
        <v>0</v>
      </c>
      <c r="AZ79" s="134">
        <f>SUMIFS(Banco[Monto],Banco[CtaCtbl],$C79,Banco[Periodo Contable],TEXT(AZ$3,"mmm-yyyy"))</f>
        <v>0</v>
      </c>
      <c r="BA79" s="134">
        <f>SUMIFS(Banco[Monto],Banco[CtaCtbl],$C79,Banco[Periodo Contable],TEXT(BA$3,"mmm-yyyy"))</f>
        <v>0</v>
      </c>
      <c r="BB79" s="134">
        <f>SUMIFS(Banco[Monto],Banco[CtaCtbl],$C79,Banco[Periodo Contable],TEXT(BB$3,"mmm-yyyy"))</f>
        <v>0</v>
      </c>
      <c r="BC79" s="134">
        <f>SUMIFS(Banco[Monto],Banco[CtaCtbl],$C79,Banco[Periodo Contable],TEXT(BC$3,"mmm-yyyy"))</f>
        <v>0</v>
      </c>
      <c r="BD79" s="134">
        <f>SUMIFS(Banco[Monto],Banco[CtaCtbl],$C79,Banco[Periodo Contable],TEXT(BD$3,"mmm-yyyy"))</f>
        <v>0</v>
      </c>
      <c r="BE79" s="134">
        <f>SUMIFS(Banco[Monto],Banco[CtaCtbl],$C79,Banco[Periodo Contable],TEXT(BE$3,"mmm-yyyy"))</f>
        <v>0</v>
      </c>
      <c r="BF79" s="134">
        <f>SUMIFS(Banco[Monto],Banco[CtaCtbl],$C79,Banco[Periodo Contable],TEXT(BF$3,"mmm-yyyy"))</f>
        <v>0</v>
      </c>
      <c r="BG79" s="134">
        <f>SUMIFS(Banco[Monto],Banco[CtaCtbl],$C79,Banco[Periodo Contable],TEXT(BG$3,"mmm-yyyy"))</f>
        <v>0</v>
      </c>
      <c r="BH79" s="134">
        <f>SUMIFS(Banco[Monto],Banco[CtaCtbl],$C79,Banco[Periodo Contable],TEXT(BH$3,"mmm-yyyy"))</f>
        <v>0</v>
      </c>
      <c r="BI79" s="232">
        <f>SUM(Tabla17[[#This Row],[ene-25]:[dic-25]])</f>
        <v>0</v>
      </c>
      <c r="BJ79" s="134">
        <f>SUMIFS(Banco[Monto],Banco[CtaCtbl],$C79,Banco[Periodo Contable],TEXT(BJ$3,"mmm-yyyy"))</f>
        <v>0</v>
      </c>
      <c r="BK79" s="134">
        <f>SUMIFS(Banco[Monto],Banco[CtaCtbl],$C79,Banco[Periodo Contable],TEXT(BK$3,"mmm-yyyy"))</f>
        <v>0</v>
      </c>
      <c r="BL79" s="134">
        <f>SUMIFS(Banco[Monto],Banco[CtaCtbl],$C79,Banco[Periodo Contable],TEXT(BL$3,"mmm-yyyy"))</f>
        <v>0</v>
      </c>
      <c r="BM79" s="134">
        <f>SUMIFS(Banco[Monto],Banco[CtaCtbl],$C79,Banco[Periodo Contable],TEXT(BM$3,"mmm-yyyy"))</f>
        <v>0</v>
      </c>
      <c r="BN79" s="134">
        <f>SUMIFS(Banco[Monto],Banco[CtaCtbl],$C79,Banco[Periodo Contable],TEXT(BN$3,"mmm-yyyy"))</f>
        <v>0</v>
      </c>
      <c r="BO79" s="134">
        <f>SUMIFS(Banco[Monto],Banco[CtaCtbl],$C79,Banco[Periodo Contable],TEXT(BO$3,"mmm-yyyy"))</f>
        <v>0</v>
      </c>
      <c r="BP79" s="134">
        <f>SUMIFS(Banco[Monto],Banco[CtaCtbl],$C79,Banco[Periodo Contable],TEXT(BP$3,"mmm-yyyy"))</f>
        <v>0</v>
      </c>
      <c r="BQ79" s="134">
        <f>SUMIFS(Banco[Monto],Banco[CtaCtbl],$C79,Banco[Periodo Contable],TEXT(BQ$3,"mmm-yyyy"))</f>
        <v>0</v>
      </c>
      <c r="BR79" s="134">
        <f>SUMIFS(Banco[Monto],Banco[CtaCtbl],$C79,Banco[Periodo Contable],TEXT(BR$3,"mmm-yyyy"))</f>
        <v>0</v>
      </c>
      <c r="BS79" s="134">
        <f>SUMIFS(Banco[Monto],Banco[CtaCtbl],$C79,Banco[Periodo Contable],TEXT(BS$3,"mmm-yyyy"))</f>
        <v>0</v>
      </c>
      <c r="BT79" s="134">
        <f>SUMIFS(Banco[Monto],Banco[CtaCtbl],$C79,Banco[Periodo Contable],TEXT(BT$3,"mmm-yyyy"))</f>
        <v>0</v>
      </c>
      <c r="BU79" s="134">
        <f>SUMIFS(Banco[Monto],Banco[CtaCtbl],$C79,Banco[Periodo Contable],TEXT(BU$3,"mmm-yyyy"))</f>
        <v>0</v>
      </c>
      <c r="BV79" s="232">
        <f>SUM(Tabla17[[#This Row],[ene-26]:[dic-26]])</f>
        <v>0</v>
      </c>
      <c r="BW79" s="134">
        <f>SUMIFS(Banco[Monto],Banco[CtaCtbl],$C79,Banco[Periodo Contable],TEXT(BW$3,"mmm-yyyy"))</f>
        <v>0</v>
      </c>
    </row>
    <row r="80" spans="1:75" ht="21.6" outlineLevel="2">
      <c r="A80" s="36" t="s">
        <v>383</v>
      </c>
      <c r="B80" s="25" t="s">
        <v>384</v>
      </c>
      <c r="C80" s="22" t="str">
        <f>+Tabla17[[#This Row],[Cuenta]]&amp;" - "&amp;Tabla17[[#This Row],[Descripcion Cuenta]]</f>
        <v>2.02.07 - Coronas de Caridad Condolencias</v>
      </c>
      <c r="D80" s="37"/>
      <c r="E80" s="49">
        <f>SUMIFS(Banco[Monto],Banco[CtaCtbl],$C80,Banco[Periodo Contable],TEXT(E$3,"mmm-yyyy"))</f>
        <v>0</v>
      </c>
      <c r="F80" s="49">
        <f>SUMIFS(Banco[Monto],Banco[CtaCtbl],$C80,Banco[Periodo Contable],TEXT(F$3,"mmm-yyyy"))</f>
        <v>0</v>
      </c>
      <c r="G80" s="49">
        <f>SUMIFS(Banco[Monto],Banco[CtaCtbl],$C80,Banco[Periodo Contable],TEXT(G$3,"mmm-yyyy"))</f>
        <v>0</v>
      </c>
      <c r="H80" s="49">
        <f>SUMIFS(Banco[Monto],Banco[CtaCtbl],$C80,Banco[Periodo Contable],TEXT(H$3,"mmm-yyyy"))</f>
        <v>0</v>
      </c>
      <c r="I80" s="49">
        <f>SUM(Tabla17[[#This Row],[sept-21]:[dic-21]])</f>
        <v>0</v>
      </c>
      <c r="J80" s="49">
        <f>SUMIFS(Banco[Monto],Banco[CtaCtbl],$C80,Banco[Periodo Contable],TEXT(J$3,"mmm-yyyy"))</f>
        <v>0</v>
      </c>
      <c r="K80" s="49">
        <f>SUMIFS(Banco[Monto],Banco[CtaCtbl],$C80,Banco[Periodo Contable],TEXT(K$3,"mmm-yyyy"))</f>
        <v>0</v>
      </c>
      <c r="L80" s="49">
        <f>SUMIFS(Banco[Monto],Banco[CtaCtbl],$C80,Banco[Periodo Contable],TEXT(L$3,"mmm-yyyy"))</f>
        <v>0</v>
      </c>
      <c r="M80" s="49">
        <f>SUMIFS(Banco[Monto],Banco[CtaCtbl],$C80,Banco[Periodo Contable],TEXT(M$3,"mmm-yyyy"))</f>
        <v>0</v>
      </c>
      <c r="N80" s="49">
        <f>SUMIFS(Banco[Monto],Banco[CtaCtbl],$C80,Banco[Periodo Contable],TEXT(N$3,"mmm-yyyy"))</f>
        <v>0</v>
      </c>
      <c r="O80" s="49">
        <f>SUMIFS(Banco[Monto],Banco[CtaCtbl],$C80,Banco[Periodo Contable],TEXT(O$3,"mmm-yyyy"))</f>
        <v>0</v>
      </c>
      <c r="P80" s="49">
        <f>SUMIFS(Banco[Monto],Banco[CtaCtbl],$C80,Banco[Periodo Contable],TEXT(P$3,"mmm-yyyy"))</f>
        <v>0</v>
      </c>
      <c r="Q80" s="49">
        <f>SUMIFS(Banco[Monto],Banco[CtaCtbl],$C80,Banco[Periodo Contable],TEXT(Q$3,"mmm-yyyy"))</f>
        <v>0</v>
      </c>
      <c r="R80" s="49">
        <f>SUMIFS(Banco[Monto],Banco[CtaCtbl],$C80,Banco[Periodo Contable],TEXT(R$3,"mmm-yyyy"))</f>
        <v>0</v>
      </c>
      <c r="S80" s="49">
        <f>SUMIFS(Banco[Monto],Banco[CtaCtbl],$C80,Banco[Periodo Contable],TEXT(S$3,"mmm-yyyy"))</f>
        <v>0</v>
      </c>
      <c r="T80" s="49">
        <f>SUMIFS(Banco[Monto],Banco[CtaCtbl],$C80,Banco[Periodo Contable],TEXT(T$3,"mmm-yyyy"))</f>
        <v>0</v>
      </c>
      <c r="U80" s="49">
        <f>SUMIFS(Banco[Monto],Banco[CtaCtbl],$C80,Banco[Periodo Contable],TEXT(U$3,"mmm-yyyy"))</f>
        <v>0</v>
      </c>
      <c r="V80" s="300">
        <f>SUM(Tabla17[[#This Row],[ene-22]:[dic-22]])</f>
        <v>0</v>
      </c>
      <c r="W80" s="49">
        <f>SUMIFS(Banco[Monto],Banco[CtaCtbl],$C80,Banco[Periodo Contable],TEXT(W$3,"mmm-yyyy"))</f>
        <v>0</v>
      </c>
      <c r="X80" s="49">
        <f>SUMIFS(Banco[Monto],Banco[CtaCtbl],$C80,Banco[Periodo Contable],TEXT(X$3,"mmm-yyyy"))</f>
        <v>0</v>
      </c>
      <c r="Y80" s="49">
        <f>SUMIFS(Banco[Monto],Banco[CtaCtbl],$C80,Banco[Periodo Contable],TEXT(Y$3,"mmm-yyyy"))</f>
        <v>0</v>
      </c>
      <c r="Z80" s="49">
        <f>SUMIFS(Banco[Monto],Banco[CtaCtbl],$C80,Banco[Periodo Contable],TEXT(Z$3,"mmm-yyyy"))</f>
        <v>0</v>
      </c>
      <c r="AA80" s="49">
        <f>SUMIFS(Banco[Monto],Banco[CtaCtbl],$C80,Banco[Periodo Contable],TEXT(AA$3,"mmm-yyyy"))</f>
        <v>0</v>
      </c>
      <c r="AB80" s="49">
        <f>SUMIFS(Banco[Monto],Banco[CtaCtbl],$C80,Banco[Periodo Contable],TEXT(AB$3,"mmm-yyyy"))</f>
        <v>0</v>
      </c>
      <c r="AC80" s="49">
        <f>SUMIFS(Banco[Monto],Banco[CtaCtbl],$C80,Banco[Periodo Contable],TEXT(AC$3,"mmm-yyyy"))</f>
        <v>0</v>
      </c>
      <c r="AD80" s="49">
        <f>SUMIFS(Banco[Monto],Banco[CtaCtbl],$C80,Banco[Periodo Contable],TEXT(AD$3,"mmm-yyyy"))</f>
        <v>0</v>
      </c>
      <c r="AE80" s="49">
        <f>SUMIFS(Banco[Monto],Banco[CtaCtbl],$C80,Banco[Periodo Contable],TEXT(AE$3,"mmm-yyyy"))</f>
        <v>0</v>
      </c>
      <c r="AF80" s="49">
        <f>SUMIFS(Banco[Monto],Banco[CtaCtbl],$C80,Banco[Periodo Contable],TEXT(AF$3,"mmm-yyyy"))</f>
        <v>0</v>
      </c>
      <c r="AG80" s="49">
        <f>SUMIFS(Banco[Monto],Banco[CtaCtbl],$C80,Banco[Periodo Contable],TEXT(AG$3,"mmm-yyyy"))</f>
        <v>0</v>
      </c>
      <c r="AH80" s="49">
        <f>SUMIFS(Banco[Monto],Banco[CtaCtbl],$C80,Banco[Periodo Contable],TEXT(AH$3,"mmm-yyyy"))</f>
        <v>0</v>
      </c>
      <c r="AI80" s="300">
        <f>SUM(Tabla17[[#This Row],[ene-23]:[dic-23]])</f>
        <v>0</v>
      </c>
      <c r="AJ80" s="49">
        <f>SUMIFS(Banco[Monto],Banco[CtaCtbl],$C80,Banco[Periodo Contable],TEXT(AJ$3,"mmm-yyyy"))</f>
        <v>0</v>
      </c>
      <c r="AK80" s="49">
        <f>SUMIFS(Banco[Monto],Banco[CtaCtbl],$C80,Banco[Periodo Contable],TEXT(AK$3,"mmm-yyyy"))</f>
        <v>0</v>
      </c>
      <c r="AL80" s="49">
        <f>SUMIFS(Banco[Monto],Banco[CtaCtbl],$C80,Banco[Periodo Contable],TEXT(AL$3,"mmm-yyyy"))</f>
        <v>0</v>
      </c>
      <c r="AM80" s="49">
        <f>SUMIFS(Banco[Monto],Banco[CtaCtbl],$C80,Banco[Periodo Contable],TEXT(AM$3,"mmm-yyyy"))</f>
        <v>0</v>
      </c>
      <c r="AN80" s="49">
        <f>SUMIFS(Banco[Monto],Banco[CtaCtbl],$C80,Banco[Periodo Contable],TEXT(AN$3,"mmm-yyyy"))</f>
        <v>0</v>
      </c>
      <c r="AO80" s="49">
        <f>SUMIFS(Banco[Monto],Banco[CtaCtbl],$C80,Banco[Periodo Contable],TEXT(AO$3,"mmm-yyyy"))</f>
        <v>-85900</v>
      </c>
      <c r="AP80" s="49">
        <f>SUMIFS(Banco[Monto],Banco[CtaCtbl],$C80,Banco[Periodo Contable],TEXT(AP$3,"mmm-yyyy"))</f>
        <v>0</v>
      </c>
      <c r="AQ80" s="49">
        <f>SUMIFS(Banco[Monto],Banco[CtaCtbl],$C80,Banco[Periodo Contable],TEXT(AQ$3,"mmm-yyyy"))</f>
        <v>0</v>
      </c>
      <c r="AR80" s="49">
        <f>SUMIFS(Banco[Monto],Banco[CtaCtbl],$C80,Banco[Periodo Contable],TEXT(AR$3,"mmm-yyyy"))</f>
        <v>0</v>
      </c>
      <c r="AS80" s="49">
        <f>SUMIFS(Banco[Monto],Banco[CtaCtbl],$C80,Banco[Periodo Contable],TEXT(AS$3,"mmm-yyyy"))</f>
        <v>0</v>
      </c>
      <c r="AT80" s="49">
        <f>SUMIFS(Banco[Monto],Banco[CtaCtbl],$C80,Banco[Periodo Contable],TEXT(AT$3,"mmm-yyyy"))</f>
        <v>0</v>
      </c>
      <c r="AU80" s="49">
        <f>SUMIFS(Banco[Monto],Banco[CtaCtbl],$C80,Banco[Periodo Contable],TEXT(AU$3,"mmm-yyyy"))</f>
        <v>0</v>
      </c>
      <c r="AV80" s="300">
        <f>SUM(Tabla17[[#This Row],[ene-24]:[dic-24]])</f>
        <v>-85900</v>
      </c>
      <c r="AW80" s="49">
        <f>SUMIFS(Banco[Monto],Banco[CtaCtbl],$C80,Banco[Periodo Contable],TEXT(AW$3,"mmm-yyyy"))</f>
        <v>0</v>
      </c>
      <c r="AX80" s="49">
        <f>SUMIFS(Banco[Monto],Banco[CtaCtbl],$C80,Banco[Periodo Contable],TEXT(AX$3,"mmm-yyyy"))</f>
        <v>0</v>
      </c>
      <c r="AY80" s="49">
        <f>SUMIFS(Banco[Monto],Banco[CtaCtbl],$C80,Banco[Periodo Contable],TEXT(AY$3,"mmm-yyyy"))</f>
        <v>0</v>
      </c>
      <c r="AZ80" s="49">
        <f>SUMIFS(Banco[Monto],Banco[CtaCtbl],$C80,Banco[Periodo Contable],TEXT(AZ$3,"mmm-yyyy"))</f>
        <v>0</v>
      </c>
      <c r="BA80" s="49">
        <f>SUMIFS(Banco[Monto],Banco[CtaCtbl],$C80,Banco[Periodo Contable],TEXT(BA$3,"mmm-yyyy"))</f>
        <v>0</v>
      </c>
      <c r="BB80" s="49">
        <f>SUMIFS(Banco[Monto],Banco[CtaCtbl],$C80,Banco[Periodo Contable],TEXT(BB$3,"mmm-yyyy"))</f>
        <v>0</v>
      </c>
      <c r="BC80" s="49">
        <f>SUMIFS(Banco[Monto],Banco[CtaCtbl],$C80,Banco[Periodo Contable],TEXT(BC$3,"mmm-yyyy"))</f>
        <v>-72000</v>
      </c>
      <c r="BD80" s="49">
        <f>SUMIFS(Banco[Monto],Banco[CtaCtbl],$C80,Banco[Periodo Contable],TEXT(BD$3,"mmm-yyyy"))</f>
        <v>0</v>
      </c>
      <c r="BE80" s="49">
        <f>SUMIFS(Banco[Monto],Banco[CtaCtbl],$C80,Banco[Periodo Contable],TEXT(BE$3,"mmm-yyyy"))</f>
        <v>0</v>
      </c>
      <c r="BF80" s="49">
        <f>SUMIFS(Banco[Monto],Banco[CtaCtbl],$C80,Banco[Periodo Contable],TEXT(BF$3,"mmm-yyyy"))</f>
        <v>0</v>
      </c>
      <c r="BG80" s="49">
        <f>SUMIFS(Banco[Monto],Banco[CtaCtbl],$C80,Banco[Periodo Contable],TEXT(BG$3,"mmm-yyyy"))</f>
        <v>0</v>
      </c>
      <c r="BH80" s="49">
        <f>SUMIFS(Banco[Monto],Banco[CtaCtbl],$C80,Banco[Periodo Contable],TEXT(BH$3,"mmm-yyyy"))</f>
        <v>-39500</v>
      </c>
      <c r="BI80" s="232">
        <f>SUM(Tabla17[[#This Row],[ene-25]:[dic-25]])</f>
        <v>-111500</v>
      </c>
      <c r="BJ80" s="49">
        <f>SUMIFS(Banco[Monto],Banco[CtaCtbl],$C80,Banco[Periodo Contable],TEXT(BJ$3,"mmm-yyyy"))</f>
        <v>0</v>
      </c>
      <c r="BK80" s="49">
        <f>SUMIFS(Banco[Monto],Banco[CtaCtbl],$C80,Banco[Periodo Contable],TEXT(BK$3,"mmm-yyyy"))</f>
        <v>0</v>
      </c>
      <c r="BL80" s="49">
        <f>SUMIFS(Banco[Monto],Banco[CtaCtbl],$C80,Banco[Periodo Contable],TEXT(BL$3,"mmm-yyyy"))</f>
        <v>0</v>
      </c>
      <c r="BM80" s="49">
        <f>SUMIFS(Banco[Monto],Banco[CtaCtbl],$C80,Banco[Periodo Contable],TEXT(BM$3,"mmm-yyyy"))</f>
        <v>0</v>
      </c>
      <c r="BN80" s="49">
        <f>SUMIFS(Banco[Monto],Banco[CtaCtbl],$C80,Banco[Periodo Contable],TEXT(BN$3,"mmm-yyyy"))</f>
        <v>0</v>
      </c>
      <c r="BO80" s="49">
        <f>SUMIFS(Banco[Monto],Banco[CtaCtbl],$C80,Banco[Periodo Contable],TEXT(BO$3,"mmm-yyyy"))</f>
        <v>0</v>
      </c>
      <c r="BP80" s="49">
        <f>SUMIFS(Banco[Monto],Banco[CtaCtbl],$C80,Banco[Periodo Contable],TEXT(BP$3,"mmm-yyyy"))</f>
        <v>0</v>
      </c>
      <c r="BQ80" s="49">
        <f>SUMIFS(Banco[Monto],Banco[CtaCtbl],$C80,Banco[Periodo Contable],TEXT(BQ$3,"mmm-yyyy"))</f>
        <v>0</v>
      </c>
      <c r="BR80" s="49">
        <f>SUMIFS(Banco[Monto],Banco[CtaCtbl],$C80,Banco[Periodo Contable],TEXT(BR$3,"mmm-yyyy"))</f>
        <v>0</v>
      </c>
      <c r="BS80" s="49">
        <f>SUMIFS(Banco[Monto],Banco[CtaCtbl],$C80,Banco[Periodo Contable],TEXT(BS$3,"mmm-yyyy"))</f>
        <v>0</v>
      </c>
      <c r="BT80" s="49">
        <f>SUMIFS(Banco[Monto],Banco[CtaCtbl],$C80,Banco[Periodo Contable],TEXT(BT$3,"mmm-yyyy"))</f>
        <v>0</v>
      </c>
      <c r="BU80" s="49">
        <f>SUMIFS(Banco[Monto],Banco[CtaCtbl],$C80,Banco[Periodo Contable],TEXT(BU$3,"mmm-yyyy"))</f>
        <v>0</v>
      </c>
      <c r="BV80" s="232">
        <f>SUM(Tabla17[[#This Row],[ene-26]:[dic-26]])</f>
        <v>0</v>
      </c>
      <c r="BW80" s="49">
        <f>SUMIFS(Banco[Monto],Banco[CtaCtbl],$C80,Banco[Periodo Contable],TEXT(BW$3,"mmm-yyyy"))</f>
        <v>0</v>
      </c>
    </row>
    <row r="81" spans="1:75" ht="21.6" outlineLevel="2">
      <c r="A81" s="36" t="s">
        <v>385</v>
      </c>
      <c r="B81" s="25" t="s">
        <v>386</v>
      </c>
      <c r="C81" s="22" t="str">
        <f>+Tabla17[[#This Row],[Cuenta]]&amp;" - "&amp;Tabla17[[#This Row],[Descripcion Cuenta]]</f>
        <v>2.02.08 - Aporte Extraordinario al Socio</v>
      </c>
      <c r="D81" s="37" t="s">
        <v>387</v>
      </c>
      <c r="E81" s="49">
        <f>SUMIFS(Banco[Monto],Banco[CtaCtbl],$C81,Banco[Periodo Contable],TEXT(E$3,"mmm-yyyy"))</f>
        <v>0</v>
      </c>
      <c r="F81" s="49">
        <f>SUMIFS(Banco[Monto],Banco[CtaCtbl],$C81,Banco[Periodo Contable],TEXT(F$3,"mmm-yyyy"))</f>
        <v>0</v>
      </c>
      <c r="G81" s="49">
        <f>SUMIFS(Banco[Monto],Banco[CtaCtbl],$C81,Banco[Periodo Contable],TEXT(G$3,"mmm-yyyy"))</f>
        <v>0</v>
      </c>
      <c r="H81" s="49">
        <f>SUMIFS(Banco[Monto],Banco[CtaCtbl],$C81,Banco[Periodo Contable],TEXT(H$3,"mmm-yyyy"))</f>
        <v>0</v>
      </c>
      <c r="I81" s="49">
        <f>SUM(Tabla17[[#This Row],[sept-21]:[dic-21]])</f>
        <v>0</v>
      </c>
      <c r="J81" s="49">
        <f>SUMIFS(Banco[Monto],Banco[CtaCtbl],$C81,Banco[Periodo Contable],TEXT(J$3,"mmm-yyyy"))</f>
        <v>0</v>
      </c>
      <c r="K81" s="49">
        <f>SUMIFS(Banco[Monto],Banco[CtaCtbl],$C81,Banco[Periodo Contable],TEXT(K$3,"mmm-yyyy"))</f>
        <v>0</v>
      </c>
      <c r="L81" s="49">
        <f>SUMIFS(Banco[Monto],Banco[CtaCtbl],$C81,Banco[Periodo Contable],TEXT(L$3,"mmm-yyyy"))</f>
        <v>-15816</v>
      </c>
      <c r="M81" s="49">
        <f>SUMIFS(Banco[Monto],Banco[CtaCtbl],$C81,Banco[Periodo Contable],TEXT(M$3,"mmm-yyyy"))</f>
        <v>0</v>
      </c>
      <c r="N81" s="49">
        <f>SUMIFS(Banco[Monto],Banco[CtaCtbl],$C81,Banco[Periodo Contable],TEXT(N$3,"mmm-yyyy"))</f>
        <v>0</v>
      </c>
      <c r="O81" s="49">
        <f>SUMIFS(Banco[Monto],Banco[CtaCtbl],$C81,Banco[Periodo Contable],TEXT(O$3,"mmm-yyyy"))</f>
        <v>0</v>
      </c>
      <c r="P81" s="49">
        <f>SUMIFS(Banco[Monto],Banco[CtaCtbl],$C81,Banco[Periodo Contable],TEXT(P$3,"mmm-yyyy"))</f>
        <v>0</v>
      </c>
      <c r="Q81" s="49">
        <f>SUMIFS(Banco[Monto],Banco[CtaCtbl],$C81,Banco[Periodo Contable],TEXT(Q$3,"mmm-yyyy"))</f>
        <v>0</v>
      </c>
      <c r="R81" s="49">
        <f>SUMIFS(Banco[Monto],Banco[CtaCtbl],$C81,Banco[Periodo Contable],TEXT(R$3,"mmm-yyyy"))</f>
        <v>0</v>
      </c>
      <c r="S81" s="49">
        <f>SUMIFS(Banco[Monto],Banco[CtaCtbl],$C81,Banco[Periodo Contable],TEXT(S$3,"mmm-yyyy"))</f>
        <v>0</v>
      </c>
      <c r="T81" s="49">
        <f>SUMIFS(Banco[Monto],Banco[CtaCtbl],$C81,Banco[Periodo Contable],TEXT(T$3,"mmm-yyyy"))</f>
        <v>0</v>
      </c>
      <c r="U81" s="49">
        <f>SUMIFS(Banco[Monto],Banco[CtaCtbl],$C81,Banco[Periodo Contable],TEXT(U$3,"mmm-yyyy"))</f>
        <v>0</v>
      </c>
      <c r="V81" s="300">
        <f>SUM(Tabla17[[#This Row],[ene-22]:[dic-22]])</f>
        <v>-15816</v>
      </c>
      <c r="W81" s="49">
        <f>SUMIFS(Banco[Monto],Banco[CtaCtbl],$C81,Banco[Periodo Contable],TEXT(W$3,"mmm-yyyy"))</f>
        <v>0</v>
      </c>
      <c r="X81" s="49">
        <f>SUMIFS(Banco[Monto],Banco[CtaCtbl],$C81,Banco[Periodo Contable],TEXT(X$3,"mmm-yyyy"))</f>
        <v>0</v>
      </c>
      <c r="Y81" s="49">
        <f>SUMIFS(Banco[Monto],Banco[CtaCtbl],$C81,Banco[Periodo Contable],TEXT(Y$3,"mmm-yyyy"))</f>
        <v>0</v>
      </c>
      <c r="Z81" s="49">
        <f>SUMIFS(Banco[Monto],Banco[CtaCtbl],$C81,Banco[Periodo Contable],TEXT(Z$3,"mmm-yyyy"))</f>
        <v>0</v>
      </c>
      <c r="AA81" s="49">
        <f>SUMIFS(Banco[Monto],Banco[CtaCtbl],$C81,Banco[Periodo Contable],TEXT(AA$3,"mmm-yyyy"))</f>
        <v>0</v>
      </c>
      <c r="AB81" s="49">
        <f>SUMIFS(Banco[Monto],Banco[CtaCtbl],$C81,Banco[Periodo Contable],TEXT(AB$3,"mmm-yyyy"))</f>
        <v>0</v>
      </c>
      <c r="AC81" s="49">
        <f>SUMIFS(Banco[Monto],Banco[CtaCtbl],$C81,Banco[Periodo Contable],TEXT(AC$3,"mmm-yyyy"))</f>
        <v>0</v>
      </c>
      <c r="AD81" s="49">
        <f>SUMIFS(Banco[Monto],Banco[CtaCtbl],$C81,Banco[Periodo Contable],TEXT(AD$3,"mmm-yyyy"))</f>
        <v>0</v>
      </c>
      <c r="AE81" s="49">
        <f>SUMIFS(Banco[Monto],Banco[CtaCtbl],$C81,Banco[Periodo Contable],TEXT(AE$3,"mmm-yyyy"))</f>
        <v>0</v>
      </c>
      <c r="AF81" s="49">
        <f>SUMIFS(Banco[Monto],Banco[CtaCtbl],$C81,Banco[Periodo Contable],TEXT(AF$3,"mmm-yyyy"))</f>
        <v>-277778</v>
      </c>
      <c r="AG81" s="49">
        <f>SUMIFS(Banco[Monto],Banco[CtaCtbl],$C81,Banco[Periodo Contable],TEXT(AG$3,"mmm-yyyy"))</f>
        <v>0</v>
      </c>
      <c r="AH81" s="49">
        <f>SUMIFS(Banco[Monto],Banco[CtaCtbl],$C81,Banco[Periodo Contable],TEXT(AH$3,"mmm-yyyy"))</f>
        <v>0</v>
      </c>
      <c r="AI81" s="300">
        <f>SUM(Tabla17[[#This Row],[ene-23]:[dic-23]])</f>
        <v>-277778</v>
      </c>
      <c r="AJ81" s="49">
        <f>SUMIFS(Banco[Monto],Banco[CtaCtbl],$C81,Banco[Periodo Contable],TEXT(AJ$3,"mmm-yyyy"))</f>
        <v>0</v>
      </c>
      <c r="AK81" s="49">
        <f>SUMIFS(Banco[Monto],Banco[CtaCtbl],$C81,Banco[Periodo Contable],TEXT(AK$3,"mmm-yyyy"))</f>
        <v>0</v>
      </c>
      <c r="AL81" s="49">
        <f>SUMIFS(Banco[Monto],Banco[CtaCtbl],$C81,Banco[Periodo Contable],TEXT(AL$3,"mmm-yyyy"))</f>
        <v>0</v>
      </c>
      <c r="AM81" s="49">
        <f>SUMIFS(Banco[Monto],Banco[CtaCtbl],$C81,Banco[Periodo Contable],TEXT(AM$3,"mmm-yyyy"))</f>
        <v>0</v>
      </c>
      <c r="AN81" s="49">
        <f>SUMIFS(Banco[Monto],Banco[CtaCtbl],$C81,Banco[Periodo Contable],TEXT(AN$3,"mmm-yyyy"))</f>
        <v>0</v>
      </c>
      <c r="AO81" s="49">
        <f>SUMIFS(Banco[Monto],Banco[CtaCtbl],$C81,Banco[Periodo Contable],TEXT(AO$3,"mmm-yyyy"))</f>
        <v>0</v>
      </c>
      <c r="AP81" s="49">
        <f>SUMIFS(Banco[Monto],Banco[CtaCtbl],$C81,Banco[Periodo Contable],TEXT(AP$3,"mmm-yyyy"))</f>
        <v>0</v>
      </c>
      <c r="AQ81" s="49">
        <f>SUMIFS(Banco[Monto],Banco[CtaCtbl],$C81,Banco[Periodo Contable],TEXT(AQ$3,"mmm-yyyy"))</f>
        <v>0</v>
      </c>
      <c r="AR81" s="49">
        <f>SUMIFS(Banco[Monto],Banco[CtaCtbl],$C81,Banco[Periodo Contable],TEXT(AR$3,"mmm-yyyy"))</f>
        <v>0</v>
      </c>
      <c r="AS81" s="49">
        <f>SUMIFS(Banco[Monto],Banco[CtaCtbl],$C81,Banco[Periodo Contable],TEXT(AS$3,"mmm-yyyy"))</f>
        <v>0</v>
      </c>
      <c r="AT81" s="49">
        <f>SUMIFS(Banco[Monto],Banco[CtaCtbl],$C81,Banco[Periodo Contable],TEXT(AT$3,"mmm-yyyy"))</f>
        <v>0</v>
      </c>
      <c r="AU81" s="49">
        <f>SUMIFS(Banco[Monto],Banco[CtaCtbl],$C81,Banco[Periodo Contable],TEXT(AU$3,"mmm-yyyy"))</f>
        <v>0</v>
      </c>
      <c r="AV81" s="300">
        <f>SUM(Tabla17[[#This Row],[ene-24]:[dic-24]])</f>
        <v>0</v>
      </c>
      <c r="AW81" s="49">
        <f>SUMIFS(Banco[Monto],Banco[CtaCtbl],$C81,Banco[Periodo Contable],TEXT(AW$3,"mmm-yyyy"))</f>
        <v>0</v>
      </c>
      <c r="AX81" s="49">
        <f>SUMIFS(Banco[Monto],Banco[CtaCtbl],$C81,Banco[Periodo Contable],TEXT(AX$3,"mmm-yyyy"))</f>
        <v>0</v>
      </c>
      <c r="AY81" s="49">
        <f>SUMIFS(Banco[Monto],Banco[CtaCtbl],$C81,Banco[Periodo Contable],TEXT(AY$3,"mmm-yyyy"))</f>
        <v>0</v>
      </c>
      <c r="AZ81" s="49">
        <f>SUMIFS(Banco[Monto],Banco[CtaCtbl],$C81,Banco[Periodo Contable],TEXT(AZ$3,"mmm-yyyy"))</f>
        <v>0</v>
      </c>
      <c r="BA81" s="49">
        <f>SUMIFS(Banco[Monto],Banco[CtaCtbl],$C81,Banco[Periodo Contable],TEXT(BA$3,"mmm-yyyy"))</f>
        <v>0</v>
      </c>
      <c r="BB81" s="49">
        <f>SUMIFS(Banco[Monto],Banco[CtaCtbl],$C81,Banco[Periodo Contable],TEXT(BB$3,"mmm-yyyy"))</f>
        <v>0</v>
      </c>
      <c r="BC81" s="49">
        <f>SUMIFS(Banco[Monto],Banco[CtaCtbl],$C81,Banco[Periodo Contable],TEXT(BC$3,"mmm-yyyy"))</f>
        <v>0</v>
      </c>
      <c r="BD81" s="49">
        <f>SUMIFS(Banco[Monto],Banco[CtaCtbl],$C81,Banco[Periodo Contable],TEXT(BD$3,"mmm-yyyy"))</f>
        <v>0</v>
      </c>
      <c r="BE81" s="49">
        <f>SUMIFS(Banco[Monto],Banco[CtaCtbl],$C81,Banco[Periodo Contable],TEXT(BE$3,"mmm-yyyy"))</f>
        <v>0</v>
      </c>
      <c r="BF81" s="49">
        <f>SUMIFS(Banco[Monto],Banco[CtaCtbl],$C81,Banco[Periodo Contable],TEXT(BF$3,"mmm-yyyy"))</f>
        <v>0</v>
      </c>
      <c r="BG81" s="49">
        <f>SUMIFS(Banco[Monto],Banco[CtaCtbl],$C81,Banco[Periodo Contable],TEXT(BG$3,"mmm-yyyy"))</f>
        <v>0</v>
      </c>
      <c r="BH81" s="49">
        <f>SUMIFS(Banco[Monto],Banco[CtaCtbl],$C81,Banco[Periodo Contable],TEXT(BH$3,"mmm-yyyy"))</f>
        <v>0</v>
      </c>
      <c r="BI81" s="232">
        <f>SUM(Tabla17[[#This Row],[ene-25]:[dic-25]])</f>
        <v>0</v>
      </c>
      <c r="BJ81" s="49">
        <f>SUMIFS(Banco[Monto],Banco[CtaCtbl],$C81,Banco[Periodo Contable],TEXT(BJ$3,"mmm-yyyy"))</f>
        <v>0</v>
      </c>
      <c r="BK81" s="49">
        <f>SUMIFS(Banco[Monto],Banco[CtaCtbl],$C81,Banco[Periodo Contable],TEXT(BK$3,"mmm-yyyy"))</f>
        <v>0</v>
      </c>
      <c r="BL81" s="49">
        <f>SUMIFS(Banco[Monto],Banco[CtaCtbl],$C81,Banco[Periodo Contable],TEXT(BL$3,"mmm-yyyy"))</f>
        <v>0</v>
      </c>
      <c r="BM81" s="49">
        <f>SUMIFS(Banco[Monto],Banco[CtaCtbl],$C81,Banco[Periodo Contable],TEXT(BM$3,"mmm-yyyy"))</f>
        <v>0</v>
      </c>
      <c r="BN81" s="49">
        <f>SUMIFS(Banco[Monto],Banco[CtaCtbl],$C81,Banco[Periodo Contable],TEXT(BN$3,"mmm-yyyy"))</f>
        <v>0</v>
      </c>
      <c r="BO81" s="49">
        <f>SUMIFS(Banco[Monto],Banco[CtaCtbl],$C81,Banco[Periodo Contable],TEXT(BO$3,"mmm-yyyy"))</f>
        <v>0</v>
      </c>
      <c r="BP81" s="49">
        <f>SUMIFS(Banco[Monto],Banco[CtaCtbl],$C81,Banco[Periodo Contable],TEXT(BP$3,"mmm-yyyy"))</f>
        <v>0</v>
      </c>
      <c r="BQ81" s="49">
        <f>SUMIFS(Banco[Monto],Banco[CtaCtbl],$C81,Banco[Periodo Contable],TEXT(BQ$3,"mmm-yyyy"))</f>
        <v>0</v>
      </c>
      <c r="BR81" s="49">
        <f>SUMIFS(Banco[Monto],Banco[CtaCtbl],$C81,Banco[Periodo Contable],TEXT(BR$3,"mmm-yyyy"))</f>
        <v>0</v>
      </c>
      <c r="BS81" s="49">
        <f>SUMIFS(Banco[Monto],Banco[CtaCtbl],$C81,Banco[Periodo Contable],TEXT(BS$3,"mmm-yyyy"))</f>
        <v>0</v>
      </c>
      <c r="BT81" s="49">
        <f>SUMIFS(Banco[Monto],Banco[CtaCtbl],$C81,Banco[Periodo Contable],TEXT(BT$3,"mmm-yyyy"))</f>
        <v>0</v>
      </c>
      <c r="BU81" s="49">
        <f>SUMIFS(Banco[Monto],Banco[CtaCtbl],$C81,Banco[Periodo Contable],TEXT(BU$3,"mmm-yyyy"))</f>
        <v>0</v>
      </c>
      <c r="BV81" s="232">
        <f>SUM(Tabla17[[#This Row],[ene-26]:[dic-26]])</f>
        <v>0</v>
      </c>
      <c r="BW81" s="49">
        <f>SUMIFS(Banco[Monto],Banco[CtaCtbl],$C81,Banco[Periodo Contable],TEXT(BW$3,"mmm-yyyy"))</f>
        <v>0</v>
      </c>
    </row>
    <row r="82" spans="1:75" ht="21.6" outlineLevel="2">
      <c r="A82" s="36" t="s">
        <v>388</v>
      </c>
      <c r="B82" s="25" t="s">
        <v>389</v>
      </c>
      <c r="C82" s="22" t="str">
        <f>+Tabla17[[#This Row],[Cuenta]]&amp;" - "&amp;Tabla17[[#This Row],[Descripcion Cuenta]]</f>
        <v>2.02.09 - Arriendo Inmuebles</v>
      </c>
      <c r="D82" s="37"/>
      <c r="E82" s="49">
        <f>SUMIFS(Banco[Monto],Banco[CtaCtbl],$C82,Banco[Periodo Contable],TEXT(E$3,"mmm-yyyy"))</f>
        <v>0</v>
      </c>
      <c r="F82" s="49">
        <f>SUMIFS(Banco[Monto],Banco[CtaCtbl],$C82,Banco[Periodo Contable],TEXT(F$3,"mmm-yyyy"))</f>
        <v>0</v>
      </c>
      <c r="G82" s="49">
        <f>SUMIFS(Banco[Monto],Banco[CtaCtbl],$C82,Banco[Periodo Contable],TEXT(G$3,"mmm-yyyy"))</f>
        <v>0</v>
      </c>
      <c r="H82" s="49">
        <f>SUMIFS(Banco[Monto],Banco[CtaCtbl],$C82,Banco[Periodo Contable],TEXT(H$3,"mmm-yyyy"))</f>
        <v>0</v>
      </c>
      <c r="I82" s="49">
        <f>SUM(Tabla17[[#This Row],[sept-21]:[dic-21]])</f>
        <v>0</v>
      </c>
      <c r="J82" s="49">
        <f>SUMIFS(Banco[Monto],Banco[CtaCtbl],$C82,Banco[Periodo Contable],TEXT(J$3,"mmm-yyyy"))</f>
        <v>0</v>
      </c>
      <c r="K82" s="49">
        <f>SUMIFS(Banco[Monto],Banco[CtaCtbl],$C82,Banco[Periodo Contable],TEXT(K$3,"mmm-yyyy"))</f>
        <v>0</v>
      </c>
      <c r="L82" s="49">
        <f>SUMIFS(Banco[Monto],Banco[CtaCtbl],$C82,Banco[Periodo Contable],TEXT(L$3,"mmm-yyyy"))</f>
        <v>0</v>
      </c>
      <c r="M82" s="49">
        <f>SUMIFS(Banco[Monto],Banco[CtaCtbl],$C82,Banco[Periodo Contable],TEXT(M$3,"mmm-yyyy"))</f>
        <v>0</v>
      </c>
      <c r="N82" s="49">
        <f>SUMIFS(Banco[Monto],Banco[CtaCtbl],$C82,Banco[Periodo Contable],TEXT(N$3,"mmm-yyyy"))</f>
        <v>0</v>
      </c>
      <c r="O82" s="49">
        <f>SUMIFS(Banco[Monto],Banco[CtaCtbl],$C82,Banco[Periodo Contable],TEXT(O$3,"mmm-yyyy"))</f>
        <v>0</v>
      </c>
      <c r="P82" s="49">
        <f>SUMIFS(Banco[Monto],Banco[CtaCtbl],$C82,Banco[Periodo Contable],TEXT(P$3,"mmm-yyyy"))</f>
        <v>0</v>
      </c>
      <c r="Q82" s="49">
        <f>SUMIFS(Banco[Monto],Banco[CtaCtbl],$C82,Banco[Periodo Contable],TEXT(Q$3,"mmm-yyyy"))</f>
        <v>0</v>
      </c>
      <c r="R82" s="49">
        <f>SUMIFS(Banco[Monto],Banco[CtaCtbl],$C82,Banco[Periodo Contable],TEXT(R$3,"mmm-yyyy"))</f>
        <v>0</v>
      </c>
      <c r="S82" s="49">
        <f>SUMIFS(Banco[Monto],Banco[CtaCtbl],$C82,Banco[Periodo Contable],TEXT(S$3,"mmm-yyyy"))</f>
        <v>0</v>
      </c>
      <c r="T82" s="49">
        <f>SUMIFS(Banco[Monto],Banco[CtaCtbl],$C82,Banco[Periodo Contable],TEXT(T$3,"mmm-yyyy"))</f>
        <v>0</v>
      </c>
      <c r="U82" s="49">
        <f>SUMIFS(Banco[Monto],Banco[CtaCtbl],$C82,Banco[Periodo Contable],TEXT(U$3,"mmm-yyyy"))</f>
        <v>0</v>
      </c>
      <c r="V82" s="300">
        <f>SUM(Tabla17[[#This Row],[ene-22]:[dic-22]])</f>
        <v>0</v>
      </c>
      <c r="W82" s="49">
        <f>SUMIFS(Banco[Monto],Banco[CtaCtbl],$C82,Banco[Periodo Contable],TEXT(W$3,"mmm-yyyy"))</f>
        <v>0</v>
      </c>
      <c r="X82" s="49">
        <f>SUMIFS(Banco[Monto],Banco[CtaCtbl],$C82,Banco[Periodo Contable],TEXT(X$3,"mmm-yyyy"))</f>
        <v>0</v>
      </c>
      <c r="Y82" s="49">
        <f>SUMIFS(Banco[Monto],Banco[CtaCtbl],$C82,Banco[Periodo Contable],TEXT(Y$3,"mmm-yyyy"))</f>
        <v>0</v>
      </c>
      <c r="Z82" s="49">
        <f>SUMIFS(Banco[Monto],Banco[CtaCtbl],$C82,Banco[Periodo Contable],TEXT(Z$3,"mmm-yyyy"))</f>
        <v>0</v>
      </c>
      <c r="AA82" s="49">
        <f>SUMIFS(Banco[Monto],Banco[CtaCtbl],$C82,Banco[Periodo Contable],TEXT(AA$3,"mmm-yyyy"))</f>
        <v>0</v>
      </c>
      <c r="AB82" s="49">
        <f>SUMIFS(Banco[Monto],Banco[CtaCtbl],$C82,Banco[Periodo Contable],TEXT(AB$3,"mmm-yyyy"))</f>
        <v>0</v>
      </c>
      <c r="AC82" s="49">
        <f>SUMIFS(Banco[Monto],Banco[CtaCtbl],$C82,Banco[Periodo Contable],TEXT(AC$3,"mmm-yyyy"))</f>
        <v>0</v>
      </c>
      <c r="AD82" s="49">
        <f>SUMIFS(Banco[Monto],Banco[CtaCtbl],$C82,Banco[Periodo Contable],TEXT(AD$3,"mmm-yyyy"))</f>
        <v>0</v>
      </c>
      <c r="AE82" s="49">
        <f>SUMIFS(Banco[Monto],Banco[CtaCtbl],$C82,Banco[Periodo Contable],TEXT(AE$3,"mmm-yyyy"))</f>
        <v>0</v>
      </c>
      <c r="AF82" s="49">
        <f>SUMIFS(Banco[Monto],Banco[CtaCtbl],$C82,Banco[Periodo Contable],TEXT(AF$3,"mmm-yyyy"))</f>
        <v>0</v>
      </c>
      <c r="AG82" s="49">
        <f>SUMIFS(Banco[Monto],Banco[CtaCtbl],$C82,Banco[Periodo Contable],TEXT(AG$3,"mmm-yyyy"))</f>
        <v>0</v>
      </c>
      <c r="AH82" s="49">
        <f>SUMIFS(Banco[Monto],Banco[CtaCtbl],$C82,Banco[Periodo Contable],TEXT(AH$3,"mmm-yyyy"))</f>
        <v>0</v>
      </c>
      <c r="AI82" s="300">
        <f>SUM(Tabla17[[#This Row],[ene-23]:[dic-23]])</f>
        <v>0</v>
      </c>
      <c r="AJ82" s="49">
        <f>SUMIFS(Banco[Monto],Banco[CtaCtbl],$C82,Banco[Periodo Contable],TEXT(AJ$3,"mmm-yyyy"))</f>
        <v>0</v>
      </c>
      <c r="AK82" s="49">
        <f>SUMIFS(Banco[Monto],Banco[CtaCtbl],$C82,Banco[Periodo Contable],TEXT(AK$3,"mmm-yyyy"))</f>
        <v>0</v>
      </c>
      <c r="AL82" s="49">
        <f>SUMIFS(Banco[Monto],Banco[CtaCtbl],$C82,Banco[Periodo Contable],TEXT(AL$3,"mmm-yyyy"))</f>
        <v>0</v>
      </c>
      <c r="AM82" s="49">
        <f>SUMIFS(Banco[Monto],Banco[CtaCtbl],$C82,Banco[Periodo Contable],TEXT(AM$3,"mmm-yyyy"))</f>
        <v>0</v>
      </c>
      <c r="AN82" s="49">
        <f>SUMIFS(Banco[Monto],Banco[CtaCtbl],$C82,Banco[Periodo Contable],TEXT(AN$3,"mmm-yyyy"))</f>
        <v>0</v>
      </c>
      <c r="AO82" s="49">
        <f>SUMIFS(Banco[Monto],Banco[CtaCtbl],$C82,Banco[Periodo Contable],TEXT(AO$3,"mmm-yyyy"))</f>
        <v>0</v>
      </c>
      <c r="AP82" s="49">
        <f>SUMIFS(Banco[Monto],Banco[CtaCtbl],$C82,Banco[Periodo Contable],TEXT(AP$3,"mmm-yyyy"))</f>
        <v>0</v>
      </c>
      <c r="AQ82" s="49">
        <f>SUMIFS(Banco[Monto],Banco[CtaCtbl],$C82,Banco[Periodo Contable],TEXT(AQ$3,"mmm-yyyy"))</f>
        <v>0</v>
      </c>
      <c r="AR82" s="49">
        <f>SUMIFS(Banco[Monto],Banco[CtaCtbl],$C82,Banco[Periodo Contable],TEXT(AR$3,"mmm-yyyy"))</f>
        <v>0</v>
      </c>
      <c r="AS82" s="49">
        <f>SUMIFS(Banco[Monto],Banco[CtaCtbl],$C82,Banco[Periodo Contable],TEXT(AS$3,"mmm-yyyy"))</f>
        <v>0</v>
      </c>
      <c r="AT82" s="49">
        <f>SUMIFS(Banco[Monto],Banco[CtaCtbl],$C82,Banco[Periodo Contable],TEXT(AT$3,"mmm-yyyy"))</f>
        <v>0</v>
      </c>
      <c r="AU82" s="49">
        <f>SUMIFS(Banco[Monto],Banco[CtaCtbl],$C82,Banco[Periodo Contable],TEXT(AU$3,"mmm-yyyy"))</f>
        <v>0</v>
      </c>
      <c r="AV82" s="300">
        <f>SUM(Tabla17[[#This Row],[ene-24]:[dic-24]])</f>
        <v>0</v>
      </c>
      <c r="AW82" s="49">
        <f>SUMIFS(Banco[Monto],Banco[CtaCtbl],$C82,Banco[Periodo Contable],TEXT(AW$3,"mmm-yyyy"))</f>
        <v>0</v>
      </c>
      <c r="AX82" s="49">
        <f>SUMIFS(Banco[Monto],Banco[CtaCtbl],$C82,Banco[Periodo Contable],TEXT(AX$3,"mmm-yyyy"))</f>
        <v>0</v>
      </c>
      <c r="AY82" s="49">
        <f>SUMIFS(Banco[Monto],Banco[CtaCtbl],$C82,Banco[Periodo Contable],TEXT(AY$3,"mmm-yyyy"))</f>
        <v>0</v>
      </c>
      <c r="AZ82" s="49">
        <f>SUMIFS(Banco[Monto],Banco[CtaCtbl],$C82,Banco[Periodo Contable],TEXT(AZ$3,"mmm-yyyy"))</f>
        <v>0</v>
      </c>
      <c r="BA82" s="49">
        <f>SUMIFS(Banco[Monto],Banco[CtaCtbl],$C82,Banco[Periodo Contable],TEXT(BA$3,"mmm-yyyy"))</f>
        <v>0</v>
      </c>
      <c r="BB82" s="49">
        <f>SUMIFS(Banco[Monto],Banco[CtaCtbl],$C82,Banco[Periodo Contable],TEXT(BB$3,"mmm-yyyy"))</f>
        <v>0</v>
      </c>
      <c r="BC82" s="49">
        <f>SUMIFS(Banco[Monto],Banco[CtaCtbl],$C82,Banco[Periodo Contable],TEXT(BC$3,"mmm-yyyy"))</f>
        <v>0</v>
      </c>
      <c r="BD82" s="49">
        <f>SUMIFS(Banco[Monto],Banco[CtaCtbl],$C82,Banco[Periodo Contable],TEXT(BD$3,"mmm-yyyy"))</f>
        <v>0</v>
      </c>
      <c r="BE82" s="49">
        <f>SUMIFS(Banco[Monto],Banco[CtaCtbl],$C82,Banco[Periodo Contable],TEXT(BE$3,"mmm-yyyy"))</f>
        <v>0</v>
      </c>
      <c r="BF82" s="49">
        <f>SUMIFS(Banco[Monto],Banco[CtaCtbl],$C82,Banco[Periodo Contable],TEXT(BF$3,"mmm-yyyy"))</f>
        <v>0</v>
      </c>
      <c r="BG82" s="49">
        <f>SUMIFS(Banco[Monto],Banco[CtaCtbl],$C82,Banco[Periodo Contable],TEXT(BG$3,"mmm-yyyy"))</f>
        <v>0</v>
      </c>
      <c r="BH82" s="49">
        <f>SUMIFS(Banco[Monto],Banco[CtaCtbl],$C82,Banco[Periodo Contable],TEXT(BH$3,"mmm-yyyy"))</f>
        <v>0</v>
      </c>
      <c r="BI82" s="232">
        <f>SUM(Tabla17[[#This Row],[ene-25]:[dic-25]])</f>
        <v>0</v>
      </c>
      <c r="BJ82" s="49">
        <f>SUMIFS(Banco[Monto],Banco[CtaCtbl],$C82,Banco[Periodo Contable],TEXT(BJ$3,"mmm-yyyy"))</f>
        <v>0</v>
      </c>
      <c r="BK82" s="49">
        <f>SUMIFS(Banco[Monto],Banco[CtaCtbl],$C82,Banco[Periodo Contable],TEXT(BK$3,"mmm-yyyy"))</f>
        <v>0</v>
      </c>
      <c r="BL82" s="49">
        <f>SUMIFS(Banco[Monto],Banco[CtaCtbl],$C82,Banco[Periodo Contable],TEXT(BL$3,"mmm-yyyy"))</f>
        <v>0</v>
      </c>
      <c r="BM82" s="49">
        <f>SUMIFS(Banco[Monto],Banco[CtaCtbl],$C82,Banco[Periodo Contable],TEXT(BM$3,"mmm-yyyy"))</f>
        <v>0</v>
      </c>
      <c r="BN82" s="49">
        <f>SUMIFS(Banco[Monto],Banco[CtaCtbl],$C82,Banco[Periodo Contable],TEXT(BN$3,"mmm-yyyy"))</f>
        <v>0</v>
      </c>
      <c r="BO82" s="49">
        <f>SUMIFS(Banco[Monto],Banco[CtaCtbl],$C82,Banco[Periodo Contable],TEXT(BO$3,"mmm-yyyy"))</f>
        <v>0</v>
      </c>
      <c r="BP82" s="49">
        <f>SUMIFS(Banco[Monto],Banco[CtaCtbl],$C82,Banco[Periodo Contable],TEXT(BP$3,"mmm-yyyy"))</f>
        <v>0</v>
      </c>
      <c r="BQ82" s="49">
        <f>SUMIFS(Banco[Monto],Banco[CtaCtbl],$C82,Banco[Periodo Contable],TEXT(BQ$3,"mmm-yyyy"))</f>
        <v>0</v>
      </c>
      <c r="BR82" s="49">
        <f>SUMIFS(Banco[Monto],Banco[CtaCtbl],$C82,Banco[Periodo Contable],TEXT(BR$3,"mmm-yyyy"))</f>
        <v>0</v>
      </c>
      <c r="BS82" s="49">
        <f>SUMIFS(Banco[Monto],Banco[CtaCtbl],$C82,Banco[Periodo Contable],TEXT(BS$3,"mmm-yyyy"))</f>
        <v>0</v>
      </c>
      <c r="BT82" s="49">
        <f>SUMIFS(Banco[Monto],Banco[CtaCtbl],$C82,Banco[Periodo Contable],TEXT(BT$3,"mmm-yyyy"))</f>
        <v>0</v>
      </c>
      <c r="BU82" s="49">
        <f>SUMIFS(Banco[Monto],Banco[CtaCtbl],$C82,Banco[Periodo Contable],TEXT(BU$3,"mmm-yyyy"))</f>
        <v>0</v>
      </c>
      <c r="BV82" s="232">
        <f>SUM(Tabla17[[#This Row],[ene-26]:[dic-26]])</f>
        <v>0</v>
      </c>
      <c r="BW82" s="49">
        <f>SUMIFS(Banco[Monto],Banco[CtaCtbl],$C82,Banco[Periodo Contable],TEXT(BW$3,"mmm-yyyy"))</f>
        <v>0</v>
      </c>
    </row>
    <row r="83" spans="1:75" ht="21.6" outlineLevel="2">
      <c r="A83" s="36" t="s">
        <v>391</v>
      </c>
      <c r="B83" s="25"/>
      <c r="C83" s="22" t="str">
        <f>+Tabla17[[#This Row],[Cuenta]]&amp;" - "&amp;Tabla17[[#This Row],[Descripcion Cuenta]]</f>
        <v xml:space="preserve">2.02.11 - </v>
      </c>
      <c r="D83" s="37"/>
      <c r="E83" s="49">
        <f>SUMIFS(Banco[Monto],Banco[CtaCtbl],$C83,Banco[Periodo Contable],TEXT(E$3,"mmm-yyyy"))</f>
        <v>0</v>
      </c>
      <c r="F83" s="49">
        <f>SUMIFS(Banco[Monto],Banco[CtaCtbl],$C83,Banco[Periodo Contable],TEXT(F$3,"mmm-yyyy"))</f>
        <v>0</v>
      </c>
      <c r="G83" s="49">
        <f>SUMIFS(Banco[Monto],Banco[CtaCtbl],$C83,Banco[Periodo Contable],TEXT(G$3,"mmm-yyyy"))</f>
        <v>0</v>
      </c>
      <c r="H83" s="49">
        <f>SUMIFS(Banco[Monto],Banco[CtaCtbl],$C83,Banco[Periodo Contable],TEXT(H$3,"mmm-yyyy"))</f>
        <v>0</v>
      </c>
      <c r="I83" s="49">
        <f>SUM(Tabla17[[#This Row],[sept-21]:[dic-21]])</f>
        <v>0</v>
      </c>
      <c r="J83" s="49">
        <f>SUMIFS(Banco[Monto],Banco[CtaCtbl],$C83,Banco[Periodo Contable],TEXT(J$3,"mmm-yyyy"))</f>
        <v>0</v>
      </c>
      <c r="K83" s="49">
        <f>SUMIFS(Banco[Monto],Banco[CtaCtbl],$C83,Banco[Periodo Contable],TEXT(K$3,"mmm-yyyy"))</f>
        <v>0</v>
      </c>
      <c r="L83" s="49">
        <f>SUMIFS(Banco[Monto],Banco[CtaCtbl],$C83,Banco[Periodo Contable],TEXT(L$3,"mmm-yyyy"))</f>
        <v>0</v>
      </c>
      <c r="M83" s="49">
        <f>SUMIFS(Banco[Monto],Banco[CtaCtbl],$C83,Banco[Periodo Contable],TEXT(M$3,"mmm-yyyy"))</f>
        <v>0</v>
      </c>
      <c r="N83" s="49">
        <f>SUMIFS(Banco[Monto],Banco[CtaCtbl],$C83,Banco[Periodo Contable],TEXT(N$3,"mmm-yyyy"))</f>
        <v>0</v>
      </c>
      <c r="O83" s="49">
        <f>SUMIFS(Banco[Monto],Banco[CtaCtbl],$C83,Banco[Periodo Contable],TEXT(O$3,"mmm-yyyy"))</f>
        <v>0</v>
      </c>
      <c r="P83" s="49">
        <f>SUMIFS(Banco[Monto],Banco[CtaCtbl],$C83,Banco[Periodo Contable],TEXT(P$3,"mmm-yyyy"))</f>
        <v>0</v>
      </c>
      <c r="Q83" s="49">
        <f>SUMIFS(Banco[Monto],Banco[CtaCtbl],$C83,Banco[Periodo Contable],TEXT(Q$3,"mmm-yyyy"))</f>
        <v>0</v>
      </c>
      <c r="R83" s="49">
        <f>SUMIFS(Banco[Monto],Banco[CtaCtbl],$C83,Banco[Periodo Contable],TEXT(R$3,"mmm-yyyy"))</f>
        <v>0</v>
      </c>
      <c r="S83" s="49">
        <f>SUMIFS(Banco[Monto],Banco[CtaCtbl],$C83,Banco[Periodo Contable],TEXT(S$3,"mmm-yyyy"))</f>
        <v>0</v>
      </c>
      <c r="T83" s="49">
        <f>SUMIFS(Banco[Monto],Banco[CtaCtbl],$C83,Banco[Periodo Contable],TEXT(T$3,"mmm-yyyy"))</f>
        <v>0</v>
      </c>
      <c r="U83" s="49">
        <f>SUMIFS(Banco[Monto],Banco[CtaCtbl],$C83,Banco[Periodo Contable],TEXT(U$3,"mmm-yyyy"))</f>
        <v>0</v>
      </c>
      <c r="V83" s="300">
        <f>SUM(Tabla17[[#This Row],[ene-22]:[dic-22]])</f>
        <v>0</v>
      </c>
      <c r="W83" s="49">
        <f>SUMIFS(Banco[Monto],Banco[CtaCtbl],$C83,Banco[Periodo Contable],TEXT(W$3,"mmm-yyyy"))</f>
        <v>0</v>
      </c>
      <c r="X83" s="49">
        <f>SUMIFS(Banco[Monto],Banco[CtaCtbl],$C83,Banco[Periodo Contable],TEXT(X$3,"mmm-yyyy"))</f>
        <v>0</v>
      </c>
      <c r="Y83" s="49">
        <f>SUMIFS(Banco[Monto],Banco[CtaCtbl],$C83,Banco[Periodo Contable],TEXT(Y$3,"mmm-yyyy"))</f>
        <v>0</v>
      </c>
      <c r="Z83" s="49">
        <f>SUMIFS(Banco[Monto],Banco[CtaCtbl],$C83,Banco[Periodo Contable],TEXT(Z$3,"mmm-yyyy"))</f>
        <v>0</v>
      </c>
      <c r="AA83" s="49">
        <f>SUMIFS(Banco[Monto],Banco[CtaCtbl],$C83,Banco[Periodo Contable],TEXT(AA$3,"mmm-yyyy"))</f>
        <v>0</v>
      </c>
      <c r="AB83" s="49">
        <f>SUMIFS(Banco[Monto],Banco[CtaCtbl],$C83,Banco[Periodo Contable],TEXT(AB$3,"mmm-yyyy"))</f>
        <v>0</v>
      </c>
      <c r="AC83" s="49">
        <f>SUMIFS(Banco[Monto],Banco[CtaCtbl],$C83,Banco[Periodo Contable],TEXT(AC$3,"mmm-yyyy"))</f>
        <v>0</v>
      </c>
      <c r="AD83" s="49">
        <f>SUMIFS(Banco[Monto],Banco[CtaCtbl],$C83,Banco[Periodo Contable],TEXT(AD$3,"mmm-yyyy"))</f>
        <v>0</v>
      </c>
      <c r="AE83" s="49">
        <f>SUMIFS(Banco[Monto],Banco[CtaCtbl],$C83,Banco[Periodo Contable],TEXT(AE$3,"mmm-yyyy"))</f>
        <v>0</v>
      </c>
      <c r="AF83" s="49">
        <f>SUMIFS(Banco[Monto],Banco[CtaCtbl],$C83,Banco[Periodo Contable],TEXT(AF$3,"mmm-yyyy"))</f>
        <v>0</v>
      </c>
      <c r="AG83" s="49">
        <f>SUMIFS(Banco[Monto],Banco[CtaCtbl],$C83,Banco[Periodo Contable],TEXT(AG$3,"mmm-yyyy"))</f>
        <v>0</v>
      </c>
      <c r="AH83" s="49">
        <f>SUMIFS(Banco[Monto],Banco[CtaCtbl],$C83,Banco[Periodo Contable],TEXT(AH$3,"mmm-yyyy"))</f>
        <v>0</v>
      </c>
      <c r="AI83" s="300">
        <f>SUM(Tabla17[[#This Row],[ene-23]:[dic-23]])</f>
        <v>0</v>
      </c>
      <c r="AJ83" s="49">
        <f>SUMIFS(Banco[Monto],Banco[CtaCtbl],$C83,Banco[Periodo Contable],TEXT(AJ$3,"mmm-yyyy"))</f>
        <v>0</v>
      </c>
      <c r="AK83" s="49">
        <f>SUMIFS(Banco[Monto],Banco[CtaCtbl],$C83,Banco[Periodo Contable],TEXT(AK$3,"mmm-yyyy"))</f>
        <v>0</v>
      </c>
      <c r="AL83" s="49">
        <f>SUMIFS(Banco[Monto],Banco[CtaCtbl],$C83,Banco[Periodo Contable],TEXT(AL$3,"mmm-yyyy"))</f>
        <v>0</v>
      </c>
      <c r="AM83" s="49">
        <f>SUMIFS(Banco[Monto],Banco[CtaCtbl],$C83,Banco[Periodo Contable],TEXT(AM$3,"mmm-yyyy"))</f>
        <v>0</v>
      </c>
      <c r="AN83" s="49">
        <f>SUMIFS(Banco[Monto],Banco[CtaCtbl],$C83,Banco[Periodo Contable],TEXT(AN$3,"mmm-yyyy"))</f>
        <v>0</v>
      </c>
      <c r="AO83" s="49">
        <f>SUMIFS(Banco[Monto],Banco[CtaCtbl],$C83,Banco[Periodo Contable],TEXT(AO$3,"mmm-yyyy"))</f>
        <v>0</v>
      </c>
      <c r="AP83" s="49">
        <f>SUMIFS(Banco[Monto],Banco[CtaCtbl],$C83,Banco[Periodo Contable],TEXT(AP$3,"mmm-yyyy"))</f>
        <v>0</v>
      </c>
      <c r="AQ83" s="49">
        <f>SUMIFS(Banco[Monto],Banco[CtaCtbl],$C83,Banco[Periodo Contable],TEXT(AQ$3,"mmm-yyyy"))</f>
        <v>0</v>
      </c>
      <c r="AR83" s="49">
        <f>SUMIFS(Banco[Monto],Banco[CtaCtbl],$C83,Banco[Periodo Contable],TEXT(AR$3,"mmm-yyyy"))</f>
        <v>0</v>
      </c>
      <c r="AS83" s="49">
        <f>SUMIFS(Banco[Monto],Banco[CtaCtbl],$C83,Banco[Periodo Contable],TEXT(AS$3,"mmm-yyyy"))</f>
        <v>0</v>
      </c>
      <c r="AT83" s="49">
        <f>SUMIFS(Banco[Monto],Banco[CtaCtbl],$C83,Banco[Periodo Contable],TEXT(AT$3,"mmm-yyyy"))</f>
        <v>0</v>
      </c>
      <c r="AU83" s="49">
        <f>SUMIFS(Banco[Monto],Banco[CtaCtbl],$C83,Banco[Periodo Contable],TEXT(AU$3,"mmm-yyyy"))</f>
        <v>0</v>
      </c>
      <c r="AV83" s="300">
        <f>SUM(Tabla17[[#This Row],[ene-24]:[dic-24]])</f>
        <v>0</v>
      </c>
      <c r="AW83" s="49">
        <f>SUMIFS(Banco[Monto],Banco[CtaCtbl],$C83,Banco[Periodo Contable],TEXT(AW$3,"mmm-yyyy"))</f>
        <v>0</v>
      </c>
      <c r="AX83" s="49">
        <f>SUMIFS(Banco[Monto],Banco[CtaCtbl],$C83,Banco[Periodo Contable],TEXT(AX$3,"mmm-yyyy"))</f>
        <v>0</v>
      </c>
      <c r="AY83" s="49">
        <f>SUMIFS(Banco[Monto],Banco[CtaCtbl],$C83,Banco[Periodo Contable],TEXT(AY$3,"mmm-yyyy"))</f>
        <v>0</v>
      </c>
      <c r="AZ83" s="49">
        <f>SUMIFS(Banco[Monto],Banco[CtaCtbl],$C83,Banco[Periodo Contable],TEXT(AZ$3,"mmm-yyyy"))</f>
        <v>0</v>
      </c>
      <c r="BA83" s="49">
        <f>SUMIFS(Banco[Monto],Banco[CtaCtbl],$C83,Banco[Periodo Contable],TEXT(BA$3,"mmm-yyyy"))</f>
        <v>0</v>
      </c>
      <c r="BB83" s="49">
        <f>SUMIFS(Banco[Monto],Banco[CtaCtbl],$C83,Banco[Periodo Contable],TEXT(BB$3,"mmm-yyyy"))</f>
        <v>0</v>
      </c>
      <c r="BC83" s="49">
        <f>SUMIFS(Banco[Monto],Banco[CtaCtbl],$C83,Banco[Periodo Contable],TEXT(BC$3,"mmm-yyyy"))</f>
        <v>0</v>
      </c>
      <c r="BD83" s="49">
        <f>SUMIFS(Banco[Monto],Banco[CtaCtbl],$C83,Banco[Periodo Contable],TEXT(BD$3,"mmm-yyyy"))</f>
        <v>0</v>
      </c>
      <c r="BE83" s="49">
        <f>SUMIFS(Banco[Monto],Banco[CtaCtbl],$C83,Banco[Periodo Contable],TEXT(BE$3,"mmm-yyyy"))</f>
        <v>0</v>
      </c>
      <c r="BF83" s="49">
        <f>SUMIFS(Banco[Monto],Banco[CtaCtbl],$C83,Banco[Periodo Contable],TEXT(BF$3,"mmm-yyyy"))</f>
        <v>0</v>
      </c>
      <c r="BG83" s="49">
        <f>SUMIFS(Banco[Monto],Banco[CtaCtbl],$C83,Banco[Periodo Contable],TEXT(BG$3,"mmm-yyyy"))</f>
        <v>0</v>
      </c>
      <c r="BH83" s="49">
        <f>SUMIFS(Banco[Monto],Banco[CtaCtbl],$C83,Banco[Periodo Contable],TEXT(BH$3,"mmm-yyyy"))</f>
        <v>0</v>
      </c>
      <c r="BI83" s="232">
        <f>SUM(Tabla17[[#This Row],[ene-25]:[dic-25]])</f>
        <v>0</v>
      </c>
      <c r="BJ83" s="49">
        <f>SUMIFS(Banco[Monto],Banco[CtaCtbl],$C83,Banco[Periodo Contable],TEXT(BJ$3,"mmm-yyyy"))</f>
        <v>0</v>
      </c>
      <c r="BK83" s="49">
        <f>SUMIFS(Banco[Monto],Banco[CtaCtbl],$C83,Banco[Periodo Contable],TEXT(BK$3,"mmm-yyyy"))</f>
        <v>0</v>
      </c>
      <c r="BL83" s="49">
        <f>SUMIFS(Banco[Monto],Banco[CtaCtbl],$C83,Banco[Periodo Contable],TEXT(BL$3,"mmm-yyyy"))</f>
        <v>0</v>
      </c>
      <c r="BM83" s="49">
        <f>SUMIFS(Banco[Monto],Banco[CtaCtbl],$C83,Banco[Periodo Contable],TEXT(BM$3,"mmm-yyyy"))</f>
        <v>0</v>
      </c>
      <c r="BN83" s="49">
        <f>SUMIFS(Banco[Monto],Banco[CtaCtbl],$C83,Banco[Periodo Contable],TEXT(BN$3,"mmm-yyyy"))</f>
        <v>0</v>
      </c>
      <c r="BO83" s="49">
        <f>SUMIFS(Banco[Monto],Banco[CtaCtbl],$C83,Banco[Periodo Contable],TEXT(BO$3,"mmm-yyyy"))</f>
        <v>0</v>
      </c>
      <c r="BP83" s="49">
        <f>SUMIFS(Banco[Monto],Banco[CtaCtbl],$C83,Banco[Periodo Contable],TEXT(BP$3,"mmm-yyyy"))</f>
        <v>0</v>
      </c>
      <c r="BQ83" s="49">
        <f>SUMIFS(Banco[Monto],Banco[CtaCtbl],$C83,Banco[Periodo Contable],TEXT(BQ$3,"mmm-yyyy"))</f>
        <v>0</v>
      </c>
      <c r="BR83" s="49">
        <f>SUMIFS(Banco[Monto],Banco[CtaCtbl],$C83,Banco[Periodo Contable],TEXT(BR$3,"mmm-yyyy"))</f>
        <v>0</v>
      </c>
      <c r="BS83" s="49">
        <f>SUMIFS(Banco[Monto],Banco[CtaCtbl],$C83,Banco[Periodo Contable],TEXT(BS$3,"mmm-yyyy"))</f>
        <v>0</v>
      </c>
      <c r="BT83" s="49">
        <f>SUMIFS(Banco[Monto],Banco[CtaCtbl],$C83,Banco[Periodo Contable],TEXT(BT$3,"mmm-yyyy"))</f>
        <v>0</v>
      </c>
      <c r="BU83" s="49">
        <f>SUMIFS(Banco[Monto],Banco[CtaCtbl],$C83,Banco[Periodo Contable],TEXT(BU$3,"mmm-yyyy"))</f>
        <v>0</v>
      </c>
      <c r="BV83" s="232">
        <f>SUM(Tabla17[[#This Row],[ene-26]:[dic-26]])</f>
        <v>0</v>
      </c>
      <c r="BW83" s="49">
        <f>SUMIFS(Banco[Monto],Banco[CtaCtbl],$C83,Banco[Periodo Contable],TEXT(BW$3,"mmm-yyyy"))</f>
        <v>0</v>
      </c>
    </row>
    <row r="84" spans="1:75" ht="21.6">
      <c r="A84" s="29">
        <v>3</v>
      </c>
      <c r="B84" s="13" t="s">
        <v>392</v>
      </c>
      <c r="C84" s="13" t="str">
        <f>+Tabla17[[#This Row],[Cuenta]]&amp;" - "&amp;Tabla17[[#This Row],[Descripcion Cuenta]]</f>
        <v>3 - Banco</v>
      </c>
      <c r="D84" s="35"/>
      <c r="E84" s="42">
        <f>SUBTOTAL(9,E85:E99)</f>
        <v>0</v>
      </c>
      <c r="F84" s="42">
        <f t="shared" ref="F84:BW84" si="234">SUBTOTAL(9,F85:F99)</f>
        <v>0</v>
      </c>
      <c r="G84" s="42">
        <f t="shared" si="234"/>
        <v>0</v>
      </c>
      <c r="H84" s="42">
        <f t="shared" si="234"/>
        <v>-18312</v>
      </c>
      <c r="I84" s="42">
        <f>SUM(Tabla17[[#This Row],[sept-21]:[dic-21]])</f>
        <v>-18312</v>
      </c>
      <c r="J84" s="42">
        <f t="shared" si="234"/>
        <v>-18449</v>
      </c>
      <c r="K84" s="42">
        <f t="shared" si="234"/>
        <v>-18576</v>
      </c>
      <c r="L84" s="42">
        <f t="shared" si="234"/>
        <v>-18773</v>
      </c>
      <c r="M84" s="42">
        <f t="shared" si="234"/>
        <v>-18879</v>
      </c>
      <c r="N84" s="42">
        <f t="shared" si="234"/>
        <v>-19169</v>
      </c>
      <c r="O84" s="42">
        <f t="shared" si="234"/>
        <v>-19453</v>
      </c>
      <c r="P84" s="42">
        <f t="shared" si="234"/>
        <v>-19695</v>
      </c>
      <c r="Q84" s="42">
        <f t="shared" si="234"/>
        <v>-19888</v>
      </c>
      <c r="R84" s="42">
        <f t="shared" si="234"/>
        <v>-20142</v>
      </c>
      <c r="S84" s="42">
        <f t="shared" si="234"/>
        <v>-20409</v>
      </c>
      <c r="T84" s="42">
        <f t="shared" si="234"/>
        <v>-20599</v>
      </c>
      <c r="U84" s="42">
        <f t="shared" si="234"/>
        <v>-20717</v>
      </c>
      <c r="V84" s="42">
        <f t="shared" si="234"/>
        <v>-234749</v>
      </c>
      <c r="W84" s="42">
        <f t="shared" si="234"/>
        <v>-20911</v>
      </c>
      <c r="X84" s="42">
        <f t="shared" si="234"/>
        <v>-20998</v>
      </c>
      <c r="Y84" s="42">
        <f t="shared" si="234"/>
        <v>-21134</v>
      </c>
      <c r="Z84" s="42">
        <f t="shared" si="234"/>
        <v>-21165</v>
      </c>
      <c r="AA84" s="42">
        <f t="shared" si="234"/>
        <v>-21339</v>
      </c>
      <c r="AB84" s="42">
        <f t="shared" si="234"/>
        <v>-21441</v>
      </c>
      <c r="AC84" s="42">
        <f t="shared" si="234"/>
        <v>-50021476</v>
      </c>
      <c r="AD84" s="42">
        <f t="shared" si="234"/>
        <v>-21447</v>
      </c>
      <c r="AE84" s="42">
        <f t="shared" si="234"/>
        <v>-21500</v>
      </c>
      <c r="AF84" s="42">
        <f t="shared" si="234"/>
        <v>-21539</v>
      </c>
      <c r="AG84" s="42">
        <f t="shared" si="234"/>
        <v>-21660</v>
      </c>
      <c r="AH84" s="42">
        <f t="shared" si="234"/>
        <v>-21758</v>
      </c>
      <c r="AI84" s="42">
        <f t="shared" si="234"/>
        <v>-50256368</v>
      </c>
      <c r="AJ84" s="42">
        <f t="shared" si="234"/>
        <v>-21900</v>
      </c>
      <c r="AK84" s="42">
        <f t="shared" si="234"/>
        <v>-21853</v>
      </c>
      <c r="AL84" s="42">
        <f t="shared" si="234"/>
        <v>-21935</v>
      </c>
      <c r="AM84" s="42">
        <f t="shared" si="234"/>
        <v>-22075</v>
      </c>
      <c r="AN84" s="42">
        <f t="shared" si="234"/>
        <v>-20022177</v>
      </c>
      <c r="AO84" s="42">
        <f t="shared" si="234"/>
        <v>-22286</v>
      </c>
      <c r="AP84" s="42">
        <f t="shared" si="234"/>
        <v>-22358</v>
      </c>
      <c r="AQ84" s="42">
        <f t="shared" si="234"/>
        <v>-53359</v>
      </c>
      <c r="AR84" s="42">
        <f t="shared" si="234"/>
        <v>-22474</v>
      </c>
      <c r="AS84" s="42">
        <f>SUBTOTAL(9,AS85:AS99)</f>
        <v>-35022559</v>
      </c>
      <c r="AT84" s="42">
        <f t="shared" si="234"/>
        <v>-22596</v>
      </c>
      <c r="AU84" s="42">
        <f t="shared" si="234"/>
        <v>-22773</v>
      </c>
      <c r="AV84" s="42">
        <f t="shared" si="234"/>
        <v>-55298345</v>
      </c>
      <c r="AW84" s="42">
        <f>SUBTOTAL(9,AW85:AW99)</f>
        <v>-22861</v>
      </c>
      <c r="AX84" s="42">
        <f t="shared" ref="AX84:BH84" si="235">SUBTOTAL(9,AX85:AX99)</f>
        <v>-22834</v>
      </c>
      <c r="AY84" s="42">
        <f t="shared" si="235"/>
        <v>-23023</v>
      </c>
      <c r="AZ84" s="42">
        <f t="shared" si="235"/>
        <v>-23146</v>
      </c>
      <c r="BA84" s="42">
        <f t="shared" si="235"/>
        <v>-23257</v>
      </c>
      <c r="BB84" s="42">
        <f t="shared" si="235"/>
        <v>36178111</v>
      </c>
      <c r="BC84" s="42">
        <f t="shared" si="235"/>
        <v>-41981</v>
      </c>
      <c r="BD84" s="42">
        <f t="shared" si="235"/>
        <v>-37332</v>
      </c>
      <c r="BE84" s="42">
        <f t="shared" si="235"/>
        <v>-23439</v>
      </c>
      <c r="BF84" s="42">
        <f t="shared" si="235"/>
        <v>-20023494</v>
      </c>
      <c r="BG84" s="42">
        <f t="shared" si="235"/>
        <v>-23569</v>
      </c>
      <c r="BH84" s="42">
        <f t="shared" si="235"/>
        <v>-23588</v>
      </c>
      <c r="BI84" s="42">
        <f t="shared" si="234"/>
        <v>15889587</v>
      </c>
      <c r="BJ84" s="42">
        <f t="shared" ref="BJ84" si="236">SUBTOTAL(9,BJ85:BJ99)</f>
        <v>-23643</v>
      </c>
      <c r="BK84" s="42">
        <f t="shared" ref="BK84" si="237">SUBTOTAL(9,BK85:BK99)</f>
        <v>-23622</v>
      </c>
      <c r="BL84" s="42">
        <f t="shared" ref="BL84" si="238">SUBTOTAL(9,BL85:BL99)</f>
        <v>-23682</v>
      </c>
      <c r="BM84" s="42">
        <f t="shared" ref="BM84" si="239">SUBTOTAL(9,BM85:BM99)</f>
        <v>0</v>
      </c>
      <c r="BN84" s="42">
        <f t="shared" ref="BN84" si="240">SUBTOTAL(9,BN85:BN99)</f>
        <v>0</v>
      </c>
      <c r="BO84" s="42">
        <f t="shared" ref="BO84" si="241">SUBTOTAL(9,BO85:BO99)</f>
        <v>0</v>
      </c>
      <c r="BP84" s="42">
        <f t="shared" ref="BP84" si="242">SUBTOTAL(9,BP85:BP99)</f>
        <v>0</v>
      </c>
      <c r="BQ84" s="42">
        <f t="shared" ref="BQ84" si="243">SUBTOTAL(9,BQ85:BQ99)</f>
        <v>0</v>
      </c>
      <c r="BR84" s="42">
        <f t="shared" ref="BR84" si="244">SUBTOTAL(9,BR85:BR99)</f>
        <v>0</v>
      </c>
      <c r="BS84" s="42">
        <f t="shared" ref="BS84" si="245">SUBTOTAL(9,BS85:BS99)</f>
        <v>0</v>
      </c>
      <c r="BT84" s="42">
        <f t="shared" ref="BT84" si="246">SUBTOTAL(9,BT85:BT99)</f>
        <v>0</v>
      </c>
      <c r="BU84" s="42">
        <f t="shared" ref="BU84:BV84" si="247">SUBTOTAL(9,BU85:BU99)</f>
        <v>0</v>
      </c>
      <c r="BV84" s="42">
        <f t="shared" si="247"/>
        <v>-70947</v>
      </c>
      <c r="BW84" s="42">
        <f t="shared" si="234"/>
        <v>0</v>
      </c>
    </row>
    <row r="85" spans="1:75" s="293" customFormat="1" ht="21.6" outlineLevel="1">
      <c r="A85" s="331" t="s">
        <v>393</v>
      </c>
      <c r="B85" s="332" t="s">
        <v>394</v>
      </c>
      <c r="C85" s="333" t="str">
        <f>+Tabla17[[#This Row],[Cuenta]]&amp;" - "&amp;Tabla17[[#This Row],[Descripcion Cuenta]]</f>
        <v>3.01 - Deposito Plazo</v>
      </c>
      <c r="D85" s="334"/>
      <c r="E85" s="341">
        <f t="shared" ref="E85:BW85" si="248">SUBTOTAL(9,E86:E88)</f>
        <v>0</v>
      </c>
      <c r="F85" s="341">
        <f t="shared" si="248"/>
        <v>0</v>
      </c>
      <c r="G85" s="341">
        <f t="shared" si="248"/>
        <v>0</v>
      </c>
      <c r="H85" s="341">
        <f t="shared" si="248"/>
        <v>0</v>
      </c>
      <c r="I85" s="341">
        <f>SUM(Tabla17[[#This Row],[sept-21]:[dic-21]])</f>
        <v>0</v>
      </c>
      <c r="J85" s="341">
        <f t="shared" si="248"/>
        <v>0</v>
      </c>
      <c r="K85" s="341">
        <f t="shared" si="248"/>
        <v>0</v>
      </c>
      <c r="L85" s="341">
        <f t="shared" si="248"/>
        <v>0</v>
      </c>
      <c r="M85" s="341">
        <f t="shared" si="248"/>
        <v>0</v>
      </c>
      <c r="N85" s="341">
        <f t="shared" si="248"/>
        <v>0</v>
      </c>
      <c r="O85" s="341">
        <f t="shared" si="248"/>
        <v>0</v>
      </c>
      <c r="P85" s="341">
        <f t="shared" si="248"/>
        <v>0</v>
      </c>
      <c r="Q85" s="341">
        <f t="shared" si="248"/>
        <v>0</v>
      </c>
      <c r="R85" s="341">
        <f t="shared" si="248"/>
        <v>0</v>
      </c>
      <c r="S85" s="341">
        <f t="shared" si="248"/>
        <v>0</v>
      </c>
      <c r="T85" s="341">
        <f t="shared" si="248"/>
        <v>0</v>
      </c>
      <c r="U85" s="341">
        <f t="shared" si="248"/>
        <v>0</v>
      </c>
      <c r="V85" s="341">
        <f t="shared" si="248"/>
        <v>0</v>
      </c>
      <c r="W85" s="341">
        <f t="shared" si="248"/>
        <v>0</v>
      </c>
      <c r="X85" s="341">
        <f t="shared" si="248"/>
        <v>0</v>
      </c>
      <c r="Y85" s="341">
        <f t="shared" si="248"/>
        <v>0</v>
      </c>
      <c r="Z85" s="341">
        <f t="shared" si="248"/>
        <v>0</v>
      </c>
      <c r="AA85" s="341">
        <f t="shared" si="248"/>
        <v>0</v>
      </c>
      <c r="AB85" s="341">
        <f t="shared" si="248"/>
        <v>0</v>
      </c>
      <c r="AC85" s="341">
        <f t="shared" si="248"/>
        <v>-50000000</v>
      </c>
      <c r="AD85" s="341">
        <f t="shared" si="248"/>
        <v>0</v>
      </c>
      <c r="AE85" s="341">
        <f t="shared" si="248"/>
        <v>0</v>
      </c>
      <c r="AF85" s="341">
        <f t="shared" si="248"/>
        <v>0</v>
      </c>
      <c r="AG85" s="341">
        <f t="shared" si="248"/>
        <v>0</v>
      </c>
      <c r="AH85" s="341">
        <f t="shared" si="248"/>
        <v>0</v>
      </c>
      <c r="AI85" s="341">
        <f t="shared" si="248"/>
        <v>-50000000</v>
      </c>
      <c r="AJ85" s="341">
        <f t="shared" si="248"/>
        <v>0</v>
      </c>
      <c r="AK85" s="341">
        <f t="shared" si="248"/>
        <v>0</v>
      </c>
      <c r="AL85" s="341">
        <f t="shared" si="248"/>
        <v>0</v>
      </c>
      <c r="AM85" s="341">
        <f t="shared" si="248"/>
        <v>0</v>
      </c>
      <c r="AN85" s="341">
        <f t="shared" si="248"/>
        <v>-20000000</v>
      </c>
      <c r="AO85" s="341">
        <f t="shared" si="248"/>
        <v>0</v>
      </c>
      <c r="AP85" s="341">
        <f t="shared" si="248"/>
        <v>0</v>
      </c>
      <c r="AQ85" s="341">
        <f t="shared" si="248"/>
        <v>0</v>
      </c>
      <c r="AR85" s="341">
        <f t="shared" si="248"/>
        <v>0</v>
      </c>
      <c r="AS85" s="341">
        <f t="shared" si="248"/>
        <v>-35000000</v>
      </c>
      <c r="AT85" s="341">
        <f t="shared" si="248"/>
        <v>0</v>
      </c>
      <c r="AU85" s="341">
        <f t="shared" si="248"/>
        <v>0</v>
      </c>
      <c r="AV85" s="341">
        <f t="shared" si="248"/>
        <v>-55000000</v>
      </c>
      <c r="AW85" s="341">
        <f>SUBTOTAL(9,AW86:AW88)</f>
        <v>0</v>
      </c>
      <c r="AX85" s="341">
        <f t="shared" ref="AX85:BH85" si="249">SUBTOTAL(9,AX86:AX88)</f>
        <v>0</v>
      </c>
      <c r="AY85" s="341">
        <f t="shared" si="249"/>
        <v>0</v>
      </c>
      <c r="AZ85" s="341">
        <f t="shared" si="249"/>
        <v>0</v>
      </c>
      <c r="BA85" s="341">
        <f t="shared" si="249"/>
        <v>0</v>
      </c>
      <c r="BB85" s="341">
        <f t="shared" si="249"/>
        <v>35000000</v>
      </c>
      <c r="BC85" s="341">
        <f t="shared" si="249"/>
        <v>0</v>
      </c>
      <c r="BD85" s="341">
        <f t="shared" si="249"/>
        <v>0</v>
      </c>
      <c r="BE85" s="341">
        <f t="shared" si="249"/>
        <v>0</v>
      </c>
      <c r="BF85" s="341">
        <f t="shared" si="249"/>
        <v>0</v>
      </c>
      <c r="BG85" s="341">
        <f t="shared" si="249"/>
        <v>0</v>
      </c>
      <c r="BH85" s="341">
        <f t="shared" si="249"/>
        <v>0</v>
      </c>
      <c r="BI85" s="341">
        <f t="shared" si="248"/>
        <v>35000000</v>
      </c>
      <c r="BJ85" s="341">
        <f t="shared" ref="BJ85" si="250">SUBTOTAL(9,BJ86:BJ88)</f>
        <v>0</v>
      </c>
      <c r="BK85" s="341">
        <f t="shared" ref="BK85" si="251">SUBTOTAL(9,BK86:BK88)</f>
        <v>0</v>
      </c>
      <c r="BL85" s="341">
        <f t="shared" ref="BL85" si="252">SUBTOTAL(9,BL86:BL88)</f>
        <v>0</v>
      </c>
      <c r="BM85" s="341">
        <f t="shared" ref="BM85" si="253">SUBTOTAL(9,BM86:BM88)</f>
        <v>0</v>
      </c>
      <c r="BN85" s="341">
        <f t="shared" ref="BN85" si="254">SUBTOTAL(9,BN86:BN88)</f>
        <v>0</v>
      </c>
      <c r="BO85" s="341">
        <f t="shared" ref="BO85" si="255">SUBTOTAL(9,BO86:BO88)</f>
        <v>0</v>
      </c>
      <c r="BP85" s="341">
        <f t="shared" ref="BP85" si="256">SUBTOTAL(9,BP86:BP88)</f>
        <v>0</v>
      </c>
      <c r="BQ85" s="341">
        <f t="shared" ref="BQ85" si="257">SUBTOTAL(9,BQ86:BQ88)</f>
        <v>0</v>
      </c>
      <c r="BR85" s="341">
        <f t="shared" ref="BR85" si="258">SUBTOTAL(9,BR86:BR88)</f>
        <v>0</v>
      </c>
      <c r="BS85" s="341">
        <f t="shared" ref="BS85" si="259">SUBTOTAL(9,BS86:BS88)</f>
        <v>0</v>
      </c>
      <c r="BT85" s="341">
        <f t="shared" ref="BT85" si="260">SUBTOTAL(9,BT86:BT88)</f>
        <v>0</v>
      </c>
      <c r="BU85" s="341">
        <f t="shared" ref="BU85:BV85" si="261">SUBTOTAL(9,BU86:BU88)</f>
        <v>0</v>
      </c>
      <c r="BV85" s="341">
        <f t="shared" si="261"/>
        <v>0</v>
      </c>
      <c r="BW85" s="341">
        <f t="shared" si="248"/>
        <v>0</v>
      </c>
    </row>
    <row r="86" spans="1:75" s="368" customFormat="1" ht="21.6" outlineLevel="2">
      <c r="A86" s="224" t="s">
        <v>395</v>
      </c>
      <c r="B86" s="223" t="s">
        <v>396</v>
      </c>
      <c r="C86" s="221" t="str">
        <f>+Tabla17[[#This Row],[Cuenta]]&amp;" - "&amp;Tabla17[[#This Row],[Descripcion Cuenta]]</f>
        <v>3.01.01 - Deposito a Plazo a 30</v>
      </c>
      <c r="D86" s="225"/>
      <c r="E86" s="226">
        <f>SUMIFS(Banco[Monto],Banco[CtaCtbl],$C86,Banco[Periodo Contable],TEXT(E$3,"mmm-yyyy"))</f>
        <v>0</v>
      </c>
      <c r="F86" s="226">
        <f>SUMIFS(Banco[Monto],Banco[CtaCtbl],$C86,Banco[Periodo Contable],TEXT(F$3,"mmm-yyyy"))</f>
        <v>0</v>
      </c>
      <c r="G86" s="226">
        <f>SUMIFS(Banco[Monto],Banco[CtaCtbl],$C86,Banco[Periodo Contable],TEXT(G$3,"mmm-yyyy"))</f>
        <v>0</v>
      </c>
      <c r="H86" s="226">
        <f>SUMIFS(Banco[Monto],Banco[CtaCtbl],$C86,Banco[Periodo Contable],TEXT(H$3,"mmm-yyyy"))</f>
        <v>0</v>
      </c>
      <c r="I86" s="226">
        <f>SUM(Tabla17[[#This Row],[sept-21]:[dic-21]])</f>
        <v>0</v>
      </c>
      <c r="J86" s="226">
        <f>SUMIFS(Banco[Monto],Banco[CtaCtbl],$C86,Banco[Periodo Contable],TEXT(J$3,"mmm-yyyy"))</f>
        <v>0</v>
      </c>
      <c r="K86" s="226">
        <f>SUMIFS(Banco[Monto],Banco[CtaCtbl],$C86,Banco[Periodo Contable],TEXT(K$3,"mmm-yyyy"))</f>
        <v>0</v>
      </c>
      <c r="L86" s="226">
        <f>SUMIFS(Banco[Monto],Banco[CtaCtbl],$C86,Banco[Periodo Contable],TEXT(L$3,"mmm-yyyy"))</f>
        <v>0</v>
      </c>
      <c r="M86" s="226">
        <f>SUMIFS(Banco[Monto],Banco[CtaCtbl],$C86,Banco[Periodo Contable],TEXT(M$3,"mmm-yyyy"))</f>
        <v>0</v>
      </c>
      <c r="N86" s="226">
        <f>SUMIFS(Banco[Monto],Banco[CtaCtbl],$C86,Banco[Periodo Contable],TEXT(N$3,"mmm-yyyy"))</f>
        <v>0</v>
      </c>
      <c r="O86" s="226">
        <f>SUMIFS(Banco[Monto],Banco[CtaCtbl],$C86,Banco[Periodo Contable],TEXT(O$3,"mmm-yyyy"))</f>
        <v>0</v>
      </c>
      <c r="P86" s="226">
        <f>SUMIFS(Banco[Monto],Banco[CtaCtbl],$C86,Banco[Periodo Contable],TEXT(P$3,"mmm-yyyy"))</f>
        <v>0</v>
      </c>
      <c r="Q86" s="226">
        <f>SUMIFS(Banco[Monto],Banco[CtaCtbl],$C86,Banco[Periodo Contable],TEXT(Q$3,"mmm-yyyy"))</f>
        <v>0</v>
      </c>
      <c r="R86" s="226">
        <f>SUMIFS(Banco[Monto],Banco[CtaCtbl],$C86,Banco[Periodo Contable],TEXT(R$3,"mmm-yyyy"))</f>
        <v>0</v>
      </c>
      <c r="S86" s="226">
        <f>SUMIFS(Banco[Monto],Banco[CtaCtbl],$C86,Banco[Periodo Contable],TEXT(S$3,"mmm-yyyy"))</f>
        <v>0</v>
      </c>
      <c r="T86" s="226">
        <f>SUMIFS(Banco[Monto],Banco[CtaCtbl],$C86,Banco[Periodo Contable],TEXT(T$3,"mmm-yyyy"))</f>
        <v>0</v>
      </c>
      <c r="U86" s="226">
        <f>SUMIFS(Banco[Monto],Banco[CtaCtbl],$C86,Banco[Periodo Contable],TEXT(U$3,"mmm-yyyy"))</f>
        <v>0</v>
      </c>
      <c r="V86" s="232">
        <f>SUM(Tabla17[[#This Row],[ene-22]:[dic-22]])</f>
        <v>0</v>
      </c>
      <c r="W86" s="226">
        <f>SUMIFS(Banco[Monto],Banco[CtaCtbl],$C86,Banco[Periodo Contable],TEXT(W$3,"mmm-yyyy"))</f>
        <v>0</v>
      </c>
      <c r="X86" s="226">
        <f>SUMIFS(Banco[Monto],Banco[CtaCtbl],$C86,Banco[Periodo Contable],TEXT(X$3,"mmm-yyyy"))</f>
        <v>0</v>
      </c>
      <c r="Y86" s="226">
        <f>SUMIFS(Banco[Monto],Banco[CtaCtbl],$C86,Banco[Periodo Contable],TEXT(Y$3,"mmm-yyyy"))</f>
        <v>0</v>
      </c>
      <c r="Z86" s="226">
        <f>SUMIFS(Banco[Monto],Banco[CtaCtbl],$C86,Banco[Periodo Contable],TEXT(Z$3,"mmm-yyyy"))</f>
        <v>0</v>
      </c>
      <c r="AA86" s="226">
        <f>SUMIFS(Banco[Monto],Banco[CtaCtbl],$C86,Banco[Periodo Contable],TEXT(AA$3,"mmm-yyyy"))</f>
        <v>0</v>
      </c>
      <c r="AB86" s="226">
        <f>SUMIFS(Banco[Monto],Banco[CtaCtbl],$C86,Banco[Periodo Contable],TEXT(AB$3,"mmm-yyyy"))</f>
        <v>0</v>
      </c>
      <c r="AC86" s="226">
        <f>SUMIFS(Banco[Monto],Banco[CtaCtbl],$C86,Banco[Periodo Contable],TEXT(AC$3,"mmm-yyyy"))</f>
        <v>-50000000</v>
      </c>
      <c r="AD86" s="226">
        <f>SUMIFS(Banco[Monto],Banco[CtaCtbl],$C86,Banco[Periodo Contable],TEXT(AD$3,"mmm-yyyy"))</f>
        <v>0</v>
      </c>
      <c r="AE86" s="226">
        <f>SUMIFS(Banco[Monto],Banco[CtaCtbl],$C86,Banco[Periodo Contable],TEXT(AE$3,"mmm-yyyy"))</f>
        <v>0</v>
      </c>
      <c r="AF86" s="226">
        <f>SUMIFS(Banco[Monto],Banco[CtaCtbl],$C86,Banco[Periodo Contable],TEXT(AF$3,"mmm-yyyy"))</f>
        <v>0</v>
      </c>
      <c r="AG86" s="226">
        <f>SUMIFS(Banco[Monto],Banco[CtaCtbl],$C86,Banco[Periodo Contable],TEXT(AG$3,"mmm-yyyy"))</f>
        <v>0</v>
      </c>
      <c r="AH86" s="226">
        <f>SUMIFS(Banco[Monto],Banco[CtaCtbl],$C86,Banco[Periodo Contable],TEXT(AH$3,"mmm-yyyy"))</f>
        <v>0</v>
      </c>
      <c r="AI86" s="232">
        <f>SUM(Tabla17[[#This Row],[ene-23]:[dic-23]])</f>
        <v>-50000000</v>
      </c>
      <c r="AJ86" s="226">
        <f>SUMIFS(Banco[Monto],Banco[CtaCtbl],$C86,Banco[Periodo Contable],TEXT(AJ$3,"mmm-yyyy"))</f>
        <v>0</v>
      </c>
      <c r="AK86" s="226">
        <f>SUMIFS(Banco[Monto],Banco[CtaCtbl],$C86,Banco[Periodo Contable],TEXT(AK$3,"mmm-yyyy"))</f>
        <v>0</v>
      </c>
      <c r="AL86" s="226">
        <f>SUMIFS(Banco[Monto],Banco[CtaCtbl],$C86,Banco[Periodo Contable],TEXT(AL$3,"mmm-yyyy"))</f>
        <v>0</v>
      </c>
      <c r="AM86" s="226">
        <f>SUMIFS(Banco[Monto],Banco[CtaCtbl],$C86,Banco[Periodo Contable],TEXT(AM$3,"mmm-yyyy"))</f>
        <v>0</v>
      </c>
      <c r="AN86" s="226">
        <f>SUMIFS(Banco[Monto],Banco[CtaCtbl],$C86,Banco[Periodo Contable],TEXT(AN$3,"mmm-yyyy"))</f>
        <v>-20000000</v>
      </c>
      <c r="AO86" s="226">
        <f>SUMIFS(Banco[Monto],Banco[CtaCtbl],$C86,Banco[Periodo Contable],TEXT(AO$3,"mmm-yyyy"))</f>
        <v>0</v>
      </c>
      <c r="AP86" s="226">
        <f>SUMIFS(Banco[Monto],Banco[CtaCtbl],$C86,Banco[Periodo Contable],TEXT(AP$3,"mmm-yyyy"))</f>
        <v>0</v>
      </c>
      <c r="AQ86" s="226">
        <f>SUMIFS(Banco[Monto],Banco[CtaCtbl],$C86,Banco[Periodo Contable],TEXT(AQ$3,"mmm-yyyy"))</f>
        <v>0</v>
      </c>
      <c r="AR86" s="226">
        <f>SUMIFS(Banco[Monto],Banco[CtaCtbl],$C86,Banco[Periodo Contable],TEXT(AR$3,"mmm-yyyy"))</f>
        <v>0</v>
      </c>
      <c r="AS86" s="226">
        <f>SUMIFS(Banco[Monto],Banco[CtaCtbl],$C86,Banco[Periodo Contable],TEXT(AS$3,"mmm-yyyy"))</f>
        <v>-35000000</v>
      </c>
      <c r="AT86" s="226">
        <f>SUMIFS(Banco[Monto],Banco[CtaCtbl],$C86,Banco[Periodo Contable],TEXT(AT$3,"mmm-yyyy"))</f>
        <v>0</v>
      </c>
      <c r="AU86" s="226">
        <f>SUMIFS(Banco[Monto],Banco[CtaCtbl],$C86,Banco[Periodo Contable],TEXT(AU$3,"mmm-yyyy"))</f>
        <v>0</v>
      </c>
      <c r="AV86" s="232">
        <f>SUM(Tabla17[[#This Row],[ene-24]:[dic-24]])</f>
        <v>-55000000</v>
      </c>
      <c r="AW86" s="226">
        <f>SUMIFS(Banco[Monto],Banco[CtaCtbl],$C86,Banco[Periodo Contable],TEXT(AW$3,"mmm-yyyy"))</f>
        <v>0</v>
      </c>
      <c r="AX86" s="226">
        <f>SUMIFS(Banco[Monto],Banco[CtaCtbl],$C86,Banco[Periodo Contable],TEXT(AX$3,"mmm-yyyy"))</f>
        <v>0</v>
      </c>
      <c r="AY86" s="226">
        <f>SUMIFS(Banco[Monto],Banco[CtaCtbl],$C86,Banco[Periodo Contable],TEXT(AY$3,"mmm-yyyy"))</f>
        <v>0</v>
      </c>
      <c r="AZ86" s="226">
        <f>SUMIFS(Banco[Monto],Banco[CtaCtbl],$C86,Banco[Periodo Contable],TEXT(AZ$3,"mmm-yyyy"))</f>
        <v>0</v>
      </c>
      <c r="BA86" s="226">
        <f>SUMIFS(Banco[Monto],Banco[CtaCtbl],$C86,Banco[Periodo Contable],TEXT(BA$3,"mmm-yyyy"))</f>
        <v>0</v>
      </c>
      <c r="BB86" s="226">
        <f>SUMIFS(Banco[Monto],Banco[CtaCtbl],$C86,Banco[Periodo Contable],TEXT(BB$3,"mmm-yyyy"))</f>
        <v>35000000</v>
      </c>
      <c r="BC86" s="226">
        <f>SUMIFS(Banco[Monto],Banco[CtaCtbl],$C86,Banco[Periodo Contable],TEXT(BC$3,"mmm-yyyy"))</f>
        <v>0</v>
      </c>
      <c r="BD86" s="226">
        <f>SUMIFS(Banco[Monto],Banco[CtaCtbl],$C86,Banco[Periodo Contable],TEXT(BD$3,"mmm-yyyy"))</f>
        <v>0</v>
      </c>
      <c r="BE86" s="226">
        <f>SUMIFS(Banco[Monto],Banco[CtaCtbl],$C86,Banco[Periodo Contable],TEXT(BE$3,"mmm-yyyy"))</f>
        <v>0</v>
      </c>
      <c r="BF86" s="226">
        <f>SUMIFS(Banco[Monto],Banco[CtaCtbl],$C86,Banco[Periodo Contable],TEXT(BF$3,"mmm-yyyy"))</f>
        <v>0</v>
      </c>
      <c r="BG86" s="226">
        <f>SUMIFS(Banco[Monto],Banco[CtaCtbl],$C86,Banco[Periodo Contable],TEXT(BG$3,"mmm-yyyy"))</f>
        <v>0</v>
      </c>
      <c r="BH86" s="226">
        <f>SUMIFS(Banco[Monto],Banco[CtaCtbl],$C86,Banco[Periodo Contable],TEXT(BH$3,"mmm-yyyy"))</f>
        <v>0</v>
      </c>
      <c r="BI86" s="232">
        <f>SUM(Tabla17[[#This Row],[ene-25]:[dic-25]])</f>
        <v>35000000</v>
      </c>
      <c r="BJ86" s="226">
        <f>SUMIFS(Banco[Monto],Banco[CtaCtbl],$C86,Banco[Periodo Contable],TEXT(BJ$3,"mmm-yyyy"))</f>
        <v>0</v>
      </c>
      <c r="BK86" s="226">
        <f>SUMIFS(Banco[Monto],Banco[CtaCtbl],$C86,Banco[Periodo Contable],TEXT(BK$3,"mmm-yyyy"))</f>
        <v>0</v>
      </c>
      <c r="BL86" s="226">
        <f>SUMIFS(Banco[Monto],Banco[CtaCtbl],$C86,Banco[Periodo Contable],TEXT(BL$3,"mmm-yyyy"))</f>
        <v>0</v>
      </c>
      <c r="BM86" s="226">
        <f>SUMIFS(Banco[Monto],Banco[CtaCtbl],$C86,Banco[Periodo Contable],TEXT(BM$3,"mmm-yyyy"))</f>
        <v>0</v>
      </c>
      <c r="BN86" s="226">
        <f>SUMIFS(Banco[Monto],Banco[CtaCtbl],$C86,Banco[Periodo Contable],TEXT(BN$3,"mmm-yyyy"))</f>
        <v>0</v>
      </c>
      <c r="BO86" s="226">
        <f>SUMIFS(Banco[Monto],Banco[CtaCtbl],$C86,Banco[Periodo Contable],TEXT(BO$3,"mmm-yyyy"))</f>
        <v>0</v>
      </c>
      <c r="BP86" s="226">
        <f>SUMIFS(Banco[Monto],Banco[CtaCtbl],$C86,Banco[Periodo Contable],TEXT(BP$3,"mmm-yyyy"))</f>
        <v>0</v>
      </c>
      <c r="BQ86" s="226">
        <f>SUMIFS(Banco[Monto],Banco[CtaCtbl],$C86,Banco[Periodo Contable],TEXT(BQ$3,"mmm-yyyy"))</f>
        <v>0</v>
      </c>
      <c r="BR86" s="226">
        <f>SUMIFS(Banco[Monto],Banco[CtaCtbl],$C86,Banco[Periodo Contable],TEXT(BR$3,"mmm-yyyy"))</f>
        <v>0</v>
      </c>
      <c r="BS86" s="226">
        <f>SUMIFS(Banco[Monto],Banco[CtaCtbl],$C86,Banco[Periodo Contable],TEXT(BS$3,"mmm-yyyy"))</f>
        <v>0</v>
      </c>
      <c r="BT86" s="226">
        <f>SUMIFS(Banco[Monto],Banco[CtaCtbl],$C86,Banco[Periodo Contable],TEXT(BT$3,"mmm-yyyy"))</f>
        <v>0</v>
      </c>
      <c r="BU86" s="226">
        <f>SUMIFS(Banco[Monto],Banco[CtaCtbl],$C86,Banco[Periodo Contable],TEXT(BU$3,"mmm-yyyy"))</f>
        <v>0</v>
      </c>
      <c r="BV86" s="232">
        <f>SUM(Tabla17[[#This Row],[ene-26]:[dic-26]])</f>
        <v>0</v>
      </c>
      <c r="BW86" s="226">
        <f>SUMIFS(Banco[Monto],Banco[CtaCtbl],$C86,Banco[Periodo Contable],TEXT(BW$3,"mmm-yyyy"))</f>
        <v>0</v>
      </c>
    </row>
    <row r="87" spans="1:75" s="368" customFormat="1" ht="21.6" outlineLevel="2">
      <c r="A87" s="224" t="s">
        <v>397</v>
      </c>
      <c r="B87" s="223" t="s">
        <v>398</v>
      </c>
      <c r="C87" s="221" t="str">
        <f>+Tabla17[[#This Row],[Cuenta]]&amp;" - "&amp;Tabla17[[#This Row],[Descripcion Cuenta]]</f>
        <v>3.01.02 - Deposito a Plazo a  a 60</v>
      </c>
      <c r="D87" s="225"/>
      <c r="E87" s="226">
        <f>SUMIFS(Banco[Monto],Banco[CtaCtbl],$C87,Banco[Periodo Contable],TEXT(E$3,"mmm-yyyy"))</f>
        <v>0</v>
      </c>
      <c r="F87" s="226">
        <f>SUMIFS(Banco[Monto],Banco[CtaCtbl],$C87,Banco[Periodo Contable],TEXT(F$3,"mmm-yyyy"))</f>
        <v>0</v>
      </c>
      <c r="G87" s="226">
        <f>SUMIFS(Banco[Monto],Banco[CtaCtbl],$C87,Banco[Periodo Contable],TEXT(G$3,"mmm-yyyy"))</f>
        <v>0</v>
      </c>
      <c r="H87" s="226">
        <f>SUMIFS(Banco[Monto],Banco[CtaCtbl],$C87,Banco[Periodo Contable],TEXT(H$3,"mmm-yyyy"))</f>
        <v>0</v>
      </c>
      <c r="I87" s="226">
        <f>SUM(Tabla17[[#This Row],[sept-21]:[dic-21]])</f>
        <v>0</v>
      </c>
      <c r="J87" s="226">
        <f>SUMIFS(Banco[Monto],Banco[CtaCtbl],$C87,Banco[Periodo Contable],TEXT(J$3,"mmm-yyyy"))</f>
        <v>0</v>
      </c>
      <c r="K87" s="226">
        <f>SUMIFS(Banco[Monto],Banco[CtaCtbl],$C87,Banco[Periodo Contable],TEXT(K$3,"mmm-yyyy"))</f>
        <v>0</v>
      </c>
      <c r="L87" s="226">
        <f>SUMIFS(Banco[Monto],Banco[CtaCtbl],$C87,Banco[Periodo Contable],TEXT(L$3,"mmm-yyyy"))</f>
        <v>0</v>
      </c>
      <c r="M87" s="226">
        <f>SUMIFS(Banco[Monto],Banco[CtaCtbl],$C87,Banco[Periodo Contable],TEXT(M$3,"mmm-yyyy"))</f>
        <v>0</v>
      </c>
      <c r="N87" s="226">
        <f>SUMIFS(Banco[Monto],Banco[CtaCtbl],$C87,Banco[Periodo Contable],TEXT(N$3,"mmm-yyyy"))</f>
        <v>0</v>
      </c>
      <c r="O87" s="226">
        <f>SUMIFS(Banco[Monto],Banco[CtaCtbl],$C87,Banco[Periodo Contable],TEXT(O$3,"mmm-yyyy"))</f>
        <v>0</v>
      </c>
      <c r="P87" s="226">
        <f>SUMIFS(Banco[Monto],Banco[CtaCtbl],$C87,Banco[Periodo Contable],TEXT(P$3,"mmm-yyyy"))</f>
        <v>0</v>
      </c>
      <c r="Q87" s="226">
        <f>SUMIFS(Banco[Monto],Banco[CtaCtbl],$C87,Banco[Periodo Contable],TEXT(Q$3,"mmm-yyyy"))</f>
        <v>0</v>
      </c>
      <c r="R87" s="226">
        <f>SUMIFS(Banco[Monto],Banco[CtaCtbl],$C87,Banco[Periodo Contable],TEXT(R$3,"mmm-yyyy"))</f>
        <v>0</v>
      </c>
      <c r="S87" s="226">
        <f>SUMIFS(Banco[Monto],Banco[CtaCtbl],$C87,Banco[Periodo Contable],TEXT(S$3,"mmm-yyyy"))</f>
        <v>0</v>
      </c>
      <c r="T87" s="226">
        <f>SUMIFS(Banco[Monto],Banco[CtaCtbl],$C87,Banco[Periodo Contable],TEXT(T$3,"mmm-yyyy"))</f>
        <v>0</v>
      </c>
      <c r="U87" s="226">
        <f>SUMIFS(Banco[Monto],Banco[CtaCtbl],$C87,Banco[Periodo Contable],TEXT(U$3,"mmm-yyyy"))</f>
        <v>0</v>
      </c>
      <c r="V87" s="232">
        <f>SUM(Tabla17[[#This Row],[ene-22]:[dic-22]])</f>
        <v>0</v>
      </c>
      <c r="W87" s="226">
        <f>SUMIFS(Banco[Monto],Banco[CtaCtbl],$C87,Banco[Periodo Contable],TEXT(W$3,"mmm-yyyy"))</f>
        <v>0</v>
      </c>
      <c r="X87" s="226">
        <f>SUMIFS(Banco[Monto],Banco[CtaCtbl],$C87,Banco[Periodo Contable],TEXT(X$3,"mmm-yyyy"))</f>
        <v>0</v>
      </c>
      <c r="Y87" s="226">
        <f>SUMIFS(Banco[Monto],Banco[CtaCtbl],$C87,Banco[Periodo Contable],TEXT(Y$3,"mmm-yyyy"))</f>
        <v>0</v>
      </c>
      <c r="Z87" s="226">
        <f>SUMIFS(Banco[Monto],Banco[CtaCtbl],$C87,Banco[Periodo Contable],TEXT(Z$3,"mmm-yyyy"))</f>
        <v>0</v>
      </c>
      <c r="AA87" s="226">
        <f>SUMIFS(Banco[Monto],Banco[CtaCtbl],$C87,Banco[Periodo Contable],TEXT(AA$3,"mmm-yyyy"))</f>
        <v>0</v>
      </c>
      <c r="AB87" s="226">
        <f>SUMIFS(Banco[Monto],Banco[CtaCtbl],$C87,Banco[Periodo Contable],TEXT(AB$3,"mmm-yyyy"))</f>
        <v>0</v>
      </c>
      <c r="AC87" s="226">
        <f>SUMIFS(Banco[Monto],Banco[CtaCtbl],$C87,Banco[Periodo Contable],TEXT(AC$3,"mmm-yyyy"))</f>
        <v>0</v>
      </c>
      <c r="AD87" s="226">
        <f>SUMIFS(Banco[Monto],Banco[CtaCtbl],$C87,Banco[Periodo Contable],TEXT(AD$3,"mmm-yyyy"))</f>
        <v>0</v>
      </c>
      <c r="AE87" s="226">
        <f>SUMIFS(Banco[Monto],Banco[CtaCtbl],$C87,Banco[Periodo Contable],TEXT(AE$3,"mmm-yyyy"))</f>
        <v>0</v>
      </c>
      <c r="AF87" s="226">
        <f>SUMIFS(Banco[Monto],Banco[CtaCtbl],$C87,Banco[Periodo Contable],TEXT(AF$3,"mmm-yyyy"))</f>
        <v>0</v>
      </c>
      <c r="AG87" s="226">
        <f>SUMIFS(Banco[Monto],Banco[CtaCtbl],$C87,Banco[Periodo Contable],TEXT(AG$3,"mmm-yyyy"))</f>
        <v>0</v>
      </c>
      <c r="AH87" s="226">
        <f>SUMIFS(Banco[Monto],Banco[CtaCtbl],$C87,Banco[Periodo Contable],TEXT(AH$3,"mmm-yyyy"))</f>
        <v>0</v>
      </c>
      <c r="AI87" s="232">
        <f>SUM(Tabla17[[#This Row],[ene-23]:[dic-23]])</f>
        <v>0</v>
      </c>
      <c r="AJ87" s="226">
        <f>SUMIFS(Banco[Monto],Banco[CtaCtbl],$C87,Banco[Periodo Contable],TEXT(AJ$3,"mmm-yyyy"))</f>
        <v>0</v>
      </c>
      <c r="AK87" s="226">
        <f>SUMIFS(Banco[Monto],Banco[CtaCtbl],$C87,Banco[Periodo Contable],TEXT(AK$3,"mmm-yyyy"))</f>
        <v>0</v>
      </c>
      <c r="AL87" s="226">
        <f>SUMIFS(Banco[Monto],Banco[CtaCtbl],$C87,Banco[Periodo Contable],TEXT(AL$3,"mmm-yyyy"))</f>
        <v>0</v>
      </c>
      <c r="AM87" s="226">
        <f>SUMIFS(Banco[Monto],Banco[CtaCtbl],$C87,Banco[Periodo Contable],TEXT(AM$3,"mmm-yyyy"))</f>
        <v>0</v>
      </c>
      <c r="AN87" s="226">
        <f>SUMIFS(Banco[Monto],Banco[CtaCtbl],$C87,Banco[Periodo Contable],TEXT(AN$3,"mmm-yyyy"))</f>
        <v>0</v>
      </c>
      <c r="AO87" s="226">
        <f>SUMIFS(Banco[Monto],Banco[CtaCtbl],$C87,Banco[Periodo Contable],TEXT(AO$3,"mmm-yyyy"))</f>
        <v>0</v>
      </c>
      <c r="AP87" s="226">
        <f>SUMIFS(Banco[Monto],Banco[CtaCtbl],$C87,Banco[Periodo Contable],TEXT(AP$3,"mmm-yyyy"))</f>
        <v>0</v>
      </c>
      <c r="AQ87" s="226">
        <f>SUMIFS(Banco[Monto],Banco[CtaCtbl],$C87,Banco[Periodo Contable],TEXT(AQ$3,"mmm-yyyy"))</f>
        <v>0</v>
      </c>
      <c r="AR87" s="226">
        <f>SUMIFS(Banco[Monto],Banco[CtaCtbl],$C87,Banco[Periodo Contable],TEXT(AR$3,"mmm-yyyy"))</f>
        <v>0</v>
      </c>
      <c r="AS87" s="226">
        <f>SUMIFS(Banco[Monto],Banco[CtaCtbl],$C87,Banco[Periodo Contable],TEXT(AS$3,"mmm-yyyy"))</f>
        <v>0</v>
      </c>
      <c r="AT87" s="226">
        <f>SUMIFS(Banco[Monto],Banco[CtaCtbl],$C87,Banco[Periodo Contable],TEXT(AT$3,"mmm-yyyy"))</f>
        <v>0</v>
      </c>
      <c r="AU87" s="226">
        <f>SUMIFS(Banco[Monto],Banco[CtaCtbl],$C87,Banco[Periodo Contable],TEXT(AU$3,"mmm-yyyy"))</f>
        <v>0</v>
      </c>
      <c r="AV87" s="232">
        <f>SUM(Tabla17[[#This Row],[ene-24]:[dic-24]])</f>
        <v>0</v>
      </c>
      <c r="AW87" s="226">
        <f>SUMIFS(Banco[Monto],Banco[CtaCtbl],$C87,Banco[Periodo Contable],TEXT(AW$3,"mmm-yyyy"))</f>
        <v>0</v>
      </c>
      <c r="AX87" s="226">
        <f>SUMIFS(Banco[Monto],Banco[CtaCtbl],$C87,Banco[Periodo Contable],TEXT(AX$3,"mmm-yyyy"))</f>
        <v>0</v>
      </c>
      <c r="AY87" s="226">
        <f>SUMIFS(Banco[Monto],Banco[CtaCtbl],$C87,Banco[Periodo Contable],TEXT(AY$3,"mmm-yyyy"))</f>
        <v>0</v>
      </c>
      <c r="AZ87" s="226">
        <f>SUMIFS(Banco[Monto],Banco[CtaCtbl],$C87,Banco[Periodo Contable],TEXT(AZ$3,"mmm-yyyy"))</f>
        <v>0</v>
      </c>
      <c r="BA87" s="226">
        <f>SUMIFS(Banco[Monto],Banco[CtaCtbl],$C87,Banco[Periodo Contable],TEXT(BA$3,"mmm-yyyy"))</f>
        <v>0</v>
      </c>
      <c r="BB87" s="226">
        <f>SUMIFS(Banco[Monto],Banco[CtaCtbl],$C87,Banco[Periodo Contable],TEXT(BB$3,"mmm-yyyy"))</f>
        <v>0</v>
      </c>
      <c r="BC87" s="226">
        <f>SUMIFS(Banco[Monto],Banco[CtaCtbl],$C87,Banco[Periodo Contable],TEXT(BC$3,"mmm-yyyy"))</f>
        <v>0</v>
      </c>
      <c r="BD87" s="226">
        <f>SUMIFS(Banco[Monto],Banco[CtaCtbl],$C87,Banco[Periodo Contable],TEXT(BD$3,"mmm-yyyy"))</f>
        <v>0</v>
      </c>
      <c r="BE87" s="226">
        <f>SUMIFS(Banco[Monto],Banco[CtaCtbl],$C87,Banco[Periodo Contable],TEXT(BE$3,"mmm-yyyy"))</f>
        <v>0</v>
      </c>
      <c r="BF87" s="226">
        <f>SUMIFS(Banco[Monto],Banco[CtaCtbl],$C87,Banco[Periodo Contable],TEXT(BF$3,"mmm-yyyy"))</f>
        <v>0</v>
      </c>
      <c r="BG87" s="226">
        <f>SUMIFS(Banco[Monto],Banco[CtaCtbl],$C87,Banco[Periodo Contable],TEXT(BG$3,"mmm-yyyy"))</f>
        <v>0</v>
      </c>
      <c r="BH87" s="226">
        <f>SUMIFS(Banco[Monto],Banco[CtaCtbl],$C87,Banco[Periodo Contable],TEXT(BH$3,"mmm-yyyy"))</f>
        <v>0</v>
      </c>
      <c r="BI87" s="232">
        <f>SUM(Tabla17[[#This Row],[ene-25]:[dic-25]])</f>
        <v>0</v>
      </c>
      <c r="BJ87" s="226">
        <f>SUMIFS(Banco[Monto],Banco[CtaCtbl],$C87,Banco[Periodo Contable],TEXT(BJ$3,"mmm-yyyy"))</f>
        <v>0</v>
      </c>
      <c r="BK87" s="226">
        <f>SUMIFS(Banco[Monto],Banco[CtaCtbl],$C87,Banco[Periodo Contable],TEXT(BK$3,"mmm-yyyy"))</f>
        <v>0</v>
      </c>
      <c r="BL87" s="226">
        <f>SUMIFS(Banco[Monto],Banco[CtaCtbl],$C87,Banco[Periodo Contable],TEXT(BL$3,"mmm-yyyy"))</f>
        <v>0</v>
      </c>
      <c r="BM87" s="226">
        <f>SUMIFS(Banco[Monto],Banco[CtaCtbl],$C87,Banco[Periodo Contable],TEXT(BM$3,"mmm-yyyy"))</f>
        <v>0</v>
      </c>
      <c r="BN87" s="226">
        <f>SUMIFS(Banco[Monto],Banco[CtaCtbl],$C87,Banco[Periodo Contable],TEXT(BN$3,"mmm-yyyy"))</f>
        <v>0</v>
      </c>
      <c r="BO87" s="226">
        <f>SUMIFS(Banco[Monto],Banco[CtaCtbl],$C87,Banco[Periodo Contable],TEXT(BO$3,"mmm-yyyy"))</f>
        <v>0</v>
      </c>
      <c r="BP87" s="226">
        <f>SUMIFS(Banco[Monto],Banco[CtaCtbl],$C87,Banco[Periodo Contable],TEXT(BP$3,"mmm-yyyy"))</f>
        <v>0</v>
      </c>
      <c r="BQ87" s="226">
        <f>SUMIFS(Banco[Monto],Banco[CtaCtbl],$C87,Banco[Periodo Contable],TEXT(BQ$3,"mmm-yyyy"))</f>
        <v>0</v>
      </c>
      <c r="BR87" s="226">
        <f>SUMIFS(Banco[Monto],Banco[CtaCtbl],$C87,Banco[Periodo Contable],TEXT(BR$3,"mmm-yyyy"))</f>
        <v>0</v>
      </c>
      <c r="BS87" s="226">
        <f>SUMIFS(Banco[Monto],Banco[CtaCtbl],$C87,Banco[Periodo Contable],TEXT(BS$3,"mmm-yyyy"))</f>
        <v>0</v>
      </c>
      <c r="BT87" s="226">
        <f>SUMIFS(Banco[Monto],Banco[CtaCtbl],$C87,Banco[Periodo Contable],TEXT(BT$3,"mmm-yyyy"))</f>
        <v>0</v>
      </c>
      <c r="BU87" s="226">
        <f>SUMIFS(Banco[Monto],Banco[CtaCtbl],$C87,Banco[Periodo Contable],TEXT(BU$3,"mmm-yyyy"))</f>
        <v>0</v>
      </c>
      <c r="BV87" s="232">
        <f>SUM(Tabla17[[#This Row],[ene-26]:[dic-26]])</f>
        <v>0</v>
      </c>
      <c r="BW87" s="226">
        <f>SUMIFS(Banco[Monto],Banco[CtaCtbl],$C87,Banco[Periodo Contable],TEXT(BW$3,"mmm-yyyy"))</f>
        <v>0</v>
      </c>
    </row>
    <row r="88" spans="1:75" s="368" customFormat="1" ht="21.6" outlineLevel="2">
      <c r="A88" s="224" t="s">
        <v>399</v>
      </c>
      <c r="B88" s="223" t="s">
        <v>400</v>
      </c>
      <c r="C88" s="221" t="str">
        <f>+Tabla17[[#This Row],[Cuenta]]&amp;" - "&amp;Tabla17[[#This Row],[Descripcion Cuenta]]</f>
        <v>3.01.03 - Deposito a Plazo a  a 90 y mas</v>
      </c>
      <c r="D88" s="225"/>
      <c r="E88" s="226">
        <f>SUMIFS(Banco[Monto],Banco[CtaCtbl],$C88,Banco[Periodo Contable],TEXT(E$3,"mmm-yyyy"))</f>
        <v>0</v>
      </c>
      <c r="F88" s="226">
        <f>SUMIFS(Banco[Monto],Banco[CtaCtbl],$C88,Banco[Periodo Contable],TEXT(F$3,"mmm-yyyy"))</f>
        <v>0</v>
      </c>
      <c r="G88" s="226">
        <f>SUMIFS(Banco[Monto],Banco[CtaCtbl],$C88,Banco[Periodo Contable],TEXT(G$3,"mmm-yyyy"))</f>
        <v>0</v>
      </c>
      <c r="H88" s="226">
        <f>SUMIFS(Banco[Monto],Banco[CtaCtbl],$C88,Banco[Periodo Contable],TEXT(H$3,"mmm-yyyy"))</f>
        <v>0</v>
      </c>
      <c r="I88" s="226">
        <f>SUM(Tabla17[[#This Row],[sept-21]:[dic-21]])</f>
        <v>0</v>
      </c>
      <c r="J88" s="226">
        <f>SUMIFS(Banco[Monto],Banco[CtaCtbl],$C88,Banco[Periodo Contable],TEXT(J$3,"mmm-yyyy"))</f>
        <v>0</v>
      </c>
      <c r="K88" s="226">
        <f>SUMIFS(Banco[Monto],Banco[CtaCtbl],$C88,Banco[Periodo Contable],TEXT(K$3,"mmm-yyyy"))</f>
        <v>0</v>
      </c>
      <c r="L88" s="226">
        <f>SUMIFS(Banco[Monto],Banco[CtaCtbl],$C88,Banco[Periodo Contable],TEXT(L$3,"mmm-yyyy"))</f>
        <v>0</v>
      </c>
      <c r="M88" s="226">
        <f>SUMIFS(Banco[Monto],Banco[CtaCtbl],$C88,Banco[Periodo Contable],TEXT(M$3,"mmm-yyyy"))</f>
        <v>0</v>
      </c>
      <c r="N88" s="226">
        <f>SUMIFS(Banco[Monto],Banco[CtaCtbl],$C88,Banco[Periodo Contable],TEXT(N$3,"mmm-yyyy"))</f>
        <v>0</v>
      </c>
      <c r="O88" s="226">
        <f>SUMIFS(Banco[Monto],Banco[CtaCtbl],$C88,Banco[Periodo Contable],TEXT(O$3,"mmm-yyyy"))</f>
        <v>0</v>
      </c>
      <c r="P88" s="226">
        <f>SUMIFS(Banco[Monto],Banco[CtaCtbl],$C88,Banco[Periodo Contable],TEXT(P$3,"mmm-yyyy"))</f>
        <v>0</v>
      </c>
      <c r="Q88" s="226">
        <f>SUMIFS(Banco[Monto],Banco[CtaCtbl],$C88,Banco[Periodo Contable],TEXT(Q$3,"mmm-yyyy"))</f>
        <v>0</v>
      </c>
      <c r="R88" s="226">
        <f>SUMIFS(Banco[Monto],Banco[CtaCtbl],$C88,Banco[Periodo Contable],TEXT(R$3,"mmm-yyyy"))</f>
        <v>0</v>
      </c>
      <c r="S88" s="226">
        <f>SUMIFS(Banco[Monto],Banco[CtaCtbl],$C88,Banco[Periodo Contable],TEXT(S$3,"mmm-yyyy"))</f>
        <v>0</v>
      </c>
      <c r="T88" s="226">
        <f>SUMIFS(Banco[Monto],Banco[CtaCtbl],$C88,Banco[Periodo Contable],TEXT(T$3,"mmm-yyyy"))</f>
        <v>0</v>
      </c>
      <c r="U88" s="226">
        <f>SUMIFS(Banco[Monto],Banco[CtaCtbl],$C88,Banco[Periodo Contable],TEXT(U$3,"mmm-yyyy"))</f>
        <v>0</v>
      </c>
      <c r="V88" s="232">
        <f>SUM(Tabla17[[#This Row],[ene-22]:[dic-22]])</f>
        <v>0</v>
      </c>
      <c r="W88" s="226">
        <f>SUMIFS(Banco[Monto],Banco[CtaCtbl],$C88,Banco[Periodo Contable],TEXT(W$3,"mmm-yyyy"))</f>
        <v>0</v>
      </c>
      <c r="X88" s="226">
        <f>SUMIFS(Banco[Monto],Banco[CtaCtbl],$C88,Banco[Periodo Contable],TEXT(X$3,"mmm-yyyy"))</f>
        <v>0</v>
      </c>
      <c r="Y88" s="226">
        <f>SUMIFS(Banco[Monto],Banco[CtaCtbl],$C88,Banco[Periodo Contable],TEXT(Y$3,"mmm-yyyy"))</f>
        <v>0</v>
      </c>
      <c r="Z88" s="226">
        <f>SUMIFS(Banco[Monto],Banco[CtaCtbl],$C88,Banco[Periodo Contable],TEXT(Z$3,"mmm-yyyy"))</f>
        <v>0</v>
      </c>
      <c r="AA88" s="226">
        <f>SUMIFS(Banco[Monto],Banco[CtaCtbl],$C88,Banco[Periodo Contable],TEXT(AA$3,"mmm-yyyy"))</f>
        <v>0</v>
      </c>
      <c r="AB88" s="226">
        <f>SUMIFS(Banco[Monto],Banco[CtaCtbl],$C88,Banco[Periodo Contable],TEXT(AB$3,"mmm-yyyy"))</f>
        <v>0</v>
      </c>
      <c r="AC88" s="226">
        <f>SUMIFS(Banco[Monto],Banco[CtaCtbl],$C88,Banco[Periodo Contable],TEXT(AC$3,"mmm-yyyy"))</f>
        <v>0</v>
      </c>
      <c r="AD88" s="226">
        <f>SUMIFS(Banco[Monto],Banco[CtaCtbl],$C88,Banco[Periodo Contable],TEXT(AD$3,"mmm-yyyy"))</f>
        <v>0</v>
      </c>
      <c r="AE88" s="226">
        <f>SUMIFS(Banco[Monto],Banco[CtaCtbl],$C88,Banco[Periodo Contable],TEXT(AE$3,"mmm-yyyy"))</f>
        <v>0</v>
      </c>
      <c r="AF88" s="226">
        <f>SUMIFS(Banco[Monto],Banco[CtaCtbl],$C88,Banco[Periodo Contable],TEXT(AF$3,"mmm-yyyy"))</f>
        <v>0</v>
      </c>
      <c r="AG88" s="226">
        <f>SUMIFS(Banco[Monto],Banco[CtaCtbl],$C88,Banco[Periodo Contable],TEXT(AG$3,"mmm-yyyy"))</f>
        <v>0</v>
      </c>
      <c r="AH88" s="226">
        <f>SUMIFS(Banco[Monto],Banco[CtaCtbl],$C88,Banco[Periodo Contable],TEXT(AH$3,"mmm-yyyy"))</f>
        <v>0</v>
      </c>
      <c r="AI88" s="232">
        <f>SUM(Tabla17[[#This Row],[ene-23]:[dic-23]])</f>
        <v>0</v>
      </c>
      <c r="AJ88" s="226">
        <f>SUMIFS(Banco[Monto],Banco[CtaCtbl],$C88,Banco[Periodo Contable],TEXT(AJ$3,"mmm-yyyy"))</f>
        <v>0</v>
      </c>
      <c r="AK88" s="226">
        <f>SUMIFS(Banco[Monto],Banco[CtaCtbl],$C88,Banco[Periodo Contable],TEXT(AK$3,"mmm-yyyy"))</f>
        <v>0</v>
      </c>
      <c r="AL88" s="226">
        <f>SUMIFS(Banco[Monto],Banco[CtaCtbl],$C88,Banco[Periodo Contable],TEXT(AL$3,"mmm-yyyy"))</f>
        <v>0</v>
      </c>
      <c r="AM88" s="226">
        <f>SUMIFS(Banco[Monto],Banco[CtaCtbl],$C88,Banco[Periodo Contable],TEXT(AM$3,"mmm-yyyy"))</f>
        <v>0</v>
      </c>
      <c r="AN88" s="226">
        <f>SUMIFS(Banco[Monto],Banco[CtaCtbl],$C88,Banco[Periodo Contable],TEXT(AN$3,"mmm-yyyy"))</f>
        <v>0</v>
      </c>
      <c r="AO88" s="226">
        <f>SUMIFS(Banco[Monto],Banco[CtaCtbl],$C88,Banco[Periodo Contable],TEXT(AO$3,"mmm-yyyy"))</f>
        <v>0</v>
      </c>
      <c r="AP88" s="226">
        <f>SUMIFS(Banco[Monto],Banco[CtaCtbl],$C88,Banco[Periodo Contable],TEXT(AP$3,"mmm-yyyy"))</f>
        <v>0</v>
      </c>
      <c r="AQ88" s="226">
        <f>SUMIFS(Banco[Monto],Banco[CtaCtbl],$C88,Banco[Periodo Contable],TEXT(AQ$3,"mmm-yyyy"))</f>
        <v>0</v>
      </c>
      <c r="AR88" s="226">
        <f>SUMIFS(Banco[Monto],Banco[CtaCtbl],$C88,Banco[Periodo Contable],TEXT(AR$3,"mmm-yyyy"))</f>
        <v>0</v>
      </c>
      <c r="AS88" s="226">
        <f>SUMIFS(Banco[Monto],Banco[CtaCtbl],$C88,Banco[Periodo Contable],TEXT(AS$3,"mmm-yyyy"))</f>
        <v>0</v>
      </c>
      <c r="AT88" s="226">
        <f>SUMIFS(Banco[Monto],Banco[CtaCtbl],$C88,Banco[Periodo Contable],TEXT(AT$3,"mmm-yyyy"))</f>
        <v>0</v>
      </c>
      <c r="AU88" s="226">
        <f>SUMIFS(Banco[Monto],Banco[CtaCtbl],$C88,Banco[Periodo Contable],TEXT(AU$3,"mmm-yyyy"))</f>
        <v>0</v>
      </c>
      <c r="AV88" s="232">
        <f>SUM(Tabla17[[#This Row],[ene-24]:[dic-24]])</f>
        <v>0</v>
      </c>
      <c r="AW88" s="226">
        <f>SUMIFS(Banco[Monto],Banco[CtaCtbl],$C88,Banco[Periodo Contable],TEXT(AW$3,"mmm-yyyy"))</f>
        <v>0</v>
      </c>
      <c r="AX88" s="226">
        <f>SUMIFS(Banco[Monto],Banco[CtaCtbl],$C88,Banco[Periodo Contable],TEXT(AX$3,"mmm-yyyy"))</f>
        <v>0</v>
      </c>
      <c r="AY88" s="226">
        <f>SUMIFS(Banco[Monto],Banco[CtaCtbl],$C88,Banco[Periodo Contable],TEXT(AY$3,"mmm-yyyy"))</f>
        <v>0</v>
      </c>
      <c r="AZ88" s="226">
        <f>SUMIFS(Banco[Monto],Banco[CtaCtbl],$C88,Banco[Periodo Contable],TEXT(AZ$3,"mmm-yyyy"))</f>
        <v>0</v>
      </c>
      <c r="BA88" s="226">
        <f>SUMIFS(Banco[Monto],Banco[CtaCtbl],$C88,Banco[Periodo Contable],TEXT(BA$3,"mmm-yyyy"))</f>
        <v>0</v>
      </c>
      <c r="BB88" s="226">
        <f>SUMIFS(Banco[Monto],Banco[CtaCtbl],$C88,Banco[Periodo Contable],TEXT(BB$3,"mmm-yyyy"))</f>
        <v>0</v>
      </c>
      <c r="BC88" s="226">
        <f>SUMIFS(Banco[Monto],Banco[CtaCtbl],$C88,Banco[Periodo Contable],TEXT(BC$3,"mmm-yyyy"))</f>
        <v>0</v>
      </c>
      <c r="BD88" s="226">
        <f>SUMIFS(Banco[Monto],Banco[CtaCtbl],$C88,Banco[Periodo Contable],TEXT(BD$3,"mmm-yyyy"))</f>
        <v>0</v>
      </c>
      <c r="BE88" s="226">
        <f>SUMIFS(Banco[Monto],Banco[CtaCtbl],$C88,Banco[Periodo Contable],TEXT(BE$3,"mmm-yyyy"))</f>
        <v>0</v>
      </c>
      <c r="BF88" s="226">
        <f>SUMIFS(Banco[Monto],Banco[CtaCtbl],$C88,Banco[Periodo Contable],TEXT(BF$3,"mmm-yyyy"))</f>
        <v>0</v>
      </c>
      <c r="BG88" s="226">
        <f>SUMIFS(Banco[Monto],Banco[CtaCtbl],$C88,Banco[Periodo Contable],TEXT(BG$3,"mmm-yyyy"))</f>
        <v>0</v>
      </c>
      <c r="BH88" s="226">
        <f>SUMIFS(Banco[Monto],Banco[CtaCtbl],$C88,Banco[Periodo Contable],TEXT(BH$3,"mmm-yyyy"))</f>
        <v>0</v>
      </c>
      <c r="BI88" s="232">
        <f>SUM(Tabla17[[#This Row],[ene-25]:[dic-25]])</f>
        <v>0</v>
      </c>
      <c r="BJ88" s="226">
        <f>SUMIFS(Banco[Monto],Banco[CtaCtbl],$C88,Banco[Periodo Contable],TEXT(BJ$3,"mmm-yyyy"))</f>
        <v>0</v>
      </c>
      <c r="BK88" s="226">
        <f>SUMIFS(Banco[Monto],Banco[CtaCtbl],$C88,Banco[Periodo Contable],TEXT(BK$3,"mmm-yyyy"))</f>
        <v>0</v>
      </c>
      <c r="BL88" s="226">
        <f>SUMIFS(Banco[Monto],Banco[CtaCtbl],$C88,Banco[Periodo Contable],TEXT(BL$3,"mmm-yyyy"))</f>
        <v>0</v>
      </c>
      <c r="BM88" s="226">
        <f>SUMIFS(Banco[Monto],Banco[CtaCtbl],$C88,Banco[Periodo Contable],TEXT(BM$3,"mmm-yyyy"))</f>
        <v>0</v>
      </c>
      <c r="BN88" s="226">
        <f>SUMIFS(Banco[Monto],Banco[CtaCtbl],$C88,Banco[Periodo Contable],TEXT(BN$3,"mmm-yyyy"))</f>
        <v>0</v>
      </c>
      <c r="BO88" s="226">
        <f>SUMIFS(Banco[Monto],Banco[CtaCtbl],$C88,Banco[Periodo Contable],TEXT(BO$3,"mmm-yyyy"))</f>
        <v>0</v>
      </c>
      <c r="BP88" s="226">
        <f>SUMIFS(Banco[Monto],Banco[CtaCtbl],$C88,Banco[Periodo Contable],TEXT(BP$3,"mmm-yyyy"))</f>
        <v>0</v>
      </c>
      <c r="BQ88" s="226">
        <f>SUMIFS(Banco[Monto],Banco[CtaCtbl],$C88,Banco[Periodo Contable],TEXT(BQ$3,"mmm-yyyy"))</f>
        <v>0</v>
      </c>
      <c r="BR88" s="226">
        <f>SUMIFS(Banco[Monto],Banco[CtaCtbl],$C88,Banco[Periodo Contable],TEXT(BR$3,"mmm-yyyy"))</f>
        <v>0</v>
      </c>
      <c r="BS88" s="226">
        <f>SUMIFS(Banco[Monto],Banco[CtaCtbl],$C88,Banco[Periodo Contable],TEXT(BS$3,"mmm-yyyy"))</f>
        <v>0</v>
      </c>
      <c r="BT88" s="226">
        <f>SUMIFS(Banco[Monto],Banco[CtaCtbl],$C88,Banco[Periodo Contable],TEXT(BT$3,"mmm-yyyy"))</f>
        <v>0</v>
      </c>
      <c r="BU88" s="226">
        <f>SUMIFS(Banco[Monto],Banco[CtaCtbl],$C88,Banco[Periodo Contable],TEXT(BU$3,"mmm-yyyy"))</f>
        <v>0</v>
      </c>
      <c r="BV88" s="232">
        <f>SUM(Tabla17[[#This Row],[ene-26]:[dic-26]])</f>
        <v>0</v>
      </c>
      <c r="BW88" s="226">
        <f>SUMIFS(Banco[Monto],Banco[CtaCtbl],$C88,Banco[Periodo Contable],TEXT(BW$3,"mmm-yyyy"))</f>
        <v>0</v>
      </c>
    </row>
    <row r="89" spans="1:75" s="293" customFormat="1" ht="21" outlineLevel="1">
      <c r="A89" s="342" t="s">
        <v>401</v>
      </c>
      <c r="B89" s="343" t="s">
        <v>402</v>
      </c>
      <c r="C89" s="344" t="str">
        <f>+Tabla17[[#This Row],[Cuenta]]&amp;" - "&amp;Tabla17[[#This Row],[Descripcion Cuenta]]</f>
        <v>3.02 - Inversiones Fondos Mutuos</v>
      </c>
      <c r="D89" s="345"/>
      <c r="E89" s="341">
        <f>SUBTOTAL(9,E90:E92)</f>
        <v>0</v>
      </c>
      <c r="F89" s="341">
        <f t="shared" ref="F89:BW89" si="262">SUBTOTAL(9,F90:F92)</f>
        <v>0</v>
      </c>
      <c r="G89" s="341">
        <f t="shared" si="262"/>
        <v>0</v>
      </c>
      <c r="H89" s="341">
        <f t="shared" si="262"/>
        <v>0</v>
      </c>
      <c r="I89" s="341">
        <f>SUM(Tabla17[[#This Row],[sept-21]:[dic-21]])</f>
        <v>0</v>
      </c>
      <c r="J89" s="341">
        <f t="shared" si="262"/>
        <v>0</v>
      </c>
      <c r="K89" s="341">
        <f t="shared" si="262"/>
        <v>0</v>
      </c>
      <c r="L89" s="341">
        <f t="shared" si="262"/>
        <v>0</v>
      </c>
      <c r="M89" s="341">
        <f t="shared" si="262"/>
        <v>0</v>
      </c>
      <c r="N89" s="341">
        <f t="shared" si="262"/>
        <v>0</v>
      </c>
      <c r="O89" s="341">
        <f t="shared" si="262"/>
        <v>0</v>
      </c>
      <c r="P89" s="341">
        <f t="shared" si="262"/>
        <v>0</v>
      </c>
      <c r="Q89" s="341">
        <f t="shared" si="262"/>
        <v>0</v>
      </c>
      <c r="R89" s="341">
        <f t="shared" si="262"/>
        <v>0</v>
      </c>
      <c r="S89" s="341">
        <f t="shared" si="262"/>
        <v>0</v>
      </c>
      <c r="T89" s="341">
        <f t="shared" si="262"/>
        <v>0</v>
      </c>
      <c r="U89" s="341">
        <f t="shared" si="262"/>
        <v>0</v>
      </c>
      <c r="V89" s="341">
        <f t="shared" si="262"/>
        <v>0</v>
      </c>
      <c r="W89" s="341">
        <f t="shared" si="262"/>
        <v>0</v>
      </c>
      <c r="X89" s="341">
        <f t="shared" si="262"/>
        <v>0</v>
      </c>
      <c r="Y89" s="341">
        <f t="shared" si="262"/>
        <v>0</v>
      </c>
      <c r="Z89" s="341">
        <f t="shared" si="262"/>
        <v>0</v>
      </c>
      <c r="AA89" s="341">
        <f t="shared" si="262"/>
        <v>0</v>
      </c>
      <c r="AB89" s="341">
        <f t="shared" si="262"/>
        <v>0</v>
      </c>
      <c r="AC89" s="341">
        <f t="shared" si="262"/>
        <v>0</v>
      </c>
      <c r="AD89" s="341">
        <f t="shared" si="262"/>
        <v>0</v>
      </c>
      <c r="AE89" s="341">
        <f t="shared" si="262"/>
        <v>0</v>
      </c>
      <c r="AF89" s="341">
        <f t="shared" si="262"/>
        <v>0</v>
      </c>
      <c r="AG89" s="341">
        <f t="shared" si="262"/>
        <v>0</v>
      </c>
      <c r="AH89" s="341">
        <f t="shared" si="262"/>
        <v>0</v>
      </c>
      <c r="AI89" s="341">
        <f t="shared" si="262"/>
        <v>0</v>
      </c>
      <c r="AJ89" s="341">
        <f t="shared" si="262"/>
        <v>0</v>
      </c>
      <c r="AK89" s="341">
        <f t="shared" si="262"/>
        <v>0</v>
      </c>
      <c r="AL89" s="341">
        <f t="shared" si="262"/>
        <v>0</v>
      </c>
      <c r="AM89" s="341">
        <f t="shared" si="262"/>
        <v>0</v>
      </c>
      <c r="AN89" s="341">
        <f t="shared" si="262"/>
        <v>0</v>
      </c>
      <c r="AO89" s="341">
        <f t="shared" si="262"/>
        <v>0</v>
      </c>
      <c r="AP89" s="341">
        <f t="shared" si="262"/>
        <v>0</v>
      </c>
      <c r="AQ89" s="341">
        <f t="shared" si="262"/>
        <v>0</v>
      </c>
      <c r="AR89" s="341">
        <f t="shared" si="262"/>
        <v>0</v>
      </c>
      <c r="AS89" s="341">
        <f t="shared" si="262"/>
        <v>0</v>
      </c>
      <c r="AT89" s="341">
        <f t="shared" si="262"/>
        <v>0</v>
      </c>
      <c r="AU89" s="341">
        <f t="shared" si="262"/>
        <v>0</v>
      </c>
      <c r="AV89" s="341">
        <f t="shared" si="262"/>
        <v>0</v>
      </c>
      <c r="AW89" s="341">
        <f>SUBTOTAL(9,AW90:AW92)</f>
        <v>0</v>
      </c>
      <c r="AX89" s="341">
        <f t="shared" ref="AX89:BH89" si="263">SUBTOTAL(9,AX90:AX92)</f>
        <v>0</v>
      </c>
      <c r="AY89" s="341">
        <f t="shared" si="263"/>
        <v>0</v>
      </c>
      <c r="AZ89" s="341">
        <f t="shared" si="263"/>
        <v>0</v>
      </c>
      <c r="BA89" s="341">
        <f t="shared" si="263"/>
        <v>0</v>
      </c>
      <c r="BB89" s="341">
        <f t="shared" si="263"/>
        <v>0</v>
      </c>
      <c r="BC89" s="341">
        <f t="shared" si="263"/>
        <v>0</v>
      </c>
      <c r="BD89" s="341">
        <f t="shared" si="263"/>
        <v>0</v>
      </c>
      <c r="BE89" s="341">
        <f t="shared" si="263"/>
        <v>0</v>
      </c>
      <c r="BF89" s="341">
        <f t="shared" si="263"/>
        <v>0</v>
      </c>
      <c r="BG89" s="341">
        <f t="shared" si="263"/>
        <v>0</v>
      </c>
      <c r="BH89" s="341">
        <f t="shared" si="263"/>
        <v>0</v>
      </c>
      <c r="BI89" s="341">
        <f t="shared" si="262"/>
        <v>0</v>
      </c>
      <c r="BJ89" s="341">
        <f t="shared" ref="BJ89" si="264">SUBTOTAL(9,BJ90:BJ92)</f>
        <v>0</v>
      </c>
      <c r="BK89" s="341">
        <f t="shared" ref="BK89" si="265">SUBTOTAL(9,BK90:BK92)</f>
        <v>0</v>
      </c>
      <c r="BL89" s="341">
        <f t="shared" ref="BL89" si="266">SUBTOTAL(9,BL90:BL92)</f>
        <v>0</v>
      </c>
      <c r="BM89" s="341">
        <f t="shared" ref="BM89" si="267">SUBTOTAL(9,BM90:BM92)</f>
        <v>0</v>
      </c>
      <c r="BN89" s="341">
        <f t="shared" ref="BN89" si="268">SUBTOTAL(9,BN90:BN92)</f>
        <v>0</v>
      </c>
      <c r="BO89" s="341">
        <f t="shared" ref="BO89" si="269">SUBTOTAL(9,BO90:BO92)</f>
        <v>0</v>
      </c>
      <c r="BP89" s="341">
        <f t="shared" ref="BP89" si="270">SUBTOTAL(9,BP90:BP92)</f>
        <v>0</v>
      </c>
      <c r="BQ89" s="341">
        <f t="shared" ref="BQ89" si="271">SUBTOTAL(9,BQ90:BQ92)</f>
        <v>0</v>
      </c>
      <c r="BR89" s="341">
        <f t="shared" ref="BR89" si="272">SUBTOTAL(9,BR90:BR92)</f>
        <v>0</v>
      </c>
      <c r="BS89" s="341">
        <f t="shared" ref="BS89" si="273">SUBTOTAL(9,BS90:BS92)</f>
        <v>0</v>
      </c>
      <c r="BT89" s="341">
        <f t="shared" ref="BT89" si="274">SUBTOTAL(9,BT90:BT92)</f>
        <v>0</v>
      </c>
      <c r="BU89" s="341">
        <f t="shared" ref="BU89:BV89" si="275">SUBTOTAL(9,BU90:BU92)</f>
        <v>0</v>
      </c>
      <c r="BV89" s="341">
        <f t="shared" si="275"/>
        <v>0</v>
      </c>
      <c r="BW89" s="341">
        <f t="shared" si="262"/>
        <v>0</v>
      </c>
    </row>
    <row r="90" spans="1:75" s="368" customFormat="1" ht="21.6" outlineLevel="2">
      <c r="A90" s="224" t="s">
        <v>403</v>
      </c>
      <c r="B90" s="223"/>
      <c r="C90" s="222" t="str">
        <f>+Tabla17[[#This Row],[Cuenta]]&amp;" - "&amp;Tabla17[[#This Row],[Descripcion Cuenta]]</f>
        <v xml:space="preserve">3.02.01 - </v>
      </c>
      <c r="D90" s="225"/>
      <c r="E90" s="226">
        <f>SUMIFS(Banco[Monto],Banco[CtaCtbl],$C90,Banco[Periodo Contable],TEXT(E$3,"mmm-yyyy"))</f>
        <v>0</v>
      </c>
      <c r="F90" s="226">
        <f>SUMIFS(Banco[Monto],Banco[CtaCtbl],$C90,Banco[Periodo Contable],TEXT(F$3,"mmm-yyyy"))</f>
        <v>0</v>
      </c>
      <c r="G90" s="226">
        <f>SUMIFS(Banco[Monto],Banco[CtaCtbl],$C90,Banco[Periodo Contable],TEXT(G$3,"mmm-yyyy"))</f>
        <v>0</v>
      </c>
      <c r="H90" s="226">
        <f>SUMIFS(Banco[Monto],Banco[CtaCtbl],$C90,Banco[Periodo Contable],TEXT(H$3,"mmm-yyyy"))</f>
        <v>0</v>
      </c>
      <c r="I90" s="226">
        <f>SUM(Tabla17[[#This Row],[sept-21]:[dic-21]])</f>
        <v>0</v>
      </c>
      <c r="J90" s="226">
        <f>SUMIFS(Banco[Monto],Banco[CtaCtbl],$C90,Banco[Periodo Contable],TEXT(J$3,"mmm-yyyy"))</f>
        <v>0</v>
      </c>
      <c r="K90" s="226">
        <f>SUMIFS(Banco[Monto],Banco[CtaCtbl],$C90,Banco[Periodo Contable],TEXT(K$3,"mmm-yyyy"))</f>
        <v>0</v>
      </c>
      <c r="L90" s="226">
        <f>SUMIFS(Banco[Monto],Banco[CtaCtbl],$C90,Banco[Periodo Contable],TEXT(L$3,"mmm-yyyy"))</f>
        <v>0</v>
      </c>
      <c r="M90" s="226">
        <f>SUMIFS(Banco[Monto],Banco[CtaCtbl],$C90,Banco[Periodo Contable],TEXT(M$3,"mmm-yyyy"))</f>
        <v>0</v>
      </c>
      <c r="N90" s="226">
        <f>SUMIFS(Banco[Monto],Banco[CtaCtbl],$C90,Banco[Periodo Contable],TEXT(N$3,"mmm-yyyy"))</f>
        <v>0</v>
      </c>
      <c r="O90" s="226">
        <f>SUMIFS(Banco[Monto],Banco[CtaCtbl],$C90,Banco[Periodo Contable],TEXT(O$3,"mmm-yyyy"))</f>
        <v>0</v>
      </c>
      <c r="P90" s="226">
        <f>SUMIFS(Banco[Monto],Banco[CtaCtbl],$C90,Banco[Periodo Contable],TEXT(P$3,"mmm-yyyy"))</f>
        <v>0</v>
      </c>
      <c r="Q90" s="226">
        <f>SUMIFS(Banco[Monto],Banco[CtaCtbl],$C90,Banco[Periodo Contable],TEXT(Q$3,"mmm-yyyy"))</f>
        <v>0</v>
      </c>
      <c r="R90" s="226">
        <f>SUMIFS(Banco[Monto],Banco[CtaCtbl],$C90,Banco[Periodo Contable],TEXT(R$3,"mmm-yyyy"))</f>
        <v>0</v>
      </c>
      <c r="S90" s="226">
        <f>SUMIFS(Banco[Monto],Banco[CtaCtbl],$C90,Banco[Periodo Contable],TEXT(S$3,"mmm-yyyy"))</f>
        <v>0</v>
      </c>
      <c r="T90" s="226">
        <f>SUMIFS(Banco[Monto],Banco[CtaCtbl],$C90,Banco[Periodo Contable],TEXT(T$3,"mmm-yyyy"))</f>
        <v>0</v>
      </c>
      <c r="U90" s="226">
        <f>SUMIFS(Banco[Monto],Banco[CtaCtbl],$C90,Banco[Periodo Contable],TEXT(U$3,"mmm-yyyy"))</f>
        <v>0</v>
      </c>
      <c r="V90" s="232">
        <f>SUM(Tabla17[[#This Row],[ene-22]:[dic-22]])</f>
        <v>0</v>
      </c>
      <c r="W90" s="226">
        <f>SUMIFS(Banco[Monto],Banco[CtaCtbl],$C90,Banco[Periodo Contable],TEXT(W$3,"mmm-yyyy"))</f>
        <v>0</v>
      </c>
      <c r="X90" s="226">
        <f>SUMIFS(Banco[Monto],Banco[CtaCtbl],$C90,Banco[Periodo Contable],TEXT(X$3,"mmm-yyyy"))</f>
        <v>0</v>
      </c>
      <c r="Y90" s="226">
        <f>SUMIFS(Banco[Monto],Banco[CtaCtbl],$C90,Banco[Periodo Contable],TEXT(Y$3,"mmm-yyyy"))</f>
        <v>0</v>
      </c>
      <c r="Z90" s="226">
        <f>SUMIFS(Banco[Monto],Banco[CtaCtbl],$C90,Banco[Periodo Contable],TEXT(Z$3,"mmm-yyyy"))</f>
        <v>0</v>
      </c>
      <c r="AA90" s="226">
        <f>SUMIFS(Banco[Monto],Banco[CtaCtbl],$C90,Banco[Periodo Contable],TEXT(AA$3,"mmm-yyyy"))</f>
        <v>0</v>
      </c>
      <c r="AB90" s="226">
        <f>SUMIFS(Banco[Monto],Banco[CtaCtbl],$C90,Banco[Periodo Contable],TEXT(AB$3,"mmm-yyyy"))</f>
        <v>0</v>
      </c>
      <c r="AC90" s="226">
        <f>SUMIFS(Banco[Monto],Banco[CtaCtbl],$C90,Banco[Periodo Contable],TEXT(AC$3,"mmm-yyyy"))</f>
        <v>0</v>
      </c>
      <c r="AD90" s="226">
        <f>SUMIFS(Banco[Monto],Banco[CtaCtbl],$C90,Banco[Periodo Contable],TEXT(AD$3,"mmm-yyyy"))</f>
        <v>0</v>
      </c>
      <c r="AE90" s="226">
        <f>SUMIFS(Banco[Monto],Banco[CtaCtbl],$C90,Banco[Periodo Contable],TEXT(AE$3,"mmm-yyyy"))</f>
        <v>0</v>
      </c>
      <c r="AF90" s="226">
        <f>SUMIFS(Banco[Monto],Banco[CtaCtbl],$C90,Banco[Periodo Contable],TEXT(AF$3,"mmm-yyyy"))</f>
        <v>0</v>
      </c>
      <c r="AG90" s="226">
        <f>SUMIFS(Banco[Monto],Banco[CtaCtbl],$C90,Banco[Periodo Contable],TEXT(AG$3,"mmm-yyyy"))</f>
        <v>0</v>
      </c>
      <c r="AH90" s="226">
        <f>SUMIFS(Banco[Monto],Banco[CtaCtbl],$C90,Banco[Periodo Contable],TEXT(AH$3,"mmm-yyyy"))</f>
        <v>0</v>
      </c>
      <c r="AI90" s="232">
        <f>SUM(Tabla17[[#This Row],[ene-23]:[dic-23]])</f>
        <v>0</v>
      </c>
      <c r="AJ90" s="226">
        <f>SUMIFS(Banco[Monto],Banco[CtaCtbl],$C90,Banco[Periodo Contable],TEXT(AJ$3,"mmm-yyyy"))</f>
        <v>0</v>
      </c>
      <c r="AK90" s="226">
        <f>SUMIFS(Banco[Monto],Banco[CtaCtbl],$C90,Banco[Periodo Contable],TEXT(AK$3,"mmm-yyyy"))</f>
        <v>0</v>
      </c>
      <c r="AL90" s="226">
        <f>SUMIFS(Banco[Monto],Banco[CtaCtbl],$C90,Banco[Periodo Contable],TEXT(AL$3,"mmm-yyyy"))</f>
        <v>0</v>
      </c>
      <c r="AM90" s="226">
        <f>SUMIFS(Banco[Monto],Banco[CtaCtbl],$C90,Banco[Periodo Contable],TEXT(AM$3,"mmm-yyyy"))</f>
        <v>0</v>
      </c>
      <c r="AN90" s="226">
        <f>SUMIFS(Banco[Monto],Banco[CtaCtbl],$C90,Banco[Periodo Contable],TEXT(AN$3,"mmm-yyyy"))</f>
        <v>0</v>
      </c>
      <c r="AO90" s="226">
        <f>SUMIFS(Banco[Monto],Banco[CtaCtbl],$C90,Banco[Periodo Contable],TEXT(AO$3,"mmm-yyyy"))</f>
        <v>0</v>
      </c>
      <c r="AP90" s="226">
        <f>SUMIFS(Banco[Monto],Banco[CtaCtbl],$C90,Banco[Periodo Contable],TEXT(AP$3,"mmm-yyyy"))</f>
        <v>0</v>
      </c>
      <c r="AQ90" s="226">
        <f>SUMIFS(Banco[Monto],Banco[CtaCtbl],$C90,Banco[Periodo Contable],TEXT(AQ$3,"mmm-yyyy"))</f>
        <v>0</v>
      </c>
      <c r="AR90" s="226">
        <f>SUMIFS(Banco[Monto],Banco[CtaCtbl],$C90,Banco[Periodo Contable],TEXT(AR$3,"mmm-yyyy"))</f>
        <v>0</v>
      </c>
      <c r="AS90" s="226">
        <f>SUMIFS(Banco[Monto],Banco[CtaCtbl],$C90,Banco[Periodo Contable],TEXT(AS$3,"mmm-yyyy"))</f>
        <v>0</v>
      </c>
      <c r="AT90" s="226">
        <f>SUMIFS(Banco[Monto],Banco[CtaCtbl],$C90,Banco[Periodo Contable],TEXT(AT$3,"mmm-yyyy"))</f>
        <v>0</v>
      </c>
      <c r="AU90" s="226">
        <f>SUMIFS(Banco[Monto],Banco[CtaCtbl],$C90,Banco[Periodo Contable],TEXT(AU$3,"mmm-yyyy"))</f>
        <v>0</v>
      </c>
      <c r="AV90" s="232">
        <f>SUM(Tabla17[[#This Row],[ene-24]:[dic-24]])</f>
        <v>0</v>
      </c>
      <c r="AW90" s="226">
        <f>SUMIFS(Banco[Monto],Banco[CtaCtbl],$C90,Banco[Periodo Contable],TEXT(AW$3,"mmm-yyyy"))</f>
        <v>0</v>
      </c>
      <c r="AX90" s="226">
        <f>SUMIFS(Banco[Monto],Banco[CtaCtbl],$C90,Banco[Periodo Contable],TEXT(AX$3,"mmm-yyyy"))</f>
        <v>0</v>
      </c>
      <c r="AY90" s="226">
        <f>SUMIFS(Banco[Monto],Banco[CtaCtbl],$C90,Banco[Periodo Contable],TEXT(AY$3,"mmm-yyyy"))</f>
        <v>0</v>
      </c>
      <c r="AZ90" s="226">
        <f>SUMIFS(Banco[Monto],Banco[CtaCtbl],$C90,Banco[Periodo Contable],TEXT(AZ$3,"mmm-yyyy"))</f>
        <v>0</v>
      </c>
      <c r="BA90" s="226">
        <f>SUMIFS(Banco[Monto],Banco[CtaCtbl],$C90,Banco[Periodo Contable],TEXT(BA$3,"mmm-yyyy"))</f>
        <v>0</v>
      </c>
      <c r="BB90" s="226">
        <f>SUMIFS(Banco[Monto],Banco[CtaCtbl],$C90,Banco[Periodo Contable],TEXT(BB$3,"mmm-yyyy"))</f>
        <v>0</v>
      </c>
      <c r="BC90" s="226">
        <f>SUMIFS(Banco[Monto],Banco[CtaCtbl],$C90,Banco[Periodo Contable],TEXT(BC$3,"mmm-yyyy"))</f>
        <v>0</v>
      </c>
      <c r="BD90" s="226">
        <f>SUMIFS(Banco[Monto],Banco[CtaCtbl],$C90,Banco[Periodo Contable],TEXT(BD$3,"mmm-yyyy"))</f>
        <v>0</v>
      </c>
      <c r="BE90" s="226">
        <f>SUMIFS(Banco[Monto],Banco[CtaCtbl],$C90,Banco[Periodo Contable],TEXT(BE$3,"mmm-yyyy"))</f>
        <v>0</v>
      </c>
      <c r="BF90" s="226">
        <f>SUMIFS(Banco[Monto],Banco[CtaCtbl],$C90,Banco[Periodo Contable],TEXT(BF$3,"mmm-yyyy"))</f>
        <v>0</v>
      </c>
      <c r="BG90" s="226">
        <f>SUMIFS(Banco[Monto],Banco[CtaCtbl],$C90,Banco[Periodo Contable],TEXT(BG$3,"mmm-yyyy"))</f>
        <v>0</v>
      </c>
      <c r="BH90" s="226">
        <f>SUMIFS(Banco[Monto],Banco[CtaCtbl],$C90,Banco[Periodo Contable],TEXT(BH$3,"mmm-yyyy"))</f>
        <v>0</v>
      </c>
      <c r="BI90" s="232">
        <f>SUM(Tabla17[[#This Row],[ene-25]:[dic-25]])</f>
        <v>0</v>
      </c>
      <c r="BJ90" s="226">
        <f>SUMIFS(Banco[Monto],Banco[CtaCtbl],$C90,Banco[Periodo Contable],TEXT(BJ$3,"mmm-yyyy"))</f>
        <v>0</v>
      </c>
      <c r="BK90" s="226">
        <f>SUMIFS(Banco[Monto],Banco[CtaCtbl],$C90,Banco[Periodo Contable],TEXT(BK$3,"mmm-yyyy"))</f>
        <v>0</v>
      </c>
      <c r="BL90" s="226">
        <f>SUMIFS(Banco[Monto],Banco[CtaCtbl],$C90,Banco[Periodo Contable],TEXT(BL$3,"mmm-yyyy"))</f>
        <v>0</v>
      </c>
      <c r="BM90" s="226">
        <f>SUMIFS(Banco[Monto],Banco[CtaCtbl],$C90,Banco[Periodo Contable],TEXT(BM$3,"mmm-yyyy"))</f>
        <v>0</v>
      </c>
      <c r="BN90" s="226">
        <f>SUMIFS(Banco[Monto],Banco[CtaCtbl],$C90,Banco[Periodo Contable],TEXT(BN$3,"mmm-yyyy"))</f>
        <v>0</v>
      </c>
      <c r="BO90" s="226">
        <f>SUMIFS(Banco[Monto],Banco[CtaCtbl],$C90,Banco[Periodo Contable],TEXT(BO$3,"mmm-yyyy"))</f>
        <v>0</v>
      </c>
      <c r="BP90" s="226">
        <f>SUMIFS(Banco[Monto],Banco[CtaCtbl],$C90,Banco[Periodo Contable],TEXT(BP$3,"mmm-yyyy"))</f>
        <v>0</v>
      </c>
      <c r="BQ90" s="226">
        <f>SUMIFS(Banco[Monto],Banco[CtaCtbl],$C90,Banco[Periodo Contable],TEXT(BQ$3,"mmm-yyyy"))</f>
        <v>0</v>
      </c>
      <c r="BR90" s="226">
        <f>SUMIFS(Banco[Monto],Banco[CtaCtbl],$C90,Banco[Periodo Contable],TEXT(BR$3,"mmm-yyyy"))</f>
        <v>0</v>
      </c>
      <c r="BS90" s="226">
        <f>SUMIFS(Banco[Monto],Banco[CtaCtbl],$C90,Banco[Periodo Contable],TEXT(BS$3,"mmm-yyyy"))</f>
        <v>0</v>
      </c>
      <c r="BT90" s="226">
        <f>SUMIFS(Banco[Monto],Banco[CtaCtbl],$C90,Banco[Periodo Contable],TEXT(BT$3,"mmm-yyyy"))</f>
        <v>0</v>
      </c>
      <c r="BU90" s="226">
        <f>SUMIFS(Banco[Monto],Banco[CtaCtbl],$C90,Banco[Periodo Contable],TEXT(BU$3,"mmm-yyyy"))</f>
        <v>0</v>
      </c>
      <c r="BV90" s="232">
        <f>SUM(Tabla17[[#This Row],[ene-26]:[dic-26]])</f>
        <v>0</v>
      </c>
      <c r="BW90" s="226">
        <f>SUMIFS(Banco[Monto],Banco[CtaCtbl],$C90,Banco[Periodo Contable],TEXT(BW$3,"mmm-yyyy"))</f>
        <v>0</v>
      </c>
    </row>
    <row r="91" spans="1:75" s="368" customFormat="1" ht="21.6" outlineLevel="2">
      <c r="A91" s="224" t="s">
        <v>404</v>
      </c>
      <c r="B91" s="223"/>
      <c r="C91" s="222" t="str">
        <f>+Tabla17[[#This Row],[Cuenta]]&amp;" - "&amp;Tabla17[[#This Row],[Descripcion Cuenta]]</f>
        <v xml:space="preserve">3.02.02 - </v>
      </c>
      <c r="D91" s="225"/>
      <c r="E91" s="226">
        <f>SUMIFS(Banco[Monto],Banco[CtaCtbl],$C91,Banco[Periodo Contable],TEXT(E$3,"mmm-yyyy"))</f>
        <v>0</v>
      </c>
      <c r="F91" s="226">
        <f>SUMIFS(Banco[Monto],Banco[CtaCtbl],$C91,Banco[Periodo Contable],TEXT(F$3,"mmm-yyyy"))</f>
        <v>0</v>
      </c>
      <c r="G91" s="226">
        <f>SUMIFS(Banco[Monto],Banco[CtaCtbl],$C91,Banco[Periodo Contable],TEXT(G$3,"mmm-yyyy"))</f>
        <v>0</v>
      </c>
      <c r="H91" s="226">
        <f>SUMIFS(Banco[Monto],Banco[CtaCtbl],$C91,Banco[Periodo Contable],TEXT(H$3,"mmm-yyyy"))</f>
        <v>0</v>
      </c>
      <c r="I91" s="226">
        <f>SUM(Tabla17[[#This Row],[sept-21]:[dic-21]])</f>
        <v>0</v>
      </c>
      <c r="J91" s="226">
        <f>SUMIFS(Banco[Monto],Banco[CtaCtbl],$C91,Banco[Periodo Contable],TEXT(J$3,"mmm-yyyy"))</f>
        <v>0</v>
      </c>
      <c r="K91" s="226">
        <f>SUMIFS(Banco[Monto],Banco[CtaCtbl],$C91,Banco[Periodo Contable],TEXT(K$3,"mmm-yyyy"))</f>
        <v>0</v>
      </c>
      <c r="L91" s="226">
        <f>SUMIFS(Banco[Monto],Banco[CtaCtbl],$C91,Banco[Periodo Contable],TEXT(L$3,"mmm-yyyy"))</f>
        <v>0</v>
      </c>
      <c r="M91" s="226">
        <f>SUMIFS(Banco[Monto],Banco[CtaCtbl],$C91,Banco[Periodo Contable],TEXT(M$3,"mmm-yyyy"))</f>
        <v>0</v>
      </c>
      <c r="N91" s="226">
        <f>SUMIFS(Banco[Monto],Banco[CtaCtbl],$C91,Banco[Periodo Contable],TEXT(N$3,"mmm-yyyy"))</f>
        <v>0</v>
      </c>
      <c r="O91" s="226">
        <f>SUMIFS(Banco[Monto],Banco[CtaCtbl],$C91,Banco[Periodo Contable],TEXT(O$3,"mmm-yyyy"))</f>
        <v>0</v>
      </c>
      <c r="P91" s="226">
        <f>SUMIFS(Banco[Monto],Banco[CtaCtbl],$C91,Banco[Periodo Contable],TEXT(P$3,"mmm-yyyy"))</f>
        <v>0</v>
      </c>
      <c r="Q91" s="226">
        <f>SUMIFS(Banco[Monto],Banco[CtaCtbl],$C91,Banco[Periodo Contable],TEXT(Q$3,"mmm-yyyy"))</f>
        <v>0</v>
      </c>
      <c r="R91" s="226">
        <f>SUMIFS(Banco[Monto],Banco[CtaCtbl],$C91,Banco[Periodo Contable],TEXT(R$3,"mmm-yyyy"))</f>
        <v>0</v>
      </c>
      <c r="S91" s="226">
        <f>SUMIFS(Banco[Monto],Banco[CtaCtbl],$C91,Banco[Periodo Contable],TEXT(S$3,"mmm-yyyy"))</f>
        <v>0</v>
      </c>
      <c r="T91" s="226">
        <f>SUMIFS(Banco[Monto],Banco[CtaCtbl],$C91,Banco[Periodo Contable],TEXT(T$3,"mmm-yyyy"))</f>
        <v>0</v>
      </c>
      <c r="U91" s="226">
        <f>SUMIFS(Banco[Monto],Banco[CtaCtbl],$C91,Banco[Periodo Contable],TEXT(U$3,"mmm-yyyy"))</f>
        <v>0</v>
      </c>
      <c r="V91" s="232">
        <f>SUM(Tabla17[[#This Row],[ene-22]:[dic-22]])</f>
        <v>0</v>
      </c>
      <c r="W91" s="226">
        <f>SUMIFS(Banco[Monto],Banco[CtaCtbl],$C91,Banco[Periodo Contable],TEXT(W$3,"mmm-yyyy"))</f>
        <v>0</v>
      </c>
      <c r="X91" s="226">
        <f>SUMIFS(Banco[Monto],Banco[CtaCtbl],$C91,Banco[Periodo Contable],TEXT(X$3,"mmm-yyyy"))</f>
        <v>0</v>
      </c>
      <c r="Y91" s="226">
        <f>SUMIFS(Banco[Monto],Banco[CtaCtbl],$C91,Banco[Periodo Contable],TEXT(Y$3,"mmm-yyyy"))</f>
        <v>0</v>
      </c>
      <c r="Z91" s="226">
        <f>SUMIFS(Banco[Monto],Banco[CtaCtbl],$C91,Banco[Periodo Contable],TEXT(Z$3,"mmm-yyyy"))</f>
        <v>0</v>
      </c>
      <c r="AA91" s="226">
        <f>SUMIFS(Banco[Monto],Banco[CtaCtbl],$C91,Banco[Periodo Contable],TEXT(AA$3,"mmm-yyyy"))</f>
        <v>0</v>
      </c>
      <c r="AB91" s="226">
        <f>SUMIFS(Banco[Monto],Banco[CtaCtbl],$C91,Banco[Periodo Contable],TEXT(AB$3,"mmm-yyyy"))</f>
        <v>0</v>
      </c>
      <c r="AC91" s="226">
        <f>SUMIFS(Banco[Monto],Banco[CtaCtbl],$C91,Banco[Periodo Contable],TEXT(AC$3,"mmm-yyyy"))</f>
        <v>0</v>
      </c>
      <c r="AD91" s="226">
        <f>SUMIFS(Banco[Monto],Banco[CtaCtbl],$C91,Banco[Periodo Contable],TEXT(AD$3,"mmm-yyyy"))</f>
        <v>0</v>
      </c>
      <c r="AE91" s="226">
        <f>SUMIFS(Banco[Monto],Banco[CtaCtbl],$C91,Banco[Periodo Contable],TEXT(AE$3,"mmm-yyyy"))</f>
        <v>0</v>
      </c>
      <c r="AF91" s="226">
        <f>SUMIFS(Banco[Monto],Banco[CtaCtbl],$C91,Banco[Periodo Contable],TEXT(AF$3,"mmm-yyyy"))</f>
        <v>0</v>
      </c>
      <c r="AG91" s="226">
        <f>SUMIFS(Banco[Monto],Banco[CtaCtbl],$C91,Banco[Periodo Contable],TEXT(AG$3,"mmm-yyyy"))</f>
        <v>0</v>
      </c>
      <c r="AH91" s="226">
        <f>SUMIFS(Banco[Monto],Banco[CtaCtbl],$C91,Banco[Periodo Contable],TEXT(AH$3,"mmm-yyyy"))</f>
        <v>0</v>
      </c>
      <c r="AI91" s="232">
        <f>SUM(Tabla17[[#This Row],[ene-23]:[dic-23]])</f>
        <v>0</v>
      </c>
      <c r="AJ91" s="226">
        <f>SUMIFS(Banco[Monto],Banco[CtaCtbl],$C91,Banco[Periodo Contable],TEXT(AJ$3,"mmm-yyyy"))</f>
        <v>0</v>
      </c>
      <c r="AK91" s="226">
        <f>SUMIFS(Banco[Monto],Banco[CtaCtbl],$C91,Banco[Periodo Contable],TEXT(AK$3,"mmm-yyyy"))</f>
        <v>0</v>
      </c>
      <c r="AL91" s="226">
        <f>SUMIFS(Banco[Monto],Banco[CtaCtbl],$C91,Banco[Periodo Contable],TEXT(AL$3,"mmm-yyyy"))</f>
        <v>0</v>
      </c>
      <c r="AM91" s="226">
        <f>SUMIFS(Banco[Monto],Banco[CtaCtbl],$C91,Banco[Periodo Contable],TEXT(AM$3,"mmm-yyyy"))</f>
        <v>0</v>
      </c>
      <c r="AN91" s="226">
        <f>SUMIFS(Banco[Monto],Banco[CtaCtbl],$C91,Banco[Periodo Contable],TEXT(AN$3,"mmm-yyyy"))</f>
        <v>0</v>
      </c>
      <c r="AO91" s="226">
        <f>SUMIFS(Banco[Monto],Banco[CtaCtbl],$C91,Banco[Periodo Contable],TEXT(AO$3,"mmm-yyyy"))</f>
        <v>0</v>
      </c>
      <c r="AP91" s="226">
        <f>SUMIFS(Banco[Monto],Banco[CtaCtbl],$C91,Banco[Periodo Contable],TEXT(AP$3,"mmm-yyyy"))</f>
        <v>0</v>
      </c>
      <c r="AQ91" s="226">
        <f>SUMIFS(Banco[Monto],Banco[CtaCtbl],$C91,Banco[Periodo Contable],TEXT(AQ$3,"mmm-yyyy"))</f>
        <v>0</v>
      </c>
      <c r="AR91" s="226">
        <f>SUMIFS(Banco[Monto],Banco[CtaCtbl],$C91,Banco[Periodo Contable],TEXT(AR$3,"mmm-yyyy"))</f>
        <v>0</v>
      </c>
      <c r="AS91" s="226">
        <f>SUMIFS(Banco[Monto],Banco[CtaCtbl],$C91,Banco[Periodo Contable],TEXT(AS$3,"mmm-yyyy"))</f>
        <v>0</v>
      </c>
      <c r="AT91" s="226">
        <f>SUMIFS(Banco[Monto],Banco[CtaCtbl],$C91,Banco[Periodo Contable],TEXT(AT$3,"mmm-yyyy"))</f>
        <v>0</v>
      </c>
      <c r="AU91" s="226">
        <f>SUMIFS(Banco[Monto],Banco[CtaCtbl],$C91,Banco[Periodo Contable],TEXT(AU$3,"mmm-yyyy"))</f>
        <v>0</v>
      </c>
      <c r="AV91" s="232">
        <f>SUM(Tabla17[[#This Row],[ene-24]:[dic-24]])</f>
        <v>0</v>
      </c>
      <c r="AW91" s="226">
        <f>SUMIFS(Banco[Monto],Banco[CtaCtbl],$C91,Banco[Periodo Contable],TEXT(AW$3,"mmm-yyyy"))</f>
        <v>0</v>
      </c>
      <c r="AX91" s="226">
        <f>SUMIFS(Banco[Monto],Banco[CtaCtbl],$C91,Banco[Periodo Contable],TEXT(AX$3,"mmm-yyyy"))</f>
        <v>0</v>
      </c>
      <c r="AY91" s="226">
        <f>SUMIFS(Banco[Monto],Banco[CtaCtbl],$C91,Banco[Periodo Contable],TEXT(AY$3,"mmm-yyyy"))</f>
        <v>0</v>
      </c>
      <c r="AZ91" s="226">
        <f>SUMIFS(Banco[Monto],Banco[CtaCtbl],$C91,Banco[Periodo Contable],TEXT(AZ$3,"mmm-yyyy"))</f>
        <v>0</v>
      </c>
      <c r="BA91" s="226">
        <f>SUMIFS(Banco[Monto],Banco[CtaCtbl],$C91,Banco[Periodo Contable],TEXT(BA$3,"mmm-yyyy"))</f>
        <v>0</v>
      </c>
      <c r="BB91" s="226">
        <f>SUMIFS(Banco[Monto],Banco[CtaCtbl],$C91,Banco[Periodo Contable],TEXT(BB$3,"mmm-yyyy"))</f>
        <v>0</v>
      </c>
      <c r="BC91" s="226">
        <f>SUMIFS(Banco[Monto],Banco[CtaCtbl],$C91,Banco[Periodo Contable],TEXT(BC$3,"mmm-yyyy"))</f>
        <v>0</v>
      </c>
      <c r="BD91" s="226">
        <f>SUMIFS(Banco[Monto],Banco[CtaCtbl],$C91,Banco[Periodo Contable],TEXT(BD$3,"mmm-yyyy"))</f>
        <v>0</v>
      </c>
      <c r="BE91" s="226">
        <f>SUMIFS(Banco[Monto],Banco[CtaCtbl],$C91,Banco[Periodo Contable],TEXT(BE$3,"mmm-yyyy"))</f>
        <v>0</v>
      </c>
      <c r="BF91" s="226">
        <f>SUMIFS(Banco[Monto],Banco[CtaCtbl],$C91,Banco[Periodo Contable],TEXT(BF$3,"mmm-yyyy"))</f>
        <v>0</v>
      </c>
      <c r="BG91" s="226">
        <f>SUMIFS(Banco[Monto],Banco[CtaCtbl],$C91,Banco[Periodo Contable],TEXT(BG$3,"mmm-yyyy"))</f>
        <v>0</v>
      </c>
      <c r="BH91" s="226">
        <f>SUMIFS(Banco[Monto],Banco[CtaCtbl],$C91,Banco[Periodo Contable],TEXT(BH$3,"mmm-yyyy"))</f>
        <v>0</v>
      </c>
      <c r="BI91" s="232">
        <f>SUM(Tabla17[[#This Row],[ene-25]:[dic-25]])</f>
        <v>0</v>
      </c>
      <c r="BJ91" s="226">
        <f>SUMIFS(Banco[Monto],Banco[CtaCtbl],$C91,Banco[Periodo Contable],TEXT(BJ$3,"mmm-yyyy"))</f>
        <v>0</v>
      </c>
      <c r="BK91" s="226">
        <f>SUMIFS(Banco[Monto],Banco[CtaCtbl],$C91,Banco[Periodo Contable],TEXT(BK$3,"mmm-yyyy"))</f>
        <v>0</v>
      </c>
      <c r="BL91" s="226">
        <f>SUMIFS(Banco[Monto],Banco[CtaCtbl],$C91,Banco[Periodo Contable],TEXT(BL$3,"mmm-yyyy"))</f>
        <v>0</v>
      </c>
      <c r="BM91" s="226">
        <f>SUMIFS(Banco[Monto],Banco[CtaCtbl],$C91,Banco[Periodo Contable],TEXT(BM$3,"mmm-yyyy"))</f>
        <v>0</v>
      </c>
      <c r="BN91" s="226">
        <f>SUMIFS(Banco[Monto],Banco[CtaCtbl],$C91,Banco[Periodo Contable],TEXT(BN$3,"mmm-yyyy"))</f>
        <v>0</v>
      </c>
      <c r="BO91" s="226">
        <f>SUMIFS(Banco[Monto],Banco[CtaCtbl],$C91,Banco[Periodo Contable],TEXT(BO$3,"mmm-yyyy"))</f>
        <v>0</v>
      </c>
      <c r="BP91" s="226">
        <f>SUMIFS(Banco[Monto],Banco[CtaCtbl],$C91,Banco[Periodo Contable],TEXT(BP$3,"mmm-yyyy"))</f>
        <v>0</v>
      </c>
      <c r="BQ91" s="226">
        <f>SUMIFS(Banco[Monto],Banco[CtaCtbl],$C91,Banco[Periodo Contable],TEXT(BQ$3,"mmm-yyyy"))</f>
        <v>0</v>
      </c>
      <c r="BR91" s="226">
        <f>SUMIFS(Banco[Monto],Banco[CtaCtbl],$C91,Banco[Periodo Contable],TEXT(BR$3,"mmm-yyyy"))</f>
        <v>0</v>
      </c>
      <c r="BS91" s="226">
        <f>SUMIFS(Banco[Monto],Banco[CtaCtbl],$C91,Banco[Periodo Contable],TEXT(BS$3,"mmm-yyyy"))</f>
        <v>0</v>
      </c>
      <c r="BT91" s="226">
        <f>SUMIFS(Banco[Monto],Banco[CtaCtbl],$C91,Banco[Periodo Contable],TEXT(BT$3,"mmm-yyyy"))</f>
        <v>0</v>
      </c>
      <c r="BU91" s="226">
        <f>SUMIFS(Banco[Monto],Banco[CtaCtbl],$C91,Banco[Periodo Contable],TEXT(BU$3,"mmm-yyyy"))</f>
        <v>0</v>
      </c>
      <c r="BV91" s="232">
        <f>SUM(Tabla17[[#This Row],[ene-26]:[dic-26]])</f>
        <v>0</v>
      </c>
      <c r="BW91" s="226">
        <f>SUMIFS(Banco[Monto],Banco[CtaCtbl],$C91,Banco[Periodo Contable],TEXT(BW$3,"mmm-yyyy"))</f>
        <v>0</v>
      </c>
    </row>
    <row r="92" spans="1:75" s="368" customFormat="1" ht="21.6" outlineLevel="2">
      <c r="A92" s="224" t="s">
        <v>405</v>
      </c>
      <c r="B92" s="223"/>
      <c r="C92" s="222" t="str">
        <f>+Tabla17[[#This Row],[Cuenta]]&amp;" - "&amp;Tabla17[[#This Row],[Descripcion Cuenta]]</f>
        <v xml:space="preserve">3.02.03 - </v>
      </c>
      <c r="D92" s="225"/>
      <c r="E92" s="226">
        <f>SUMIFS(Banco[Monto],Banco[CtaCtbl],$C92,Banco[Periodo Contable],TEXT(E$3,"mmm-yyyy"))</f>
        <v>0</v>
      </c>
      <c r="F92" s="226">
        <f>SUMIFS(Banco[Monto],Banco[CtaCtbl],$C92,Banco[Periodo Contable],TEXT(F$3,"mmm-yyyy"))</f>
        <v>0</v>
      </c>
      <c r="G92" s="226">
        <f>SUMIFS(Banco[Monto],Banco[CtaCtbl],$C92,Banco[Periodo Contable],TEXT(G$3,"mmm-yyyy"))</f>
        <v>0</v>
      </c>
      <c r="H92" s="226">
        <f>SUMIFS(Banco[Monto],Banco[CtaCtbl],$C92,Banco[Periodo Contable],TEXT(H$3,"mmm-yyyy"))</f>
        <v>0</v>
      </c>
      <c r="I92" s="226">
        <f>SUM(Tabla17[[#This Row],[sept-21]:[dic-21]])</f>
        <v>0</v>
      </c>
      <c r="J92" s="226">
        <f>SUMIFS(Banco[Monto],Banco[CtaCtbl],$C92,Banco[Periodo Contable],TEXT(J$3,"mmm-yyyy"))</f>
        <v>0</v>
      </c>
      <c r="K92" s="226">
        <f>SUMIFS(Banco[Monto],Banco[CtaCtbl],$C92,Banco[Periodo Contable],TEXT(K$3,"mmm-yyyy"))</f>
        <v>0</v>
      </c>
      <c r="L92" s="226">
        <f>SUMIFS(Banco[Monto],Banco[CtaCtbl],$C92,Banco[Periodo Contable],TEXT(L$3,"mmm-yyyy"))</f>
        <v>0</v>
      </c>
      <c r="M92" s="226">
        <f>SUMIFS(Banco[Monto],Banco[CtaCtbl],$C92,Banco[Periodo Contable],TEXT(M$3,"mmm-yyyy"))</f>
        <v>0</v>
      </c>
      <c r="N92" s="226">
        <f>SUMIFS(Banco[Monto],Banco[CtaCtbl],$C92,Banco[Periodo Contable],TEXT(N$3,"mmm-yyyy"))</f>
        <v>0</v>
      </c>
      <c r="O92" s="226">
        <f>SUMIFS(Banco[Monto],Banco[CtaCtbl],$C92,Banco[Periodo Contable],TEXT(O$3,"mmm-yyyy"))</f>
        <v>0</v>
      </c>
      <c r="P92" s="226">
        <f>SUMIFS(Banco[Monto],Banco[CtaCtbl],$C92,Banco[Periodo Contable],TEXT(P$3,"mmm-yyyy"))</f>
        <v>0</v>
      </c>
      <c r="Q92" s="226">
        <f>SUMIFS(Banco[Monto],Banco[CtaCtbl],$C92,Banco[Periodo Contable],TEXT(Q$3,"mmm-yyyy"))</f>
        <v>0</v>
      </c>
      <c r="R92" s="226">
        <f>SUMIFS(Banco[Monto],Banco[CtaCtbl],$C92,Banco[Periodo Contable],TEXT(R$3,"mmm-yyyy"))</f>
        <v>0</v>
      </c>
      <c r="S92" s="226">
        <f>SUMIFS(Banco[Monto],Banco[CtaCtbl],$C92,Banco[Periodo Contable],TEXT(S$3,"mmm-yyyy"))</f>
        <v>0</v>
      </c>
      <c r="T92" s="226">
        <f>SUMIFS(Banco[Monto],Banco[CtaCtbl],$C92,Banco[Periodo Contable],TEXT(T$3,"mmm-yyyy"))</f>
        <v>0</v>
      </c>
      <c r="U92" s="226">
        <f>SUMIFS(Banco[Monto],Banco[CtaCtbl],$C92,Banco[Periodo Contable],TEXT(U$3,"mmm-yyyy"))</f>
        <v>0</v>
      </c>
      <c r="V92" s="232">
        <f>SUM(Tabla17[[#This Row],[ene-22]:[dic-22]])</f>
        <v>0</v>
      </c>
      <c r="W92" s="226">
        <f>SUMIFS(Banco[Monto],Banco[CtaCtbl],$C92,Banco[Periodo Contable],TEXT(W$3,"mmm-yyyy"))</f>
        <v>0</v>
      </c>
      <c r="X92" s="226">
        <f>SUMIFS(Banco[Monto],Banco[CtaCtbl],$C92,Banco[Periodo Contable],TEXT(X$3,"mmm-yyyy"))</f>
        <v>0</v>
      </c>
      <c r="Y92" s="226">
        <f>SUMIFS(Banco[Monto],Banco[CtaCtbl],$C92,Banco[Periodo Contable],TEXT(Y$3,"mmm-yyyy"))</f>
        <v>0</v>
      </c>
      <c r="Z92" s="226">
        <f>SUMIFS(Banco[Monto],Banco[CtaCtbl],$C92,Banco[Periodo Contable],TEXT(Z$3,"mmm-yyyy"))</f>
        <v>0</v>
      </c>
      <c r="AA92" s="226">
        <f>SUMIFS(Banco[Monto],Banco[CtaCtbl],$C92,Banco[Periodo Contable],TEXT(AA$3,"mmm-yyyy"))</f>
        <v>0</v>
      </c>
      <c r="AB92" s="226">
        <f>SUMIFS(Banco[Monto],Banco[CtaCtbl],$C92,Banco[Periodo Contable],TEXT(AB$3,"mmm-yyyy"))</f>
        <v>0</v>
      </c>
      <c r="AC92" s="226">
        <f>SUMIFS(Banco[Monto],Banco[CtaCtbl],$C92,Banco[Periodo Contable],TEXT(AC$3,"mmm-yyyy"))</f>
        <v>0</v>
      </c>
      <c r="AD92" s="226">
        <f>SUMIFS(Banco[Monto],Banco[CtaCtbl],$C92,Banco[Periodo Contable],TEXT(AD$3,"mmm-yyyy"))</f>
        <v>0</v>
      </c>
      <c r="AE92" s="226">
        <f>SUMIFS(Banco[Monto],Banco[CtaCtbl],$C92,Banco[Periodo Contable],TEXT(AE$3,"mmm-yyyy"))</f>
        <v>0</v>
      </c>
      <c r="AF92" s="226">
        <f>SUMIFS(Banco[Monto],Banco[CtaCtbl],$C92,Banco[Periodo Contable],TEXT(AF$3,"mmm-yyyy"))</f>
        <v>0</v>
      </c>
      <c r="AG92" s="226">
        <f>SUMIFS(Banco[Monto],Banco[CtaCtbl],$C92,Banco[Periodo Contable],TEXT(AG$3,"mmm-yyyy"))</f>
        <v>0</v>
      </c>
      <c r="AH92" s="226">
        <f>SUMIFS(Banco[Monto],Banco[CtaCtbl],$C92,Banco[Periodo Contable],TEXT(AH$3,"mmm-yyyy"))</f>
        <v>0</v>
      </c>
      <c r="AI92" s="232">
        <f>SUM(Tabla17[[#This Row],[ene-23]:[dic-23]])</f>
        <v>0</v>
      </c>
      <c r="AJ92" s="226">
        <f>SUMIFS(Banco[Monto],Banco[CtaCtbl],$C92,Banco[Periodo Contable],TEXT(AJ$3,"mmm-yyyy"))</f>
        <v>0</v>
      </c>
      <c r="AK92" s="226">
        <f>SUMIFS(Banco[Monto],Banco[CtaCtbl],$C92,Banco[Periodo Contable],TEXT(AK$3,"mmm-yyyy"))</f>
        <v>0</v>
      </c>
      <c r="AL92" s="226">
        <f>SUMIFS(Banco[Monto],Banco[CtaCtbl],$C92,Banco[Periodo Contable],TEXT(AL$3,"mmm-yyyy"))</f>
        <v>0</v>
      </c>
      <c r="AM92" s="226">
        <f>SUMIFS(Banco[Monto],Banco[CtaCtbl],$C92,Banco[Periodo Contable],TEXT(AM$3,"mmm-yyyy"))</f>
        <v>0</v>
      </c>
      <c r="AN92" s="226">
        <f>SUMIFS(Banco[Monto],Banco[CtaCtbl],$C92,Banco[Periodo Contable],TEXT(AN$3,"mmm-yyyy"))</f>
        <v>0</v>
      </c>
      <c r="AO92" s="226">
        <f>SUMIFS(Banco[Monto],Banco[CtaCtbl],$C92,Banco[Periodo Contable],TEXT(AO$3,"mmm-yyyy"))</f>
        <v>0</v>
      </c>
      <c r="AP92" s="226">
        <f>SUMIFS(Banco[Monto],Banco[CtaCtbl],$C92,Banco[Periodo Contable],TEXT(AP$3,"mmm-yyyy"))</f>
        <v>0</v>
      </c>
      <c r="AQ92" s="226">
        <f>SUMIFS(Banco[Monto],Banco[CtaCtbl],$C92,Banco[Periodo Contable],TEXT(AQ$3,"mmm-yyyy"))</f>
        <v>0</v>
      </c>
      <c r="AR92" s="226">
        <f>SUMIFS(Banco[Monto],Banco[CtaCtbl],$C92,Banco[Periodo Contable],TEXT(AR$3,"mmm-yyyy"))</f>
        <v>0</v>
      </c>
      <c r="AS92" s="226">
        <f>SUMIFS(Banco[Monto],Banco[CtaCtbl],$C92,Banco[Periodo Contable],TEXT(AS$3,"mmm-yyyy"))</f>
        <v>0</v>
      </c>
      <c r="AT92" s="226">
        <f>SUMIFS(Banco[Monto],Banco[CtaCtbl],$C92,Banco[Periodo Contable],TEXT(AT$3,"mmm-yyyy"))</f>
        <v>0</v>
      </c>
      <c r="AU92" s="226">
        <f>SUMIFS(Banco[Monto],Banco[CtaCtbl],$C92,Banco[Periodo Contable],TEXT(AU$3,"mmm-yyyy"))</f>
        <v>0</v>
      </c>
      <c r="AV92" s="232">
        <f>SUM(Tabla17[[#This Row],[ene-24]:[dic-24]])</f>
        <v>0</v>
      </c>
      <c r="AW92" s="226">
        <f>SUMIFS(Banco[Monto],Banco[CtaCtbl],$C92,Banco[Periodo Contable],TEXT(AW$3,"mmm-yyyy"))</f>
        <v>0</v>
      </c>
      <c r="AX92" s="226">
        <f>SUMIFS(Banco[Monto],Banco[CtaCtbl],$C92,Banco[Periodo Contable],TEXT(AX$3,"mmm-yyyy"))</f>
        <v>0</v>
      </c>
      <c r="AY92" s="226">
        <f>SUMIFS(Banco[Monto],Banco[CtaCtbl],$C92,Banco[Periodo Contable],TEXT(AY$3,"mmm-yyyy"))</f>
        <v>0</v>
      </c>
      <c r="AZ92" s="226">
        <f>SUMIFS(Banco[Monto],Banco[CtaCtbl],$C92,Banco[Periodo Contable],TEXT(AZ$3,"mmm-yyyy"))</f>
        <v>0</v>
      </c>
      <c r="BA92" s="226">
        <f>SUMIFS(Banco[Monto],Banco[CtaCtbl],$C92,Banco[Periodo Contable],TEXT(BA$3,"mmm-yyyy"))</f>
        <v>0</v>
      </c>
      <c r="BB92" s="226">
        <f>SUMIFS(Banco[Monto],Banco[CtaCtbl],$C92,Banco[Periodo Contable],TEXT(BB$3,"mmm-yyyy"))</f>
        <v>0</v>
      </c>
      <c r="BC92" s="226">
        <f>SUMIFS(Banco[Monto],Banco[CtaCtbl],$C92,Banco[Periodo Contable],TEXT(BC$3,"mmm-yyyy"))</f>
        <v>0</v>
      </c>
      <c r="BD92" s="226">
        <f>SUMIFS(Banco[Monto],Banco[CtaCtbl],$C92,Banco[Periodo Contable],TEXT(BD$3,"mmm-yyyy"))</f>
        <v>0</v>
      </c>
      <c r="BE92" s="226">
        <f>SUMIFS(Banco[Monto],Banco[CtaCtbl],$C92,Banco[Periodo Contable],TEXT(BE$3,"mmm-yyyy"))</f>
        <v>0</v>
      </c>
      <c r="BF92" s="226">
        <f>SUMIFS(Banco[Monto],Banco[CtaCtbl],$C92,Banco[Periodo Contable],TEXT(BF$3,"mmm-yyyy"))</f>
        <v>0</v>
      </c>
      <c r="BG92" s="226">
        <f>SUMIFS(Banco[Monto],Banco[CtaCtbl],$C92,Banco[Periodo Contable],TEXT(BG$3,"mmm-yyyy"))</f>
        <v>0</v>
      </c>
      <c r="BH92" s="226">
        <f>SUMIFS(Banco[Monto],Banco[CtaCtbl],$C92,Banco[Periodo Contable],TEXT(BH$3,"mmm-yyyy"))</f>
        <v>0</v>
      </c>
      <c r="BI92" s="232">
        <f>SUM(Tabla17[[#This Row],[ene-25]:[dic-25]])</f>
        <v>0</v>
      </c>
      <c r="BJ92" s="226">
        <f>SUMIFS(Banco[Monto],Banco[CtaCtbl],$C92,Banco[Periodo Contable],TEXT(BJ$3,"mmm-yyyy"))</f>
        <v>0</v>
      </c>
      <c r="BK92" s="226">
        <f>SUMIFS(Banco[Monto],Banco[CtaCtbl],$C92,Banco[Periodo Contable],TEXT(BK$3,"mmm-yyyy"))</f>
        <v>0</v>
      </c>
      <c r="BL92" s="226">
        <f>SUMIFS(Banco[Monto],Banco[CtaCtbl],$C92,Banco[Periodo Contable],TEXT(BL$3,"mmm-yyyy"))</f>
        <v>0</v>
      </c>
      <c r="BM92" s="226">
        <f>SUMIFS(Banco[Monto],Banco[CtaCtbl],$C92,Banco[Periodo Contable],TEXT(BM$3,"mmm-yyyy"))</f>
        <v>0</v>
      </c>
      <c r="BN92" s="226">
        <f>SUMIFS(Banco[Monto],Banco[CtaCtbl],$C92,Banco[Periodo Contable],TEXT(BN$3,"mmm-yyyy"))</f>
        <v>0</v>
      </c>
      <c r="BO92" s="226">
        <f>SUMIFS(Banco[Monto],Banco[CtaCtbl],$C92,Banco[Periodo Contable],TEXT(BO$3,"mmm-yyyy"))</f>
        <v>0</v>
      </c>
      <c r="BP92" s="226">
        <f>SUMIFS(Banco[Monto],Banco[CtaCtbl],$C92,Banco[Periodo Contable],TEXT(BP$3,"mmm-yyyy"))</f>
        <v>0</v>
      </c>
      <c r="BQ92" s="226">
        <f>SUMIFS(Banco[Monto],Banco[CtaCtbl],$C92,Banco[Periodo Contable],TEXT(BQ$3,"mmm-yyyy"))</f>
        <v>0</v>
      </c>
      <c r="BR92" s="226">
        <f>SUMIFS(Banco[Monto],Banco[CtaCtbl],$C92,Banco[Periodo Contable],TEXT(BR$3,"mmm-yyyy"))</f>
        <v>0</v>
      </c>
      <c r="BS92" s="226">
        <f>SUMIFS(Banco[Monto],Banco[CtaCtbl],$C92,Banco[Periodo Contable],TEXT(BS$3,"mmm-yyyy"))</f>
        <v>0</v>
      </c>
      <c r="BT92" s="226">
        <f>SUMIFS(Banco[Monto],Banco[CtaCtbl],$C92,Banco[Periodo Contable],TEXT(BT$3,"mmm-yyyy"))</f>
        <v>0</v>
      </c>
      <c r="BU92" s="226">
        <f>SUMIFS(Banco[Monto],Banco[CtaCtbl],$C92,Banco[Periodo Contable],TEXT(BU$3,"mmm-yyyy"))</f>
        <v>0</v>
      </c>
      <c r="BV92" s="232">
        <f>SUM(Tabla17[[#This Row],[ene-26]:[dic-26]])</f>
        <v>0</v>
      </c>
      <c r="BW92" s="226">
        <f>SUMIFS(Banco[Monto],Banco[CtaCtbl],$C92,Banco[Periodo Contable],TEXT(BW$3,"mmm-yyyy"))</f>
        <v>0</v>
      </c>
    </row>
    <row r="93" spans="1:75" s="293" customFormat="1" ht="21" customHeight="1" outlineLevel="1">
      <c r="A93" s="331" t="s">
        <v>406</v>
      </c>
      <c r="B93" s="346" t="s">
        <v>407</v>
      </c>
      <c r="C93" s="347" t="str">
        <f>+Tabla17[[#This Row],[Cuenta]]&amp;" - "&amp;Tabla17[[#This Row],[Descripcion Cuenta]]</f>
        <v>3.03 - Gastos Financieros</v>
      </c>
      <c r="D93" s="334"/>
      <c r="E93" s="348">
        <f t="shared" ref="E93:BW93" si="276">SUBTOTAL(9,E94:E96)</f>
        <v>0</v>
      </c>
      <c r="F93" s="348">
        <f t="shared" si="276"/>
        <v>0</v>
      </c>
      <c r="G93" s="348">
        <f t="shared" si="276"/>
        <v>0</v>
      </c>
      <c r="H93" s="348">
        <f t="shared" si="276"/>
        <v>-18312</v>
      </c>
      <c r="I93" s="348">
        <f>SUM(Tabla17[[#This Row],[sept-21]:[dic-21]])</f>
        <v>-18312</v>
      </c>
      <c r="J93" s="348">
        <f t="shared" si="276"/>
        <v>-18449</v>
      </c>
      <c r="K93" s="348">
        <f t="shared" si="276"/>
        <v>-18576</v>
      </c>
      <c r="L93" s="348">
        <f t="shared" si="276"/>
        <v>-18773</v>
      </c>
      <c r="M93" s="348">
        <f t="shared" si="276"/>
        <v>-18879</v>
      </c>
      <c r="N93" s="348">
        <f t="shared" si="276"/>
        <v>-19169</v>
      </c>
      <c r="O93" s="348">
        <f t="shared" si="276"/>
        <v>-19453</v>
      </c>
      <c r="P93" s="348">
        <f t="shared" si="276"/>
        <v>-19695</v>
      </c>
      <c r="Q93" s="348">
        <f t="shared" si="276"/>
        <v>-19888</v>
      </c>
      <c r="R93" s="348">
        <f t="shared" si="276"/>
        <v>-20142</v>
      </c>
      <c r="S93" s="348">
        <f t="shared" si="276"/>
        <v>-20409</v>
      </c>
      <c r="T93" s="348">
        <f t="shared" si="276"/>
        <v>-20599</v>
      </c>
      <c r="U93" s="348">
        <f t="shared" si="276"/>
        <v>-20717</v>
      </c>
      <c r="V93" s="348">
        <f t="shared" si="276"/>
        <v>-234749</v>
      </c>
      <c r="W93" s="348">
        <f t="shared" si="276"/>
        <v>-20911</v>
      </c>
      <c r="X93" s="348">
        <f t="shared" si="276"/>
        <v>-20998</v>
      </c>
      <c r="Y93" s="348">
        <f t="shared" si="276"/>
        <v>-21134</v>
      </c>
      <c r="Z93" s="348">
        <f t="shared" si="276"/>
        <v>-21165</v>
      </c>
      <c r="AA93" s="348">
        <f t="shared" si="276"/>
        <v>-21339</v>
      </c>
      <c r="AB93" s="348">
        <f t="shared" si="276"/>
        <v>-21441</v>
      </c>
      <c r="AC93" s="348">
        <f t="shared" si="276"/>
        <v>-21476</v>
      </c>
      <c r="AD93" s="348">
        <f t="shared" si="276"/>
        <v>-21447</v>
      </c>
      <c r="AE93" s="348">
        <f t="shared" si="276"/>
        <v>-21500</v>
      </c>
      <c r="AF93" s="348">
        <f t="shared" si="276"/>
        <v>-21539</v>
      </c>
      <c r="AG93" s="348">
        <f t="shared" si="276"/>
        <v>-21660</v>
      </c>
      <c r="AH93" s="348">
        <f t="shared" si="276"/>
        <v>-21758</v>
      </c>
      <c r="AI93" s="348">
        <f t="shared" si="276"/>
        <v>-256368</v>
      </c>
      <c r="AJ93" s="348">
        <f t="shared" si="276"/>
        <v>-21900</v>
      </c>
      <c r="AK93" s="348">
        <f t="shared" si="276"/>
        <v>-21853</v>
      </c>
      <c r="AL93" s="348">
        <f t="shared" si="276"/>
        <v>-21935</v>
      </c>
      <c r="AM93" s="348">
        <f t="shared" si="276"/>
        <v>-22075</v>
      </c>
      <c r="AN93" s="348">
        <f t="shared" si="276"/>
        <v>-22177</v>
      </c>
      <c r="AO93" s="348">
        <f t="shared" si="276"/>
        <v>-22286</v>
      </c>
      <c r="AP93" s="348">
        <f t="shared" si="276"/>
        <v>-22358</v>
      </c>
      <c r="AQ93" s="348">
        <f t="shared" si="276"/>
        <v>-53359</v>
      </c>
      <c r="AR93" s="348">
        <f t="shared" si="276"/>
        <v>-22474</v>
      </c>
      <c r="AS93" s="348">
        <f t="shared" si="276"/>
        <v>-22559</v>
      </c>
      <c r="AT93" s="348">
        <f t="shared" si="276"/>
        <v>-22596</v>
      </c>
      <c r="AU93" s="348">
        <f t="shared" si="276"/>
        <v>-22773</v>
      </c>
      <c r="AV93" s="348">
        <f t="shared" si="276"/>
        <v>-298345</v>
      </c>
      <c r="AW93" s="348">
        <f>SUBTOTAL(9,AW94:AW96)</f>
        <v>-22861</v>
      </c>
      <c r="AX93" s="348">
        <f t="shared" ref="AX93:BH93" si="277">SUBTOTAL(9,AX94:AX96)</f>
        <v>-22834</v>
      </c>
      <c r="AY93" s="348">
        <f t="shared" si="277"/>
        <v>-23023</v>
      </c>
      <c r="AZ93" s="348">
        <f t="shared" si="277"/>
        <v>-23146</v>
      </c>
      <c r="BA93" s="348">
        <f t="shared" si="277"/>
        <v>-23257</v>
      </c>
      <c r="BB93" s="348">
        <f t="shared" si="277"/>
        <v>-23320</v>
      </c>
      <c r="BC93" s="348">
        <f t="shared" si="277"/>
        <v>-41981</v>
      </c>
      <c r="BD93" s="348">
        <f t="shared" si="277"/>
        <v>-37332</v>
      </c>
      <c r="BE93" s="348">
        <f t="shared" si="277"/>
        <v>-23439</v>
      </c>
      <c r="BF93" s="348">
        <f t="shared" si="277"/>
        <v>-23494</v>
      </c>
      <c r="BG93" s="348">
        <f t="shared" si="277"/>
        <v>-23569</v>
      </c>
      <c r="BH93" s="348">
        <f t="shared" si="277"/>
        <v>-23588</v>
      </c>
      <c r="BI93" s="348">
        <f t="shared" si="276"/>
        <v>-311844</v>
      </c>
      <c r="BJ93" s="348">
        <f t="shared" ref="BJ93" si="278">SUBTOTAL(9,BJ94:BJ96)</f>
        <v>-23643</v>
      </c>
      <c r="BK93" s="348">
        <f t="shared" ref="BK93" si="279">SUBTOTAL(9,BK94:BK96)</f>
        <v>-23622</v>
      </c>
      <c r="BL93" s="348">
        <f t="shared" ref="BL93" si="280">SUBTOTAL(9,BL94:BL96)</f>
        <v>-23682</v>
      </c>
      <c r="BM93" s="348">
        <f t="shared" ref="BM93" si="281">SUBTOTAL(9,BM94:BM96)</f>
        <v>0</v>
      </c>
      <c r="BN93" s="348">
        <f t="shared" ref="BN93" si="282">SUBTOTAL(9,BN94:BN96)</f>
        <v>0</v>
      </c>
      <c r="BO93" s="348">
        <f t="shared" ref="BO93" si="283">SUBTOTAL(9,BO94:BO96)</f>
        <v>0</v>
      </c>
      <c r="BP93" s="348">
        <f t="shared" ref="BP93" si="284">SUBTOTAL(9,BP94:BP96)</f>
        <v>0</v>
      </c>
      <c r="BQ93" s="348">
        <f t="shared" ref="BQ93" si="285">SUBTOTAL(9,BQ94:BQ96)</f>
        <v>0</v>
      </c>
      <c r="BR93" s="348">
        <f t="shared" ref="BR93" si="286">SUBTOTAL(9,BR94:BR96)</f>
        <v>0</v>
      </c>
      <c r="BS93" s="348">
        <f t="shared" ref="BS93" si="287">SUBTOTAL(9,BS94:BS96)</f>
        <v>0</v>
      </c>
      <c r="BT93" s="348">
        <f t="shared" ref="BT93" si="288">SUBTOTAL(9,BT94:BT96)</f>
        <v>0</v>
      </c>
      <c r="BU93" s="348">
        <f t="shared" ref="BU93:BV93" si="289">SUBTOTAL(9,BU94:BU96)</f>
        <v>0</v>
      </c>
      <c r="BV93" s="348">
        <f t="shared" si="289"/>
        <v>-70947</v>
      </c>
      <c r="BW93" s="348">
        <f t="shared" si="276"/>
        <v>0</v>
      </c>
    </row>
    <row r="94" spans="1:75" s="368" customFormat="1" ht="21.6" outlineLevel="2">
      <c r="A94" s="224" t="s">
        <v>408</v>
      </c>
      <c r="B94" s="227" t="s">
        <v>409</v>
      </c>
      <c r="C94" s="221" t="str">
        <f>+Tabla17[[#This Row],[Cuenta]]&amp;" - "&amp;Tabla17[[#This Row],[Descripcion Cuenta]]</f>
        <v>3.03.01 - Pago Comisiones</v>
      </c>
      <c r="D94" s="225"/>
      <c r="E94" s="226">
        <f>SUMIFS(Banco[Monto],Banco[CtaCtbl],$C94,Banco[Periodo Contable],TEXT(E$3,"mmm-yyyy"))</f>
        <v>0</v>
      </c>
      <c r="F94" s="226">
        <f>SUMIFS(Banco[Monto],Banco[CtaCtbl],$C94,Banco[Periodo Contable],TEXT(F$3,"mmm-yyyy"))</f>
        <v>0</v>
      </c>
      <c r="G94" s="226">
        <f>SUMIFS(Banco[Monto],Banco[CtaCtbl],$C94,Banco[Periodo Contable],TEXT(G$3,"mmm-yyyy"))</f>
        <v>0</v>
      </c>
      <c r="H94" s="226">
        <f>SUMIFS(Banco[Monto],Banco[CtaCtbl],$C94,Banco[Periodo Contable],TEXT(H$3,"mmm-yyyy"))</f>
        <v>-18312</v>
      </c>
      <c r="I94" s="226">
        <f>SUM(Tabla17[[#This Row],[sept-21]:[dic-21]])</f>
        <v>-18312</v>
      </c>
      <c r="J94" s="226">
        <f>SUMIFS(Banco[Monto],Banco[CtaCtbl],$C94,Banco[Periodo Contable],TEXT(J$3,"mmm-yyyy"))</f>
        <v>-18449</v>
      </c>
      <c r="K94" s="226">
        <f>SUMIFS(Banco[Monto],Banco[CtaCtbl],$C94,Banco[Periodo Contable],TEXT(K$3,"mmm-yyyy"))</f>
        <v>-18576</v>
      </c>
      <c r="L94" s="226">
        <f>SUMIFS(Banco[Monto],Banco[CtaCtbl],$C94,Banco[Periodo Contable],TEXT(L$3,"mmm-yyyy"))</f>
        <v>-18773</v>
      </c>
      <c r="M94" s="226">
        <f>SUMIFS(Banco[Monto],Banco[CtaCtbl],$C94,Banco[Periodo Contable],TEXT(M$3,"mmm-yyyy"))</f>
        <v>-18879</v>
      </c>
      <c r="N94" s="226">
        <f>SUMIFS(Banco[Monto],Banco[CtaCtbl],$C94,Banco[Periodo Contable],TEXT(N$3,"mmm-yyyy"))</f>
        <v>-19169</v>
      </c>
      <c r="O94" s="226">
        <f>SUMIFS(Banco[Monto],Banco[CtaCtbl],$C94,Banco[Periodo Contable],TEXT(O$3,"mmm-yyyy"))</f>
        <v>-19453</v>
      </c>
      <c r="P94" s="226">
        <f>SUMIFS(Banco[Monto],Banco[CtaCtbl],$C94,Banco[Periodo Contable],TEXT(P$3,"mmm-yyyy"))</f>
        <v>-19695</v>
      </c>
      <c r="Q94" s="226">
        <f>SUMIFS(Banco[Monto],Banco[CtaCtbl],$C94,Banco[Periodo Contable],TEXT(Q$3,"mmm-yyyy"))</f>
        <v>-19888</v>
      </c>
      <c r="R94" s="226">
        <f>SUMIFS(Banco[Monto],Banco[CtaCtbl],$C94,Banco[Periodo Contable],TEXT(R$3,"mmm-yyyy"))</f>
        <v>-20142</v>
      </c>
      <c r="S94" s="226">
        <f>SUMIFS(Banco[Monto],Banco[CtaCtbl],$C94,Banco[Periodo Contable],TEXT(S$3,"mmm-yyyy"))</f>
        <v>-20409</v>
      </c>
      <c r="T94" s="226">
        <f>SUMIFS(Banco[Monto],Banco[CtaCtbl],$C94,Banco[Periodo Contable],TEXT(T$3,"mmm-yyyy"))</f>
        <v>-20599</v>
      </c>
      <c r="U94" s="226">
        <f>SUMIFS(Banco[Monto],Banco[CtaCtbl],$C94,Banco[Periodo Contable],TEXT(U$3,"mmm-yyyy"))</f>
        <v>-20717</v>
      </c>
      <c r="V94" s="232">
        <f>SUM(Tabla17[[#This Row],[ene-22]:[dic-22]])</f>
        <v>-234749</v>
      </c>
      <c r="W94" s="226">
        <f>SUMIFS(Banco[Monto],Banco[CtaCtbl],$C94,Banco[Periodo Contable],TEXT(W$3,"mmm-yyyy"))</f>
        <v>-20911</v>
      </c>
      <c r="X94" s="226">
        <f>SUMIFS(Banco[Monto],Banco[CtaCtbl],$C94,Banco[Periodo Contable],TEXT(X$3,"mmm-yyyy"))</f>
        <v>-20998</v>
      </c>
      <c r="Y94" s="226">
        <f>SUMIFS(Banco[Monto],Banco[CtaCtbl],$C94,Banco[Periodo Contable],TEXT(Y$3,"mmm-yyyy"))</f>
        <v>-21134</v>
      </c>
      <c r="Z94" s="226">
        <f>SUMIFS(Banco[Monto],Banco[CtaCtbl],$C94,Banco[Periodo Contable],TEXT(Z$3,"mmm-yyyy"))</f>
        <v>-21165</v>
      </c>
      <c r="AA94" s="226">
        <f>SUMIFS(Banco[Monto],Banco[CtaCtbl],$C94,Banco[Periodo Contable],TEXT(AA$3,"mmm-yyyy"))</f>
        <v>-21339</v>
      </c>
      <c r="AB94" s="226">
        <f>SUMIFS(Banco[Monto],Banco[CtaCtbl],$C94,Banco[Periodo Contable],TEXT(AB$3,"mmm-yyyy"))</f>
        <v>-21441</v>
      </c>
      <c r="AC94" s="226">
        <f>SUMIFS(Banco[Monto],Banco[CtaCtbl],$C94,Banco[Periodo Contable],TEXT(AC$3,"mmm-yyyy"))</f>
        <v>-21476</v>
      </c>
      <c r="AD94" s="226">
        <f>SUMIFS(Banco[Monto],Banco[CtaCtbl],$C94,Banco[Periodo Contable],TEXT(AD$3,"mmm-yyyy"))</f>
        <v>-21447</v>
      </c>
      <c r="AE94" s="226">
        <f>SUMIFS(Banco[Monto],Banco[CtaCtbl],$C94,Banco[Periodo Contable],TEXT(AE$3,"mmm-yyyy"))</f>
        <v>-21500</v>
      </c>
      <c r="AF94" s="226">
        <f>SUMIFS(Banco[Monto],Banco[CtaCtbl],$C94,Banco[Periodo Contable],TEXT(AF$3,"mmm-yyyy"))</f>
        <v>-21539</v>
      </c>
      <c r="AG94" s="226">
        <f>SUMIFS(Banco[Monto],Banco[CtaCtbl],$C94,Banco[Periodo Contable],TEXT(AG$3,"mmm-yyyy"))</f>
        <v>-21660</v>
      </c>
      <c r="AH94" s="226">
        <f>SUMIFS(Banco[Monto],Banco[CtaCtbl],$C94,Banco[Periodo Contable],TEXT(AH$3,"mmm-yyyy"))</f>
        <v>-21758</v>
      </c>
      <c r="AI94" s="232">
        <f>SUM(Tabla17[[#This Row],[ene-23]:[dic-23]])</f>
        <v>-256368</v>
      </c>
      <c r="AJ94" s="226">
        <f>SUMIFS(Banco[Monto],Banco[CtaCtbl],$C94,Banco[Periodo Contable],TEXT(AJ$3,"mmm-yyyy"))</f>
        <v>-21900</v>
      </c>
      <c r="AK94" s="226">
        <f>SUMIFS(Banco[Monto],Banco[CtaCtbl],$C94,Banco[Periodo Contable],TEXT(AK$3,"mmm-yyyy"))</f>
        <v>-21853</v>
      </c>
      <c r="AL94" s="226">
        <f>SUMIFS(Banco[Monto],Banco[CtaCtbl],$C94,Banco[Periodo Contable],TEXT(AL$3,"mmm-yyyy"))</f>
        <v>-21935</v>
      </c>
      <c r="AM94" s="226">
        <f>SUMIFS(Banco[Monto],Banco[CtaCtbl],$C94,Banco[Periodo Contable],TEXT(AM$3,"mmm-yyyy"))</f>
        <v>-22075</v>
      </c>
      <c r="AN94" s="226">
        <f>SUMIFS(Banco[Monto],Banco[CtaCtbl],$C94,Banco[Periodo Contable],TEXT(AN$3,"mmm-yyyy"))</f>
        <v>-22177</v>
      </c>
      <c r="AO94" s="226">
        <f>SUMIFS(Banco[Monto],Banco[CtaCtbl],$C94,Banco[Periodo Contable],TEXT(AO$3,"mmm-yyyy"))</f>
        <v>-22286</v>
      </c>
      <c r="AP94" s="226">
        <f>SUMIFS(Banco[Monto],Banco[CtaCtbl],$C94,Banco[Periodo Contable],TEXT(AP$3,"mmm-yyyy"))</f>
        <v>-22358</v>
      </c>
      <c r="AQ94" s="226">
        <f>SUMIFS(Banco[Monto],Banco[CtaCtbl],$C94,Banco[Periodo Contable],TEXT(AQ$3,"mmm-yyyy"))</f>
        <v>-22359</v>
      </c>
      <c r="AR94" s="226">
        <f>SUMIFS(Banco[Monto],Banco[CtaCtbl],$C94,Banco[Periodo Contable],TEXT(AR$3,"mmm-yyyy"))</f>
        <v>-22474</v>
      </c>
      <c r="AS94" s="226">
        <f>SUMIFS(Banco[Monto],Banco[CtaCtbl],$C94,Banco[Periodo Contable],TEXT(AS$3,"mmm-yyyy"))</f>
        <v>-22559</v>
      </c>
      <c r="AT94" s="226">
        <f>SUMIFS(Banco[Monto],Banco[CtaCtbl],$C94,Banco[Periodo Contable],TEXT(AT$3,"mmm-yyyy"))</f>
        <v>-22596</v>
      </c>
      <c r="AU94" s="226">
        <f>SUMIFS(Banco[Monto],Banco[CtaCtbl],$C94,Banco[Periodo Contable],TEXT(AU$3,"mmm-yyyy"))</f>
        <v>-22773</v>
      </c>
      <c r="AV94" s="232">
        <f>SUM(Tabla17[[#This Row],[ene-24]:[dic-24]])</f>
        <v>-267345</v>
      </c>
      <c r="AW94" s="226">
        <f>SUMIFS(Banco[Monto],Banco[CtaCtbl],$C94,Banco[Periodo Contable],TEXT(AW$3,"mmm-yyyy"))</f>
        <v>-22861</v>
      </c>
      <c r="AX94" s="226">
        <f>SUMIFS(Banco[Monto],Banco[CtaCtbl],$C94,Banco[Periodo Contable],TEXT(AX$3,"mmm-yyyy"))</f>
        <v>-22834</v>
      </c>
      <c r="AY94" s="226">
        <f>SUMIFS(Banco[Monto],Banco[CtaCtbl],$C94,Banco[Periodo Contable],TEXT(AY$3,"mmm-yyyy"))</f>
        <v>-23023</v>
      </c>
      <c r="AZ94" s="226">
        <f>SUMIFS(Banco[Monto],Banco[CtaCtbl],$C94,Banco[Periodo Contable],TEXT(AZ$3,"mmm-yyyy"))</f>
        <v>-23146</v>
      </c>
      <c r="BA94" s="226">
        <f>SUMIFS(Banco[Monto],Banco[CtaCtbl],$C94,Banco[Periodo Contable],TEXT(BA$3,"mmm-yyyy"))</f>
        <v>-23257</v>
      </c>
      <c r="BB94" s="226">
        <f>SUMIFS(Banco[Monto],Banco[CtaCtbl],$C94,Banco[Periodo Contable],TEXT(BB$3,"mmm-yyyy"))</f>
        <v>-23320</v>
      </c>
      <c r="BC94" s="226">
        <f>SUMIFS(Banco[Monto],Banco[CtaCtbl],$C94,Banco[Periodo Contable],TEXT(BC$3,"mmm-yyyy"))</f>
        <v>-41981</v>
      </c>
      <c r="BD94" s="226">
        <f>SUMIFS(Banco[Monto],Banco[CtaCtbl],$C94,Banco[Periodo Contable],TEXT(BD$3,"mmm-yyyy"))</f>
        <v>-37332</v>
      </c>
      <c r="BE94" s="226">
        <f>SUMIFS(Banco[Monto],Banco[CtaCtbl],$C94,Banco[Periodo Contable],TEXT(BE$3,"mmm-yyyy"))</f>
        <v>-23439</v>
      </c>
      <c r="BF94" s="226">
        <f>SUMIFS(Banco[Monto],Banco[CtaCtbl],$C94,Banco[Periodo Contable],TEXT(BF$3,"mmm-yyyy"))</f>
        <v>-23494</v>
      </c>
      <c r="BG94" s="226">
        <f>SUMIFS(Banco[Monto],Banco[CtaCtbl],$C94,Banco[Periodo Contable],TEXT(BG$3,"mmm-yyyy"))</f>
        <v>-23569</v>
      </c>
      <c r="BH94" s="226">
        <f>SUMIFS(Banco[Monto],Banco[CtaCtbl],$C94,Banco[Periodo Contable],TEXT(BH$3,"mmm-yyyy"))</f>
        <v>-23588</v>
      </c>
      <c r="BI94" s="232">
        <f>SUM(Tabla17[[#This Row],[ene-25]:[dic-25]])</f>
        <v>-311844</v>
      </c>
      <c r="BJ94" s="226">
        <f>SUMIFS(Banco[Monto],Banco[CtaCtbl],$C94,Banco[Periodo Contable],TEXT(BJ$3,"mmm-yyyy"))</f>
        <v>-23643</v>
      </c>
      <c r="BK94" s="226">
        <f>SUMIFS(Banco[Monto],Banco[CtaCtbl],$C94,Banco[Periodo Contable],TEXT(BK$3,"mmm-yyyy"))</f>
        <v>-23622</v>
      </c>
      <c r="BL94" s="226">
        <f>SUMIFS(Banco[Monto],Banco[CtaCtbl],$C94,Banco[Periodo Contable],TEXT(BL$3,"mmm-yyyy"))</f>
        <v>-23682</v>
      </c>
      <c r="BM94" s="226">
        <f>SUMIFS(Banco[Monto],Banco[CtaCtbl],$C94,Banco[Periodo Contable],TEXT(BM$3,"mmm-yyyy"))</f>
        <v>0</v>
      </c>
      <c r="BN94" s="226">
        <f>SUMIFS(Banco[Monto],Banco[CtaCtbl],$C94,Banco[Periodo Contable],TEXT(BN$3,"mmm-yyyy"))</f>
        <v>0</v>
      </c>
      <c r="BO94" s="226">
        <f>SUMIFS(Banco[Monto],Banco[CtaCtbl],$C94,Banco[Periodo Contable],TEXT(BO$3,"mmm-yyyy"))</f>
        <v>0</v>
      </c>
      <c r="BP94" s="226">
        <f>SUMIFS(Banco[Monto],Banco[CtaCtbl],$C94,Banco[Periodo Contable],TEXT(BP$3,"mmm-yyyy"))</f>
        <v>0</v>
      </c>
      <c r="BQ94" s="226">
        <f>SUMIFS(Banco[Monto],Banco[CtaCtbl],$C94,Banco[Periodo Contable],TEXT(BQ$3,"mmm-yyyy"))</f>
        <v>0</v>
      </c>
      <c r="BR94" s="226">
        <f>SUMIFS(Banco[Monto],Banco[CtaCtbl],$C94,Banco[Periodo Contable],TEXT(BR$3,"mmm-yyyy"))</f>
        <v>0</v>
      </c>
      <c r="BS94" s="226">
        <f>SUMIFS(Banco[Monto],Banco[CtaCtbl],$C94,Banco[Periodo Contable],TEXT(BS$3,"mmm-yyyy"))</f>
        <v>0</v>
      </c>
      <c r="BT94" s="226">
        <f>SUMIFS(Banco[Monto],Banco[CtaCtbl],$C94,Banco[Periodo Contable],TEXT(BT$3,"mmm-yyyy"))</f>
        <v>0</v>
      </c>
      <c r="BU94" s="226">
        <f>SUMIFS(Banco[Monto],Banco[CtaCtbl],$C94,Banco[Periodo Contable],TEXT(BU$3,"mmm-yyyy"))</f>
        <v>0</v>
      </c>
      <c r="BV94" s="232">
        <f>SUM(Tabla17[[#This Row],[ene-26]:[dic-26]])</f>
        <v>-70947</v>
      </c>
      <c r="BW94" s="226">
        <f>SUMIFS(Banco[Monto],Banco[CtaCtbl],$C94,Banco[Periodo Contable],TEXT(BW$3,"mmm-yyyy"))</f>
        <v>0</v>
      </c>
    </row>
    <row r="95" spans="1:75" s="368" customFormat="1" ht="21.6" outlineLevel="2">
      <c r="A95" s="224" t="s">
        <v>410</v>
      </c>
      <c r="B95" s="227" t="s">
        <v>411</v>
      </c>
      <c r="C95" s="221" t="str">
        <f>+Tabla17[[#This Row],[Cuenta]]&amp;" - "&amp;Tabla17[[#This Row],[Descripcion Cuenta]]</f>
        <v>3.03.02 - Pago Impuestos</v>
      </c>
      <c r="D95" s="225"/>
      <c r="E95" s="226">
        <f>SUMIFS(Banco[Monto],Banco[CtaCtbl],$C95,Banco[Periodo Contable],TEXT(E$3,"mmm-yyyy"))</f>
        <v>0</v>
      </c>
      <c r="F95" s="226">
        <f>SUMIFS(Banco[Monto],Banco[CtaCtbl],$C95,Banco[Periodo Contable],TEXT(F$3,"mmm-yyyy"))</f>
        <v>0</v>
      </c>
      <c r="G95" s="226">
        <f>SUMIFS(Banco[Monto],Banco[CtaCtbl],$C95,Banco[Periodo Contable],TEXT(G$3,"mmm-yyyy"))</f>
        <v>0</v>
      </c>
      <c r="H95" s="226">
        <f>SUMIFS(Banco[Monto],Banco[CtaCtbl],$C95,Banco[Periodo Contable],TEXT(H$3,"mmm-yyyy"))</f>
        <v>0</v>
      </c>
      <c r="I95" s="226">
        <f>SUM(Tabla17[[#This Row],[sept-21]:[dic-21]])</f>
        <v>0</v>
      </c>
      <c r="J95" s="226">
        <f>SUMIFS(Banco[Monto],Banco[CtaCtbl],$C95,Banco[Periodo Contable],TEXT(J$3,"mmm-yyyy"))</f>
        <v>0</v>
      </c>
      <c r="K95" s="226">
        <f>SUMIFS(Banco[Monto],Banco[CtaCtbl],$C95,Banco[Periodo Contable],TEXT(K$3,"mmm-yyyy"))</f>
        <v>0</v>
      </c>
      <c r="L95" s="226">
        <f>SUMIFS(Banco[Monto],Banco[CtaCtbl],$C95,Banco[Periodo Contable],TEXT(L$3,"mmm-yyyy"))</f>
        <v>0</v>
      </c>
      <c r="M95" s="226">
        <f>SUMIFS(Banco[Monto],Banco[CtaCtbl],$C95,Banco[Periodo Contable],TEXT(M$3,"mmm-yyyy"))</f>
        <v>0</v>
      </c>
      <c r="N95" s="226">
        <f>SUMIFS(Banco[Monto],Banco[CtaCtbl],$C95,Banco[Periodo Contable],TEXT(N$3,"mmm-yyyy"))</f>
        <v>0</v>
      </c>
      <c r="O95" s="226">
        <f>SUMIFS(Banco[Monto],Banco[CtaCtbl],$C95,Banco[Periodo Contable],TEXT(O$3,"mmm-yyyy"))</f>
        <v>0</v>
      </c>
      <c r="P95" s="226">
        <f>SUMIFS(Banco[Monto],Banco[CtaCtbl],$C95,Banco[Periodo Contable],TEXT(P$3,"mmm-yyyy"))</f>
        <v>0</v>
      </c>
      <c r="Q95" s="226">
        <f>SUMIFS(Banco[Monto],Banco[CtaCtbl],$C95,Banco[Periodo Contable],TEXT(Q$3,"mmm-yyyy"))</f>
        <v>0</v>
      </c>
      <c r="R95" s="226">
        <f>SUMIFS(Banco[Monto],Banco[CtaCtbl],$C95,Banco[Periodo Contable],TEXT(R$3,"mmm-yyyy"))</f>
        <v>0</v>
      </c>
      <c r="S95" s="226">
        <f>SUMIFS(Banco[Monto],Banco[CtaCtbl],$C95,Banco[Periodo Contable],TEXT(S$3,"mmm-yyyy"))</f>
        <v>0</v>
      </c>
      <c r="T95" s="226">
        <f>SUMIFS(Banco[Monto],Banco[CtaCtbl],$C95,Banco[Periodo Contable],TEXT(T$3,"mmm-yyyy"))</f>
        <v>0</v>
      </c>
      <c r="U95" s="226">
        <f>SUMIFS(Banco[Monto],Banco[CtaCtbl],$C95,Banco[Periodo Contable],TEXT(U$3,"mmm-yyyy"))</f>
        <v>0</v>
      </c>
      <c r="V95" s="232">
        <f>SUM(Tabla17[[#This Row],[ene-22]:[dic-22]])</f>
        <v>0</v>
      </c>
      <c r="W95" s="226">
        <f>SUMIFS(Banco[Monto],Banco[CtaCtbl],$C95,Banco[Periodo Contable],TEXT(W$3,"mmm-yyyy"))</f>
        <v>0</v>
      </c>
      <c r="X95" s="226">
        <f>SUMIFS(Banco[Monto],Banco[CtaCtbl],$C95,Banco[Periodo Contable],TEXT(X$3,"mmm-yyyy"))</f>
        <v>0</v>
      </c>
      <c r="Y95" s="226">
        <f>SUMIFS(Banco[Monto],Banco[CtaCtbl],$C95,Banco[Periodo Contable],TEXT(Y$3,"mmm-yyyy"))</f>
        <v>0</v>
      </c>
      <c r="Z95" s="226">
        <f>SUMIFS(Banco[Monto],Banco[CtaCtbl],$C95,Banco[Periodo Contable],TEXT(Z$3,"mmm-yyyy"))</f>
        <v>0</v>
      </c>
      <c r="AA95" s="226">
        <f>SUMIFS(Banco[Monto],Banco[CtaCtbl],$C95,Banco[Periodo Contable],TEXT(AA$3,"mmm-yyyy"))</f>
        <v>0</v>
      </c>
      <c r="AB95" s="226">
        <f>SUMIFS(Banco[Monto],Banco[CtaCtbl],$C95,Banco[Periodo Contable],TEXT(AB$3,"mmm-yyyy"))</f>
        <v>0</v>
      </c>
      <c r="AC95" s="226">
        <f>SUMIFS(Banco[Monto],Banco[CtaCtbl],$C95,Banco[Periodo Contable],TEXT(AC$3,"mmm-yyyy"))</f>
        <v>0</v>
      </c>
      <c r="AD95" s="226">
        <f>SUMIFS(Banco[Monto],Banco[CtaCtbl],$C95,Banco[Periodo Contable],TEXT(AD$3,"mmm-yyyy"))</f>
        <v>0</v>
      </c>
      <c r="AE95" s="226">
        <f>SUMIFS(Banco[Monto],Banco[CtaCtbl],$C95,Banco[Periodo Contable],TEXT(AE$3,"mmm-yyyy"))</f>
        <v>0</v>
      </c>
      <c r="AF95" s="226">
        <f>SUMIFS(Banco[Monto],Banco[CtaCtbl],$C95,Banco[Periodo Contable],TEXT(AF$3,"mmm-yyyy"))</f>
        <v>0</v>
      </c>
      <c r="AG95" s="226">
        <f>SUMIFS(Banco[Monto],Banco[CtaCtbl],$C95,Banco[Periodo Contable],TEXT(AG$3,"mmm-yyyy"))</f>
        <v>0</v>
      </c>
      <c r="AH95" s="226">
        <f>SUMIFS(Banco[Monto],Banco[CtaCtbl],$C95,Banco[Periodo Contable],TEXT(AH$3,"mmm-yyyy"))</f>
        <v>0</v>
      </c>
      <c r="AI95" s="232">
        <f>SUM(Tabla17[[#This Row],[ene-23]:[dic-23]])</f>
        <v>0</v>
      </c>
      <c r="AJ95" s="226">
        <f>SUMIFS(Banco[Monto],Banco[CtaCtbl],$C95,Banco[Periodo Contable],TEXT(AJ$3,"mmm-yyyy"))</f>
        <v>0</v>
      </c>
      <c r="AK95" s="226">
        <f>SUMIFS(Banco[Monto],Banco[CtaCtbl],$C95,Banco[Periodo Contable],TEXT(AK$3,"mmm-yyyy"))</f>
        <v>0</v>
      </c>
      <c r="AL95" s="226">
        <f>SUMIFS(Banco[Monto],Banco[CtaCtbl],$C95,Banco[Periodo Contable],TEXT(AL$3,"mmm-yyyy"))</f>
        <v>0</v>
      </c>
      <c r="AM95" s="226">
        <f>SUMIFS(Banco[Monto],Banco[CtaCtbl],$C95,Banco[Periodo Contable],TEXT(AM$3,"mmm-yyyy"))</f>
        <v>0</v>
      </c>
      <c r="AN95" s="226">
        <f>SUMIFS(Banco[Monto],Banco[CtaCtbl],$C95,Banco[Periodo Contable],TEXT(AN$3,"mmm-yyyy"))</f>
        <v>0</v>
      </c>
      <c r="AO95" s="226">
        <f>SUMIFS(Banco[Monto],Banco[CtaCtbl],$C95,Banco[Periodo Contable],TEXT(AO$3,"mmm-yyyy"))</f>
        <v>0</v>
      </c>
      <c r="AP95" s="226">
        <f>SUMIFS(Banco[Monto],Banco[CtaCtbl],$C95,Banco[Periodo Contable],TEXT(AP$3,"mmm-yyyy"))</f>
        <v>0</v>
      </c>
      <c r="AQ95" s="226">
        <f>SUMIFS(Banco[Monto],Banco[CtaCtbl],$C95,Banco[Periodo Contable],TEXT(AQ$3,"mmm-yyyy"))</f>
        <v>0</v>
      </c>
      <c r="AR95" s="226">
        <f>SUMIFS(Banco[Monto],Banco[CtaCtbl],$C95,Banco[Periodo Contable],TEXT(AR$3,"mmm-yyyy"))</f>
        <v>0</v>
      </c>
      <c r="AS95" s="226">
        <f>SUMIFS(Banco[Monto],Banco[CtaCtbl],$C95,Banco[Periodo Contable],TEXT(AS$3,"mmm-yyyy"))</f>
        <v>0</v>
      </c>
      <c r="AT95" s="226">
        <f>SUMIFS(Banco[Monto],Banco[CtaCtbl],$C95,Banco[Periodo Contable],TEXT(AT$3,"mmm-yyyy"))</f>
        <v>0</v>
      </c>
      <c r="AU95" s="226">
        <f>SUMIFS(Banco[Monto],Banco[CtaCtbl],$C95,Banco[Periodo Contable],TEXT(AU$3,"mmm-yyyy"))</f>
        <v>0</v>
      </c>
      <c r="AV95" s="232">
        <f>SUM(Tabla17[[#This Row],[ene-24]:[dic-24]])</f>
        <v>0</v>
      </c>
      <c r="AW95" s="226">
        <f>SUMIFS(Banco[Monto],Banco[CtaCtbl],$C95,Banco[Periodo Contable],TEXT(AW$3,"mmm-yyyy"))</f>
        <v>0</v>
      </c>
      <c r="AX95" s="226">
        <f>SUMIFS(Banco[Monto],Banco[CtaCtbl],$C95,Banco[Periodo Contable],TEXT(AX$3,"mmm-yyyy"))</f>
        <v>0</v>
      </c>
      <c r="AY95" s="226">
        <f>SUMIFS(Banco[Monto],Banco[CtaCtbl],$C95,Banco[Periodo Contable],TEXT(AY$3,"mmm-yyyy"))</f>
        <v>0</v>
      </c>
      <c r="AZ95" s="226">
        <f>SUMIFS(Banco[Monto],Banco[CtaCtbl],$C95,Banco[Periodo Contable],TEXT(AZ$3,"mmm-yyyy"))</f>
        <v>0</v>
      </c>
      <c r="BA95" s="226">
        <f>SUMIFS(Banco[Monto],Banco[CtaCtbl],$C95,Banco[Periodo Contable],TEXT(BA$3,"mmm-yyyy"))</f>
        <v>0</v>
      </c>
      <c r="BB95" s="226">
        <f>SUMIFS(Banco[Monto],Banco[CtaCtbl],$C95,Banco[Periodo Contable],TEXT(BB$3,"mmm-yyyy"))</f>
        <v>0</v>
      </c>
      <c r="BC95" s="226">
        <f>SUMIFS(Banco[Monto],Banco[CtaCtbl],$C95,Banco[Periodo Contable],TEXT(BC$3,"mmm-yyyy"))</f>
        <v>0</v>
      </c>
      <c r="BD95" s="226">
        <f>SUMIFS(Banco[Monto],Banco[CtaCtbl],$C95,Banco[Periodo Contable],TEXT(BD$3,"mmm-yyyy"))</f>
        <v>0</v>
      </c>
      <c r="BE95" s="226">
        <f>SUMIFS(Banco[Monto],Banco[CtaCtbl],$C95,Banco[Periodo Contable],TEXT(BE$3,"mmm-yyyy"))</f>
        <v>0</v>
      </c>
      <c r="BF95" s="226">
        <f>SUMIFS(Banco[Monto],Banco[CtaCtbl],$C95,Banco[Periodo Contable],TEXT(BF$3,"mmm-yyyy"))</f>
        <v>0</v>
      </c>
      <c r="BG95" s="226">
        <f>SUMIFS(Banco[Monto],Banco[CtaCtbl],$C95,Banco[Periodo Contable],TEXT(BG$3,"mmm-yyyy"))</f>
        <v>0</v>
      </c>
      <c r="BH95" s="226">
        <f>SUMIFS(Banco[Monto],Banco[CtaCtbl],$C95,Banco[Periodo Contable],TEXT(BH$3,"mmm-yyyy"))</f>
        <v>0</v>
      </c>
      <c r="BI95" s="232">
        <f>SUM(Tabla17[[#This Row],[ene-25]:[dic-25]])</f>
        <v>0</v>
      </c>
      <c r="BJ95" s="226">
        <f>SUMIFS(Banco[Monto],Banco[CtaCtbl],$C95,Banco[Periodo Contable],TEXT(BJ$3,"mmm-yyyy"))</f>
        <v>0</v>
      </c>
      <c r="BK95" s="226">
        <f>SUMIFS(Banco[Monto],Banco[CtaCtbl],$C95,Banco[Periodo Contable],TEXT(BK$3,"mmm-yyyy"))</f>
        <v>0</v>
      </c>
      <c r="BL95" s="226">
        <f>SUMIFS(Banco[Monto],Banco[CtaCtbl],$C95,Banco[Periodo Contable],TEXT(BL$3,"mmm-yyyy"))</f>
        <v>0</v>
      </c>
      <c r="BM95" s="226">
        <f>SUMIFS(Banco[Monto],Banco[CtaCtbl],$C95,Banco[Periodo Contable],TEXT(BM$3,"mmm-yyyy"))</f>
        <v>0</v>
      </c>
      <c r="BN95" s="226">
        <f>SUMIFS(Banco[Monto],Banco[CtaCtbl],$C95,Banco[Periodo Contable],TEXT(BN$3,"mmm-yyyy"))</f>
        <v>0</v>
      </c>
      <c r="BO95" s="226">
        <f>SUMIFS(Banco[Monto],Banco[CtaCtbl],$C95,Banco[Periodo Contable],TEXT(BO$3,"mmm-yyyy"))</f>
        <v>0</v>
      </c>
      <c r="BP95" s="226">
        <f>SUMIFS(Banco[Monto],Banco[CtaCtbl],$C95,Banco[Periodo Contable],TEXT(BP$3,"mmm-yyyy"))</f>
        <v>0</v>
      </c>
      <c r="BQ95" s="226">
        <f>SUMIFS(Banco[Monto],Banco[CtaCtbl],$C95,Banco[Periodo Contable],TEXT(BQ$3,"mmm-yyyy"))</f>
        <v>0</v>
      </c>
      <c r="BR95" s="226">
        <f>SUMIFS(Banco[Monto],Banco[CtaCtbl],$C95,Banco[Periodo Contable],TEXT(BR$3,"mmm-yyyy"))</f>
        <v>0</v>
      </c>
      <c r="BS95" s="226">
        <f>SUMIFS(Banco[Monto],Banco[CtaCtbl],$C95,Banco[Periodo Contable],TEXT(BS$3,"mmm-yyyy"))</f>
        <v>0</v>
      </c>
      <c r="BT95" s="226">
        <f>SUMIFS(Banco[Monto],Banco[CtaCtbl],$C95,Banco[Periodo Contable],TEXT(BT$3,"mmm-yyyy"))</f>
        <v>0</v>
      </c>
      <c r="BU95" s="226">
        <f>SUMIFS(Banco[Monto],Banco[CtaCtbl],$C95,Banco[Periodo Contable],TEXT(BU$3,"mmm-yyyy"))</f>
        <v>0</v>
      </c>
      <c r="BV95" s="232">
        <f>SUM(Tabla17[[#This Row],[ene-26]:[dic-26]])</f>
        <v>0</v>
      </c>
      <c r="BW95" s="226">
        <f>SUMIFS(Banco[Monto],Banco[CtaCtbl],$C95,Banco[Periodo Contable],TEXT(BW$3,"mmm-yyyy"))</f>
        <v>0</v>
      </c>
    </row>
    <row r="96" spans="1:75" s="368" customFormat="1" ht="21.6" outlineLevel="2">
      <c r="A96" s="224" t="s">
        <v>412</v>
      </c>
      <c r="B96" s="227" t="s">
        <v>413</v>
      </c>
      <c r="C96" s="221" t="str">
        <f>+Tabla17[[#This Row],[Cuenta]]&amp;" - "&amp;Tabla17[[#This Row],[Descripcion Cuenta]]</f>
        <v xml:space="preserve">3.03.03 - Otros Pagos </v>
      </c>
      <c r="D96" s="225"/>
      <c r="E96" s="226">
        <f>SUMIFS(Banco[Monto],Banco[CtaCtbl],$C96,Banco[Periodo Contable],TEXT(E$3,"mmm-yyyy"))</f>
        <v>0</v>
      </c>
      <c r="F96" s="226">
        <f>SUMIFS(Banco[Monto],Banco[CtaCtbl],$C96,Banco[Periodo Contable],TEXT(F$3,"mmm-yyyy"))</f>
        <v>0</v>
      </c>
      <c r="G96" s="226">
        <f>SUMIFS(Banco[Monto],Banco[CtaCtbl],$C96,Banco[Periodo Contable],TEXT(G$3,"mmm-yyyy"))</f>
        <v>0</v>
      </c>
      <c r="H96" s="226">
        <f>SUMIFS(Banco[Monto],Banco[CtaCtbl],$C96,Banco[Periodo Contable],TEXT(H$3,"mmm-yyyy"))</f>
        <v>0</v>
      </c>
      <c r="I96" s="226">
        <f>SUM(Tabla17[[#This Row],[sept-21]:[dic-21]])</f>
        <v>0</v>
      </c>
      <c r="J96" s="226">
        <f>SUMIFS(Banco[Monto],Banco[CtaCtbl],$C96,Banco[Periodo Contable],TEXT(J$3,"mmm-yyyy"))</f>
        <v>0</v>
      </c>
      <c r="K96" s="226">
        <f>SUMIFS(Banco[Monto],Banco[CtaCtbl],$C96,Banco[Periodo Contable],TEXT(K$3,"mmm-yyyy"))</f>
        <v>0</v>
      </c>
      <c r="L96" s="226">
        <f>SUMIFS(Banco[Monto],Banco[CtaCtbl],$C96,Banco[Periodo Contable],TEXT(L$3,"mmm-yyyy"))</f>
        <v>0</v>
      </c>
      <c r="M96" s="226">
        <f>SUMIFS(Banco[Monto],Banco[CtaCtbl],$C96,Banco[Periodo Contable],TEXT(M$3,"mmm-yyyy"))</f>
        <v>0</v>
      </c>
      <c r="N96" s="226">
        <f>SUMIFS(Banco[Monto],Banco[CtaCtbl],$C96,Banco[Periodo Contable],TEXT(N$3,"mmm-yyyy"))</f>
        <v>0</v>
      </c>
      <c r="O96" s="226">
        <f>SUMIFS(Banco[Monto],Banco[CtaCtbl],$C96,Banco[Periodo Contable],TEXT(O$3,"mmm-yyyy"))</f>
        <v>0</v>
      </c>
      <c r="P96" s="226">
        <f>SUMIFS(Banco[Monto],Banco[CtaCtbl],$C96,Banco[Periodo Contable],TEXT(P$3,"mmm-yyyy"))</f>
        <v>0</v>
      </c>
      <c r="Q96" s="226">
        <f>SUMIFS(Banco[Monto],Banco[CtaCtbl],$C96,Banco[Periodo Contable],TEXT(Q$3,"mmm-yyyy"))</f>
        <v>0</v>
      </c>
      <c r="R96" s="226">
        <f>SUMIFS(Banco[Monto],Banco[CtaCtbl],$C96,Banco[Periodo Contable],TEXT(R$3,"mmm-yyyy"))</f>
        <v>0</v>
      </c>
      <c r="S96" s="226">
        <f>SUMIFS(Banco[Monto],Banco[CtaCtbl],$C96,Banco[Periodo Contable],TEXT(S$3,"mmm-yyyy"))</f>
        <v>0</v>
      </c>
      <c r="T96" s="226">
        <f>SUMIFS(Banco[Monto],Banco[CtaCtbl],$C96,Banco[Periodo Contable],TEXT(T$3,"mmm-yyyy"))</f>
        <v>0</v>
      </c>
      <c r="U96" s="226">
        <f>SUMIFS(Banco[Monto],Banco[CtaCtbl],$C96,Banco[Periodo Contable],TEXT(U$3,"mmm-yyyy"))</f>
        <v>0</v>
      </c>
      <c r="V96" s="232">
        <f>SUM(Tabla17[[#This Row],[ene-22]:[dic-22]])</f>
        <v>0</v>
      </c>
      <c r="W96" s="226">
        <f>SUMIFS(Banco[Monto],Banco[CtaCtbl],$C96,Banco[Periodo Contable],TEXT(W$3,"mmm-yyyy"))</f>
        <v>0</v>
      </c>
      <c r="X96" s="226">
        <f>SUMIFS(Banco[Monto],Banco[CtaCtbl],$C96,Banco[Periodo Contable],TEXT(X$3,"mmm-yyyy"))</f>
        <v>0</v>
      </c>
      <c r="Y96" s="226">
        <f>SUMIFS(Banco[Monto],Banco[CtaCtbl],$C96,Banco[Periodo Contable],TEXT(Y$3,"mmm-yyyy"))</f>
        <v>0</v>
      </c>
      <c r="Z96" s="226">
        <f>SUMIFS(Banco[Monto],Banco[CtaCtbl],$C96,Banco[Periodo Contable],TEXT(Z$3,"mmm-yyyy"))</f>
        <v>0</v>
      </c>
      <c r="AA96" s="226">
        <f>SUMIFS(Banco[Monto],Banco[CtaCtbl],$C96,Banco[Periodo Contable],TEXT(AA$3,"mmm-yyyy"))</f>
        <v>0</v>
      </c>
      <c r="AB96" s="226">
        <f>SUMIFS(Banco[Monto],Banco[CtaCtbl],$C96,Banco[Periodo Contable],TEXT(AB$3,"mmm-yyyy"))</f>
        <v>0</v>
      </c>
      <c r="AC96" s="226">
        <f>SUMIFS(Banco[Monto],Banco[CtaCtbl],$C96,Banco[Periodo Contable],TEXT(AC$3,"mmm-yyyy"))</f>
        <v>0</v>
      </c>
      <c r="AD96" s="226">
        <f>SUMIFS(Banco[Monto],Banco[CtaCtbl],$C96,Banco[Periodo Contable],TEXT(AD$3,"mmm-yyyy"))</f>
        <v>0</v>
      </c>
      <c r="AE96" s="226">
        <f>SUMIFS(Banco[Monto],Banco[CtaCtbl],$C96,Banco[Periodo Contable],TEXT(AE$3,"mmm-yyyy"))</f>
        <v>0</v>
      </c>
      <c r="AF96" s="226">
        <f>SUMIFS(Banco[Monto],Banco[CtaCtbl],$C96,Banco[Periodo Contable],TEXT(AF$3,"mmm-yyyy"))</f>
        <v>0</v>
      </c>
      <c r="AG96" s="226">
        <f>SUMIFS(Banco[Monto],Banco[CtaCtbl],$C96,Banco[Periodo Contable],TEXT(AG$3,"mmm-yyyy"))</f>
        <v>0</v>
      </c>
      <c r="AH96" s="226">
        <f>SUMIFS(Banco[Monto],Banco[CtaCtbl],$C96,Banco[Periodo Contable],TEXT(AH$3,"mmm-yyyy"))</f>
        <v>0</v>
      </c>
      <c r="AI96" s="232">
        <f>SUM(Tabla17[[#This Row],[ene-23]:[dic-23]])</f>
        <v>0</v>
      </c>
      <c r="AJ96" s="226">
        <f>SUMIFS(Banco[Monto],Banco[CtaCtbl],$C96,Banco[Periodo Contable],TEXT(AJ$3,"mmm-yyyy"))</f>
        <v>0</v>
      </c>
      <c r="AK96" s="226">
        <f>SUMIFS(Banco[Monto],Banco[CtaCtbl],$C96,Banco[Periodo Contable],TEXT(AK$3,"mmm-yyyy"))</f>
        <v>0</v>
      </c>
      <c r="AL96" s="226">
        <f>SUMIFS(Banco[Monto],Banco[CtaCtbl],$C96,Banco[Periodo Contable],TEXT(AL$3,"mmm-yyyy"))</f>
        <v>0</v>
      </c>
      <c r="AM96" s="226">
        <f>SUMIFS(Banco[Monto],Banco[CtaCtbl],$C96,Banco[Periodo Contable],TEXT(AM$3,"mmm-yyyy"))</f>
        <v>0</v>
      </c>
      <c r="AN96" s="226">
        <f>SUMIFS(Banco[Monto],Banco[CtaCtbl],$C96,Banco[Periodo Contable],TEXT(AN$3,"mmm-yyyy"))</f>
        <v>0</v>
      </c>
      <c r="AO96" s="226">
        <f>SUMIFS(Banco[Monto],Banco[CtaCtbl],$C96,Banco[Periodo Contable],TEXT(AO$3,"mmm-yyyy"))</f>
        <v>0</v>
      </c>
      <c r="AP96" s="226">
        <f>SUMIFS(Banco[Monto],Banco[CtaCtbl],$C96,Banco[Periodo Contable],TEXT(AP$3,"mmm-yyyy"))</f>
        <v>0</v>
      </c>
      <c r="AQ96" s="226">
        <f>SUMIFS(Banco[Monto],Banco[CtaCtbl],$C96,Banco[Periodo Contable],TEXT(AQ$3,"mmm-yyyy"))</f>
        <v>-31000</v>
      </c>
      <c r="AR96" s="226">
        <f>SUMIFS(Banco[Monto],Banco[CtaCtbl],$C96,Banco[Periodo Contable],TEXT(AR$3,"mmm-yyyy"))</f>
        <v>0</v>
      </c>
      <c r="AS96" s="226">
        <f>SUMIFS(Banco[Monto],Banco[CtaCtbl],$C96,Banco[Periodo Contable],TEXT(AS$3,"mmm-yyyy"))</f>
        <v>0</v>
      </c>
      <c r="AT96" s="226">
        <f>SUMIFS(Banco[Monto],Banco[CtaCtbl],$C96,Banco[Periodo Contable],TEXT(AT$3,"mmm-yyyy"))</f>
        <v>0</v>
      </c>
      <c r="AU96" s="226">
        <f>SUMIFS(Banco[Monto],Banco[CtaCtbl],$C96,Banco[Periodo Contable],TEXT(AU$3,"mmm-yyyy"))</f>
        <v>0</v>
      </c>
      <c r="AV96" s="232">
        <f>SUM(Tabla17[[#This Row],[ene-24]:[dic-24]])</f>
        <v>-31000</v>
      </c>
      <c r="AW96" s="226">
        <f>SUMIFS(Banco[Monto],Banco[CtaCtbl],$C96,Banco[Periodo Contable],TEXT(AW$3,"mmm-yyyy"))</f>
        <v>0</v>
      </c>
      <c r="AX96" s="226">
        <f>SUMIFS(Banco[Monto],Banco[CtaCtbl],$C96,Banco[Periodo Contable],TEXT(AX$3,"mmm-yyyy"))</f>
        <v>0</v>
      </c>
      <c r="AY96" s="226">
        <f>SUMIFS(Banco[Monto],Banco[CtaCtbl],$C96,Banco[Periodo Contable],TEXT(AY$3,"mmm-yyyy"))</f>
        <v>0</v>
      </c>
      <c r="AZ96" s="226">
        <f>SUMIFS(Banco[Monto],Banco[CtaCtbl],$C96,Banco[Periodo Contable],TEXT(AZ$3,"mmm-yyyy"))</f>
        <v>0</v>
      </c>
      <c r="BA96" s="226">
        <f>SUMIFS(Banco[Monto],Banco[CtaCtbl],$C96,Banco[Periodo Contable],TEXT(BA$3,"mmm-yyyy"))</f>
        <v>0</v>
      </c>
      <c r="BB96" s="226">
        <f>SUMIFS(Banco[Monto],Banco[CtaCtbl],$C96,Banco[Periodo Contable],TEXT(BB$3,"mmm-yyyy"))</f>
        <v>0</v>
      </c>
      <c r="BC96" s="226">
        <f>SUMIFS(Banco[Monto],Banco[CtaCtbl],$C96,Banco[Periodo Contable],TEXT(BC$3,"mmm-yyyy"))</f>
        <v>0</v>
      </c>
      <c r="BD96" s="226">
        <f>SUMIFS(Banco[Monto],Banco[CtaCtbl],$C96,Banco[Periodo Contable],TEXT(BD$3,"mmm-yyyy"))</f>
        <v>0</v>
      </c>
      <c r="BE96" s="226">
        <f>SUMIFS(Banco[Monto],Banco[CtaCtbl],$C96,Banco[Periodo Contable],TEXT(BE$3,"mmm-yyyy"))</f>
        <v>0</v>
      </c>
      <c r="BF96" s="226">
        <f>SUMIFS(Banco[Monto],Banco[CtaCtbl],$C96,Banco[Periodo Contable],TEXT(BF$3,"mmm-yyyy"))</f>
        <v>0</v>
      </c>
      <c r="BG96" s="226">
        <f>SUMIFS(Banco[Monto],Banco[CtaCtbl],$C96,Banco[Periodo Contable],TEXT(BG$3,"mmm-yyyy"))</f>
        <v>0</v>
      </c>
      <c r="BH96" s="226">
        <f>SUMIFS(Banco[Monto],Banco[CtaCtbl],$C96,Banco[Periodo Contable],TEXT(BH$3,"mmm-yyyy"))</f>
        <v>0</v>
      </c>
      <c r="BI96" s="232">
        <f>SUM(Tabla17[[#This Row],[ene-25]:[dic-25]])</f>
        <v>0</v>
      </c>
      <c r="BJ96" s="226">
        <f>SUMIFS(Banco[Monto],Banco[CtaCtbl],$C96,Banco[Periodo Contable],TEXT(BJ$3,"mmm-yyyy"))</f>
        <v>0</v>
      </c>
      <c r="BK96" s="226">
        <f>SUMIFS(Banco[Monto],Banco[CtaCtbl],$C96,Banco[Periodo Contable],TEXT(BK$3,"mmm-yyyy"))</f>
        <v>0</v>
      </c>
      <c r="BL96" s="226">
        <f>SUMIFS(Banco[Monto],Banco[CtaCtbl],$C96,Banco[Periodo Contable],TEXT(BL$3,"mmm-yyyy"))</f>
        <v>0</v>
      </c>
      <c r="BM96" s="226">
        <f>SUMIFS(Banco[Monto],Banco[CtaCtbl],$C96,Banco[Periodo Contable],TEXT(BM$3,"mmm-yyyy"))</f>
        <v>0</v>
      </c>
      <c r="BN96" s="226">
        <f>SUMIFS(Banco[Monto],Banco[CtaCtbl],$C96,Banco[Periodo Contable],TEXT(BN$3,"mmm-yyyy"))</f>
        <v>0</v>
      </c>
      <c r="BO96" s="226">
        <f>SUMIFS(Banco[Monto],Banco[CtaCtbl],$C96,Banco[Periodo Contable],TEXT(BO$3,"mmm-yyyy"))</f>
        <v>0</v>
      </c>
      <c r="BP96" s="226">
        <f>SUMIFS(Banco[Monto],Banco[CtaCtbl],$C96,Banco[Periodo Contable],TEXT(BP$3,"mmm-yyyy"))</f>
        <v>0</v>
      </c>
      <c r="BQ96" s="226">
        <f>SUMIFS(Banco[Monto],Banco[CtaCtbl],$C96,Banco[Periodo Contable],TEXT(BQ$3,"mmm-yyyy"))</f>
        <v>0</v>
      </c>
      <c r="BR96" s="226">
        <f>SUMIFS(Banco[Monto],Banco[CtaCtbl],$C96,Banco[Periodo Contable],TEXT(BR$3,"mmm-yyyy"))</f>
        <v>0</v>
      </c>
      <c r="BS96" s="226">
        <f>SUMIFS(Banco[Monto],Banco[CtaCtbl],$C96,Banco[Periodo Contable],TEXT(BS$3,"mmm-yyyy"))</f>
        <v>0</v>
      </c>
      <c r="BT96" s="226">
        <f>SUMIFS(Banco[Monto],Banco[CtaCtbl],$C96,Banco[Periodo Contable],TEXT(BT$3,"mmm-yyyy"))</f>
        <v>0</v>
      </c>
      <c r="BU96" s="226">
        <f>SUMIFS(Banco[Monto],Banco[CtaCtbl],$C96,Banco[Periodo Contable],TEXT(BU$3,"mmm-yyyy"))</f>
        <v>0</v>
      </c>
      <c r="BV96" s="232">
        <f>SUM(Tabla17[[#This Row],[ene-26]:[dic-26]])</f>
        <v>0</v>
      </c>
      <c r="BW96" s="226">
        <f>SUMIFS(Banco[Monto],Banco[CtaCtbl],$C96,Banco[Periodo Contable],TEXT(BW$3,"mmm-yyyy"))</f>
        <v>0</v>
      </c>
    </row>
    <row r="97" spans="1:75" s="293" customFormat="1" ht="28.2" customHeight="1" outlineLevel="1">
      <c r="A97" s="349" t="s">
        <v>414</v>
      </c>
      <c r="B97" s="350" t="s">
        <v>415</v>
      </c>
      <c r="C97" s="351" t="str">
        <f>+Tabla17[[#This Row],[Cuenta]]&amp;" - "&amp;Tabla17[[#This Row],[Descripcion Cuenta]]</f>
        <v>3.04 - Ganancias de Inversiones</v>
      </c>
      <c r="D97" s="352"/>
      <c r="E97" s="353">
        <f t="shared" ref="E97:BW97" si="290">SUBTOTAL(9,E98:E99)</f>
        <v>0</v>
      </c>
      <c r="F97" s="353">
        <f t="shared" si="290"/>
        <v>0</v>
      </c>
      <c r="G97" s="353">
        <f t="shared" si="290"/>
        <v>0</v>
      </c>
      <c r="H97" s="353">
        <f t="shared" si="290"/>
        <v>0</v>
      </c>
      <c r="I97" s="353">
        <f>SUM(Tabla17[[#This Row],[sept-21]:[dic-21]])</f>
        <v>0</v>
      </c>
      <c r="J97" s="353">
        <f t="shared" si="290"/>
        <v>0</v>
      </c>
      <c r="K97" s="353">
        <f t="shared" si="290"/>
        <v>0</v>
      </c>
      <c r="L97" s="353">
        <f t="shared" si="290"/>
        <v>0</v>
      </c>
      <c r="M97" s="353">
        <f t="shared" si="290"/>
        <v>0</v>
      </c>
      <c r="N97" s="353">
        <f t="shared" si="290"/>
        <v>0</v>
      </c>
      <c r="O97" s="353">
        <f t="shared" si="290"/>
        <v>0</v>
      </c>
      <c r="P97" s="353">
        <f t="shared" si="290"/>
        <v>0</v>
      </c>
      <c r="Q97" s="353">
        <f t="shared" si="290"/>
        <v>0</v>
      </c>
      <c r="R97" s="353">
        <f t="shared" si="290"/>
        <v>0</v>
      </c>
      <c r="S97" s="353">
        <f t="shared" si="290"/>
        <v>0</v>
      </c>
      <c r="T97" s="353">
        <f t="shared" si="290"/>
        <v>0</v>
      </c>
      <c r="U97" s="353">
        <f t="shared" si="290"/>
        <v>0</v>
      </c>
      <c r="V97" s="353">
        <f t="shared" si="290"/>
        <v>0</v>
      </c>
      <c r="W97" s="353">
        <f t="shared" si="290"/>
        <v>0</v>
      </c>
      <c r="X97" s="353">
        <f t="shared" si="290"/>
        <v>0</v>
      </c>
      <c r="Y97" s="353">
        <f t="shared" si="290"/>
        <v>0</v>
      </c>
      <c r="Z97" s="353">
        <f t="shared" si="290"/>
        <v>0</v>
      </c>
      <c r="AA97" s="353">
        <f t="shared" si="290"/>
        <v>0</v>
      </c>
      <c r="AB97" s="353">
        <f t="shared" si="290"/>
        <v>0</v>
      </c>
      <c r="AC97" s="353">
        <f t="shared" si="290"/>
        <v>0</v>
      </c>
      <c r="AD97" s="353">
        <f t="shared" si="290"/>
        <v>0</v>
      </c>
      <c r="AE97" s="353">
        <f t="shared" si="290"/>
        <v>0</v>
      </c>
      <c r="AF97" s="353">
        <f t="shared" si="290"/>
        <v>0</v>
      </c>
      <c r="AG97" s="353">
        <f t="shared" si="290"/>
        <v>0</v>
      </c>
      <c r="AH97" s="353">
        <f t="shared" si="290"/>
        <v>0</v>
      </c>
      <c r="AI97" s="353">
        <f t="shared" si="290"/>
        <v>0</v>
      </c>
      <c r="AJ97" s="353">
        <f t="shared" si="290"/>
        <v>0</v>
      </c>
      <c r="AK97" s="353">
        <f t="shared" si="290"/>
        <v>0</v>
      </c>
      <c r="AL97" s="353">
        <f t="shared" si="290"/>
        <v>0</v>
      </c>
      <c r="AM97" s="353">
        <f t="shared" si="290"/>
        <v>0</v>
      </c>
      <c r="AN97" s="353">
        <f t="shared" si="290"/>
        <v>0</v>
      </c>
      <c r="AO97" s="353">
        <f t="shared" si="290"/>
        <v>0</v>
      </c>
      <c r="AP97" s="353">
        <f t="shared" si="290"/>
        <v>0</v>
      </c>
      <c r="AQ97" s="353">
        <f t="shared" si="290"/>
        <v>0</v>
      </c>
      <c r="AR97" s="353">
        <f t="shared" si="290"/>
        <v>0</v>
      </c>
      <c r="AS97" s="353">
        <f t="shared" si="290"/>
        <v>0</v>
      </c>
      <c r="AT97" s="353">
        <f t="shared" si="290"/>
        <v>0</v>
      </c>
      <c r="AU97" s="353">
        <f t="shared" si="290"/>
        <v>0</v>
      </c>
      <c r="AV97" s="353">
        <f t="shared" si="290"/>
        <v>0</v>
      </c>
      <c r="AW97" s="353">
        <f>SUBTOTAL(9,AW98:AW99)</f>
        <v>0</v>
      </c>
      <c r="AX97" s="353">
        <f t="shared" ref="AX97:BH97" si="291">SUBTOTAL(9,AX98:AX99)</f>
        <v>0</v>
      </c>
      <c r="AY97" s="353">
        <f t="shared" si="291"/>
        <v>0</v>
      </c>
      <c r="AZ97" s="353">
        <f t="shared" si="291"/>
        <v>0</v>
      </c>
      <c r="BA97" s="353">
        <f t="shared" si="291"/>
        <v>0</v>
      </c>
      <c r="BB97" s="353">
        <f t="shared" si="291"/>
        <v>1201431</v>
      </c>
      <c r="BC97" s="353">
        <f t="shared" si="291"/>
        <v>0</v>
      </c>
      <c r="BD97" s="353">
        <f t="shared" si="291"/>
        <v>0</v>
      </c>
      <c r="BE97" s="353">
        <f t="shared" si="291"/>
        <v>0</v>
      </c>
      <c r="BF97" s="353">
        <f t="shared" si="291"/>
        <v>-20000000</v>
      </c>
      <c r="BG97" s="353">
        <f t="shared" si="291"/>
        <v>0</v>
      </c>
      <c r="BH97" s="353">
        <f t="shared" si="291"/>
        <v>0</v>
      </c>
      <c r="BI97" s="353">
        <f t="shared" si="290"/>
        <v>-18798569</v>
      </c>
      <c r="BJ97" s="353">
        <f t="shared" ref="BJ97" si="292">SUBTOTAL(9,BJ98:BJ99)</f>
        <v>0</v>
      </c>
      <c r="BK97" s="353">
        <f t="shared" ref="BK97" si="293">SUBTOTAL(9,BK98:BK99)</f>
        <v>0</v>
      </c>
      <c r="BL97" s="353">
        <f t="shared" ref="BL97" si="294">SUBTOTAL(9,BL98:BL99)</f>
        <v>0</v>
      </c>
      <c r="BM97" s="353">
        <f t="shared" ref="BM97" si="295">SUBTOTAL(9,BM98:BM99)</f>
        <v>0</v>
      </c>
      <c r="BN97" s="353">
        <f t="shared" ref="BN97" si="296">SUBTOTAL(9,BN98:BN99)</f>
        <v>0</v>
      </c>
      <c r="BO97" s="353">
        <f t="shared" ref="BO97" si="297">SUBTOTAL(9,BO98:BO99)</f>
        <v>0</v>
      </c>
      <c r="BP97" s="353">
        <f t="shared" ref="BP97" si="298">SUBTOTAL(9,BP98:BP99)</f>
        <v>0</v>
      </c>
      <c r="BQ97" s="353">
        <f t="shared" ref="BQ97" si="299">SUBTOTAL(9,BQ98:BQ99)</f>
        <v>0</v>
      </c>
      <c r="BR97" s="353">
        <f t="shared" ref="BR97" si="300">SUBTOTAL(9,BR98:BR99)</f>
        <v>0</v>
      </c>
      <c r="BS97" s="353">
        <f t="shared" ref="BS97" si="301">SUBTOTAL(9,BS98:BS99)</f>
        <v>0</v>
      </c>
      <c r="BT97" s="353">
        <f t="shared" ref="BT97" si="302">SUBTOTAL(9,BT98:BT99)</f>
        <v>0</v>
      </c>
      <c r="BU97" s="353">
        <f t="shared" ref="BU97:BV97" si="303">SUBTOTAL(9,BU98:BU99)</f>
        <v>0</v>
      </c>
      <c r="BV97" s="353">
        <f t="shared" si="303"/>
        <v>0</v>
      </c>
      <c r="BW97" s="353">
        <f t="shared" si="290"/>
        <v>0</v>
      </c>
    </row>
    <row r="98" spans="1:75" s="293" customFormat="1" ht="21.6" outlineLevel="2">
      <c r="A98" s="217" t="s">
        <v>416</v>
      </c>
      <c r="B98" s="27" t="s">
        <v>417</v>
      </c>
      <c r="C98" s="15" t="str">
        <f>+Tabla17[[#This Row],[Cuenta]]&amp;" - "&amp;Tabla17[[#This Row],[Descripcion Cuenta]]</f>
        <v>3.04.01 - Depositos a Plazo</v>
      </c>
      <c r="D98" s="220"/>
      <c r="E98" s="209">
        <f>SUMIFS(Banco[Monto],Banco[CtaCtbl],$C98,Banco[Periodo Contable],TEXT(E$3,"mmm-yyyy"))</f>
        <v>0</v>
      </c>
      <c r="F98" s="209">
        <f>SUMIFS(Banco[Monto],Banco[CtaCtbl],$C98,Banco[Periodo Contable],TEXT(F$3,"mmm-yyyy"))</f>
        <v>0</v>
      </c>
      <c r="G98" s="209">
        <f>SUMIFS(Banco[Monto],Banco[CtaCtbl],$C98,Banco[Periodo Contable],TEXT(G$3,"mmm-yyyy"))</f>
        <v>0</v>
      </c>
      <c r="H98" s="209">
        <f>SUMIFS(Banco[Monto],Banco[CtaCtbl],$C98,Banco[Periodo Contable],TEXT(H$3,"mmm-yyyy"))</f>
        <v>0</v>
      </c>
      <c r="I98" s="209">
        <f>SUM(Tabla17[[#This Row],[sept-21]:[dic-21]])</f>
        <v>0</v>
      </c>
      <c r="J98" s="209">
        <f>SUMIFS(Banco[Monto],Banco[CtaCtbl],$C98,Banco[Periodo Contable],TEXT(J$3,"mmm-yyyy"))</f>
        <v>0</v>
      </c>
      <c r="K98" s="209">
        <f>SUMIFS(Banco[Monto],Banco[CtaCtbl],$C98,Banco[Periodo Contable],TEXT(K$3,"mmm-yyyy"))</f>
        <v>0</v>
      </c>
      <c r="L98" s="209">
        <f>SUMIFS(Banco[Monto],Banco[CtaCtbl],$C98,Banco[Periodo Contable],TEXT(L$3,"mmm-yyyy"))</f>
        <v>0</v>
      </c>
      <c r="M98" s="209">
        <f>SUMIFS(Banco[Monto],Banco[CtaCtbl],$C98,Banco[Periodo Contable],TEXT(M$3,"mmm-yyyy"))</f>
        <v>0</v>
      </c>
      <c r="N98" s="209">
        <f>SUMIFS(Banco[Monto],Banco[CtaCtbl],$C98,Banco[Periodo Contable],TEXT(N$3,"mmm-yyyy"))</f>
        <v>0</v>
      </c>
      <c r="O98" s="209">
        <f>SUMIFS(Banco[Monto],Banco[CtaCtbl],$C98,Banco[Periodo Contable],TEXT(O$3,"mmm-yyyy"))</f>
        <v>0</v>
      </c>
      <c r="P98" s="209">
        <f>SUMIFS(Banco[Monto],Banco[CtaCtbl],$C98,Banco[Periodo Contable],TEXT(P$3,"mmm-yyyy"))</f>
        <v>0</v>
      </c>
      <c r="Q98" s="209">
        <f>SUMIFS(Banco[Monto],Banco[CtaCtbl],$C98,Banco[Periodo Contable],TEXT(Q$3,"mmm-yyyy"))</f>
        <v>0</v>
      </c>
      <c r="R98" s="209">
        <f>SUMIFS(Banco[Monto],Banco[CtaCtbl],$C98,Banco[Periodo Contable],TEXT(R$3,"mmm-yyyy"))</f>
        <v>0</v>
      </c>
      <c r="S98" s="209">
        <f>SUMIFS(Banco[Monto],Banco[CtaCtbl],$C98,Banco[Periodo Contable],TEXT(S$3,"mmm-yyyy"))</f>
        <v>0</v>
      </c>
      <c r="T98" s="209">
        <f>SUMIFS(Banco[Monto],Banco[CtaCtbl],$C98,Banco[Periodo Contable],TEXT(T$3,"mmm-yyyy"))</f>
        <v>0</v>
      </c>
      <c r="U98" s="209">
        <f>SUMIFS(Banco[Monto],Banco[CtaCtbl],$C98,Banco[Periodo Contable],TEXT(U$3,"mmm-yyyy"))</f>
        <v>0</v>
      </c>
      <c r="V98" s="300">
        <f>SUM(Tabla17[[#This Row],[ene-22]:[dic-22]])</f>
        <v>0</v>
      </c>
      <c r="W98" s="209">
        <f>SUMIFS(Banco[Monto],Banco[CtaCtbl],$C98,Banco[Periodo Contable],TEXT(W$3,"mmm-yyyy"))</f>
        <v>0</v>
      </c>
      <c r="X98" s="209">
        <f>SUMIFS(Banco[Monto],Banco[CtaCtbl],$C98,Banco[Periodo Contable],TEXT(X$3,"mmm-yyyy"))</f>
        <v>0</v>
      </c>
      <c r="Y98" s="209">
        <f>SUMIFS(Banco[Monto],Banco[CtaCtbl],$C98,Banco[Periodo Contable],TEXT(Y$3,"mmm-yyyy"))</f>
        <v>0</v>
      </c>
      <c r="Z98" s="209">
        <f>SUMIFS(Banco[Monto],Banco[CtaCtbl],$C98,Banco[Periodo Contable],TEXT(Z$3,"mmm-yyyy"))</f>
        <v>0</v>
      </c>
      <c r="AA98" s="209">
        <f>SUMIFS(Banco[Monto],Banco[CtaCtbl],$C98,Banco[Periodo Contable],TEXT(AA$3,"mmm-yyyy"))</f>
        <v>0</v>
      </c>
      <c r="AB98" s="209">
        <f>SUMIFS(Banco[Monto],Banco[CtaCtbl],$C98,Banco[Periodo Contable],TEXT(AB$3,"mmm-yyyy"))</f>
        <v>0</v>
      </c>
      <c r="AC98" s="209">
        <f>SUMIFS(Banco[Monto],Banco[CtaCtbl],$C98,Banco[Periodo Contable],TEXT(AC$3,"mmm-yyyy"))</f>
        <v>0</v>
      </c>
      <c r="AD98" s="209">
        <f>SUMIFS(Banco[Monto],Banco[CtaCtbl],$C98,Banco[Periodo Contable],TEXT(AD$3,"mmm-yyyy"))</f>
        <v>0</v>
      </c>
      <c r="AE98" s="209">
        <f>SUMIFS(Banco[Monto],Banco[CtaCtbl],$C98,Banco[Periodo Contable],TEXT(AE$3,"mmm-yyyy"))</f>
        <v>0</v>
      </c>
      <c r="AF98" s="209">
        <f>SUMIFS(Banco[Monto],Banco[CtaCtbl],$C98,Banco[Periodo Contable],TEXT(AF$3,"mmm-yyyy"))</f>
        <v>0</v>
      </c>
      <c r="AG98" s="209">
        <f>SUMIFS(Banco[Monto],Banco[CtaCtbl],$C98,Banco[Periodo Contable],TEXT(AG$3,"mmm-yyyy"))</f>
        <v>0</v>
      </c>
      <c r="AH98" s="209">
        <f>SUMIFS(Banco[Monto],Banco[CtaCtbl],$C98,Banco[Periodo Contable],TEXT(AH$3,"mmm-yyyy"))</f>
        <v>0</v>
      </c>
      <c r="AI98" s="300">
        <f>SUM(Tabla17[[#This Row],[ene-23]:[dic-23]])</f>
        <v>0</v>
      </c>
      <c r="AJ98" s="209">
        <f>SUMIFS(Banco[Monto],Banco[CtaCtbl],$C98,Banco[Periodo Contable],TEXT(AJ$3,"mmm-yyyy"))</f>
        <v>0</v>
      </c>
      <c r="AK98" s="209">
        <f>SUMIFS(Banco[Monto],Banco[CtaCtbl],$C98,Banco[Periodo Contable],TEXT(AK$3,"mmm-yyyy"))</f>
        <v>0</v>
      </c>
      <c r="AL98" s="209">
        <f>SUMIFS(Banco[Monto],Banco[CtaCtbl],$C98,Banco[Periodo Contable],TEXT(AL$3,"mmm-yyyy"))</f>
        <v>0</v>
      </c>
      <c r="AM98" s="209">
        <f>SUMIFS(Banco[Monto],Banco[CtaCtbl],$C98,Banco[Periodo Contable],TEXT(AM$3,"mmm-yyyy"))</f>
        <v>0</v>
      </c>
      <c r="AN98" s="209">
        <f>SUMIFS(Banco[Monto],Banco[CtaCtbl],$C98,Banco[Periodo Contable],TEXT(AN$3,"mmm-yyyy"))</f>
        <v>0</v>
      </c>
      <c r="AO98" s="209">
        <f>SUMIFS(Banco[Monto],Banco[CtaCtbl],$C98,Banco[Periodo Contable],TEXT(AO$3,"mmm-yyyy"))</f>
        <v>0</v>
      </c>
      <c r="AP98" s="209">
        <f>SUMIFS(Banco[Monto],Banco[CtaCtbl],$C98,Banco[Periodo Contable],TEXT(AP$3,"mmm-yyyy"))</f>
        <v>0</v>
      </c>
      <c r="AQ98" s="209">
        <f>SUMIFS(Banco[Monto],Banco[CtaCtbl],$C98,Banco[Periodo Contable],TEXT(AQ$3,"mmm-yyyy"))</f>
        <v>0</v>
      </c>
      <c r="AR98" s="209">
        <f>SUMIFS(Banco[Monto],Banco[CtaCtbl],$C98,Banco[Periodo Contable],TEXT(AR$3,"mmm-yyyy"))</f>
        <v>0</v>
      </c>
      <c r="AS98" s="209">
        <f>SUMIFS(Banco[Monto],Banco[CtaCtbl],$C98,Banco[Periodo Contable],TEXT(AS$3,"mmm-yyyy"))</f>
        <v>0</v>
      </c>
      <c r="AT98" s="209">
        <f>SUMIFS(Banco[Monto],Banco[CtaCtbl],$C98,Banco[Periodo Contable],TEXT(AT$3,"mmm-yyyy"))</f>
        <v>0</v>
      </c>
      <c r="AU98" s="209">
        <f>SUMIFS(Banco[Monto],Banco[CtaCtbl],$C98,Banco[Periodo Contable],TEXT(AU$3,"mmm-yyyy"))</f>
        <v>0</v>
      </c>
      <c r="AV98" s="300">
        <f>SUM(Tabla17[[#This Row],[ene-24]:[dic-24]])</f>
        <v>0</v>
      </c>
      <c r="AW98" s="209">
        <f>SUMIFS(Banco[Monto],Banco[CtaCtbl],$C98,Banco[Periodo Contable],TEXT(AW$3,"mmm-yyyy"))</f>
        <v>0</v>
      </c>
      <c r="AX98" s="209">
        <f>SUMIFS(Banco[Monto],Banco[CtaCtbl],$C98,Banco[Periodo Contable],TEXT(AX$3,"mmm-yyyy"))</f>
        <v>0</v>
      </c>
      <c r="AY98" s="209">
        <f>SUMIFS(Banco[Monto],Banco[CtaCtbl],$C98,Banco[Periodo Contable],TEXT(AY$3,"mmm-yyyy"))</f>
        <v>0</v>
      </c>
      <c r="AZ98" s="209">
        <f>SUMIFS(Banco[Monto],Banco[CtaCtbl],$C98,Banco[Periodo Contable],TEXT(AZ$3,"mmm-yyyy"))</f>
        <v>0</v>
      </c>
      <c r="BA98" s="209">
        <f>SUMIFS(Banco[Monto],Banco[CtaCtbl],$C98,Banco[Periodo Contable],TEXT(BA$3,"mmm-yyyy"))</f>
        <v>0</v>
      </c>
      <c r="BB98" s="209">
        <f>SUMIFS(Banco[Monto],Banco[CtaCtbl],$C98,Banco[Periodo Contable],TEXT(BB$3,"mmm-yyyy"))</f>
        <v>1201431</v>
      </c>
      <c r="BC98" s="209">
        <f>SUMIFS(Banco[Monto],Banco[CtaCtbl],$C98,Banco[Periodo Contable],TEXT(BC$3,"mmm-yyyy"))</f>
        <v>0</v>
      </c>
      <c r="BD98" s="209">
        <f>SUMIFS(Banco[Monto],Banco[CtaCtbl],$C98,Banco[Periodo Contable],TEXT(BD$3,"mmm-yyyy"))</f>
        <v>0</v>
      </c>
      <c r="BE98" s="209">
        <f>SUMIFS(Banco[Monto],Banco[CtaCtbl],$C98,Banco[Periodo Contable],TEXT(BE$3,"mmm-yyyy"))</f>
        <v>0</v>
      </c>
      <c r="BF98" s="209">
        <f>SUMIFS(Banco[Monto],Banco[CtaCtbl],$C98,Banco[Periodo Contable],TEXT(BF$3,"mmm-yyyy"))</f>
        <v>-20000000</v>
      </c>
      <c r="BG98" s="209">
        <f>SUMIFS(Banco[Monto],Banco[CtaCtbl],$C98,Banco[Periodo Contable],TEXT(BG$3,"mmm-yyyy"))</f>
        <v>0</v>
      </c>
      <c r="BH98" s="209">
        <f>SUMIFS(Banco[Monto],Banco[CtaCtbl],$C98,Banco[Periodo Contable],TEXT(BH$3,"mmm-yyyy"))</f>
        <v>0</v>
      </c>
      <c r="BI98" s="232">
        <f>SUM(Tabla17[[#This Row],[ene-25]:[dic-25]])</f>
        <v>-18798569</v>
      </c>
      <c r="BJ98" s="209">
        <f>SUMIFS(Banco[Monto],Banco[CtaCtbl],$C98,Banco[Periodo Contable],TEXT(BJ$3,"mmm-yyyy"))</f>
        <v>0</v>
      </c>
      <c r="BK98" s="209">
        <f>SUMIFS(Banco[Monto],Banco[CtaCtbl],$C98,Banco[Periodo Contable],TEXT(BK$3,"mmm-yyyy"))</f>
        <v>0</v>
      </c>
      <c r="BL98" s="209">
        <f>SUMIFS(Banco[Monto],Banco[CtaCtbl],$C98,Banco[Periodo Contable],TEXT(BL$3,"mmm-yyyy"))</f>
        <v>0</v>
      </c>
      <c r="BM98" s="209">
        <f>SUMIFS(Banco[Monto],Banco[CtaCtbl],$C98,Banco[Periodo Contable],TEXT(BM$3,"mmm-yyyy"))</f>
        <v>0</v>
      </c>
      <c r="BN98" s="209">
        <f>SUMIFS(Banco[Monto],Banco[CtaCtbl],$C98,Banco[Periodo Contable],TEXT(BN$3,"mmm-yyyy"))</f>
        <v>0</v>
      </c>
      <c r="BO98" s="209">
        <f>SUMIFS(Banco[Monto],Banco[CtaCtbl],$C98,Banco[Periodo Contable],TEXT(BO$3,"mmm-yyyy"))</f>
        <v>0</v>
      </c>
      <c r="BP98" s="209">
        <f>SUMIFS(Banco[Monto],Banco[CtaCtbl],$C98,Banco[Periodo Contable],TEXT(BP$3,"mmm-yyyy"))</f>
        <v>0</v>
      </c>
      <c r="BQ98" s="209">
        <f>SUMIFS(Banco[Monto],Banco[CtaCtbl],$C98,Banco[Periodo Contable],TEXT(BQ$3,"mmm-yyyy"))</f>
        <v>0</v>
      </c>
      <c r="BR98" s="209">
        <f>SUMIFS(Banco[Monto],Banco[CtaCtbl],$C98,Banco[Periodo Contable],TEXT(BR$3,"mmm-yyyy"))</f>
        <v>0</v>
      </c>
      <c r="BS98" s="209">
        <f>SUMIFS(Banco[Monto],Banco[CtaCtbl],$C98,Banco[Periodo Contable],TEXT(BS$3,"mmm-yyyy"))</f>
        <v>0</v>
      </c>
      <c r="BT98" s="209">
        <f>SUMIFS(Banco[Monto],Banco[CtaCtbl],$C98,Banco[Periodo Contable],TEXT(BT$3,"mmm-yyyy"))</f>
        <v>0</v>
      </c>
      <c r="BU98" s="209">
        <f>SUMIFS(Banco[Monto],Banco[CtaCtbl],$C98,Banco[Periodo Contable],TEXT(BU$3,"mmm-yyyy"))</f>
        <v>0</v>
      </c>
      <c r="BV98" s="232">
        <f>SUM(Tabla17[[#This Row],[ene-26]:[dic-26]])</f>
        <v>0</v>
      </c>
      <c r="BW98" s="209">
        <f>SUMIFS(Banco[Monto],Banco[CtaCtbl],$C98,Banco[Periodo Contable],TEXT(BW$3,"mmm-yyyy"))</f>
        <v>0</v>
      </c>
    </row>
    <row r="99" spans="1:75" s="293" customFormat="1" ht="21.6" outlineLevel="2">
      <c r="A99" s="217" t="s">
        <v>418</v>
      </c>
      <c r="B99" s="27" t="s">
        <v>419</v>
      </c>
      <c r="C99" s="15" t="str">
        <f>+Tabla17[[#This Row],[Cuenta]]&amp;" - "&amp;Tabla17[[#This Row],[Descripcion Cuenta]]</f>
        <v>3.04.02 - Fondos Mutuos</v>
      </c>
      <c r="D99" s="220"/>
      <c r="E99" s="209">
        <f>SUMIFS(Banco[Monto],Banco[CtaCtbl],$C99,Banco[Periodo Contable],TEXT(E$3,"mmm-yyyy"))</f>
        <v>0</v>
      </c>
      <c r="F99" s="209">
        <f>SUMIFS(Banco[Monto],Banco[CtaCtbl],$C99,Banco[Periodo Contable],TEXT(F$3,"mmm-yyyy"))</f>
        <v>0</v>
      </c>
      <c r="G99" s="209">
        <f>SUMIFS(Banco[Monto],Banco[CtaCtbl],$C99,Banco[Periodo Contable],TEXT(G$3,"mmm-yyyy"))</f>
        <v>0</v>
      </c>
      <c r="H99" s="209">
        <f>SUMIFS(Banco[Monto],Banco[CtaCtbl],$C99,Banco[Periodo Contable],TEXT(H$3,"mmm-yyyy"))</f>
        <v>0</v>
      </c>
      <c r="I99" s="209">
        <f>SUM(Tabla17[[#This Row],[sept-21]:[dic-21]])</f>
        <v>0</v>
      </c>
      <c r="J99" s="209">
        <f>SUMIFS(Banco[Monto],Banco[CtaCtbl],$C99,Banco[Periodo Contable],TEXT(J$3,"mmm-yyyy"))</f>
        <v>0</v>
      </c>
      <c r="K99" s="209">
        <f>SUMIFS(Banco[Monto],Banco[CtaCtbl],$C99,Banco[Periodo Contable],TEXT(K$3,"mmm-yyyy"))</f>
        <v>0</v>
      </c>
      <c r="L99" s="209">
        <f>SUMIFS(Banco[Monto],Banco[CtaCtbl],$C99,Banco[Periodo Contable],TEXT(L$3,"mmm-yyyy"))</f>
        <v>0</v>
      </c>
      <c r="M99" s="209">
        <f>SUMIFS(Banco[Monto],Banco[CtaCtbl],$C99,Banco[Periodo Contable],TEXT(M$3,"mmm-yyyy"))</f>
        <v>0</v>
      </c>
      <c r="N99" s="209">
        <f>SUMIFS(Banco[Monto],Banco[CtaCtbl],$C99,Banco[Periodo Contable],TEXT(N$3,"mmm-yyyy"))</f>
        <v>0</v>
      </c>
      <c r="O99" s="209">
        <f>SUMIFS(Banco[Monto],Banco[CtaCtbl],$C99,Banco[Periodo Contable],TEXT(O$3,"mmm-yyyy"))</f>
        <v>0</v>
      </c>
      <c r="P99" s="209">
        <f>SUMIFS(Banco[Monto],Banco[CtaCtbl],$C99,Banco[Periodo Contable],TEXT(P$3,"mmm-yyyy"))</f>
        <v>0</v>
      </c>
      <c r="Q99" s="209">
        <f>SUMIFS(Banco[Monto],Banco[CtaCtbl],$C99,Banco[Periodo Contable],TEXT(Q$3,"mmm-yyyy"))</f>
        <v>0</v>
      </c>
      <c r="R99" s="209">
        <f>SUMIFS(Banco[Monto],Banco[CtaCtbl],$C99,Banco[Periodo Contable],TEXT(R$3,"mmm-yyyy"))</f>
        <v>0</v>
      </c>
      <c r="S99" s="209">
        <f>SUMIFS(Banco[Monto],Banco[CtaCtbl],$C99,Banco[Periodo Contable],TEXT(S$3,"mmm-yyyy"))</f>
        <v>0</v>
      </c>
      <c r="T99" s="209">
        <f>SUMIFS(Banco[Monto],Banco[CtaCtbl],$C99,Banco[Periodo Contable],TEXT(T$3,"mmm-yyyy"))</f>
        <v>0</v>
      </c>
      <c r="U99" s="209">
        <f>SUMIFS(Banco[Monto],Banco[CtaCtbl],$C99,Banco[Periodo Contable],TEXT(U$3,"mmm-yyyy"))</f>
        <v>0</v>
      </c>
      <c r="V99" s="300">
        <f>SUM(Tabla17[[#This Row],[ene-22]:[dic-22]])</f>
        <v>0</v>
      </c>
      <c r="W99" s="209">
        <f>SUMIFS(Banco[Monto],Banco[CtaCtbl],$C99,Banco[Periodo Contable],TEXT(W$3,"mmm-yyyy"))</f>
        <v>0</v>
      </c>
      <c r="X99" s="209">
        <f>SUMIFS(Banco[Monto],Banco[CtaCtbl],$C99,Banco[Periodo Contable],TEXT(X$3,"mmm-yyyy"))</f>
        <v>0</v>
      </c>
      <c r="Y99" s="209">
        <f>SUMIFS(Banco[Monto],Banco[CtaCtbl],$C99,Banco[Periodo Contable],TEXT(Y$3,"mmm-yyyy"))</f>
        <v>0</v>
      </c>
      <c r="Z99" s="209">
        <f>SUMIFS(Banco[Monto],Banco[CtaCtbl],$C99,Banco[Periodo Contable],TEXT(Z$3,"mmm-yyyy"))</f>
        <v>0</v>
      </c>
      <c r="AA99" s="209">
        <f>SUMIFS(Banco[Monto],Banco[CtaCtbl],$C99,Banco[Periodo Contable],TEXT(AA$3,"mmm-yyyy"))</f>
        <v>0</v>
      </c>
      <c r="AB99" s="209">
        <f>SUMIFS(Banco[Monto],Banco[CtaCtbl],$C99,Banco[Periodo Contable],TEXT(AB$3,"mmm-yyyy"))</f>
        <v>0</v>
      </c>
      <c r="AC99" s="209">
        <f>SUMIFS(Banco[Monto],Banco[CtaCtbl],$C99,Banco[Periodo Contable],TEXT(AC$3,"mmm-yyyy"))</f>
        <v>0</v>
      </c>
      <c r="AD99" s="209">
        <f>SUMIFS(Banco[Monto],Banco[CtaCtbl],$C99,Banco[Periodo Contable],TEXT(AD$3,"mmm-yyyy"))</f>
        <v>0</v>
      </c>
      <c r="AE99" s="209">
        <f>SUMIFS(Banco[Monto],Banco[CtaCtbl],$C99,Banco[Periodo Contable],TEXT(AE$3,"mmm-yyyy"))</f>
        <v>0</v>
      </c>
      <c r="AF99" s="209">
        <f>SUMIFS(Banco[Monto],Banco[CtaCtbl],$C99,Banco[Periodo Contable],TEXT(AF$3,"mmm-yyyy"))</f>
        <v>0</v>
      </c>
      <c r="AG99" s="209">
        <f>SUMIFS(Banco[Monto],Banco[CtaCtbl],$C99,Banco[Periodo Contable],TEXT(AG$3,"mmm-yyyy"))</f>
        <v>0</v>
      </c>
      <c r="AH99" s="209">
        <f>SUMIFS(Banco[Monto],Banco[CtaCtbl],$C99,Banco[Periodo Contable],TEXT(AH$3,"mmm-yyyy"))</f>
        <v>0</v>
      </c>
      <c r="AI99" s="300">
        <f>SUM(Tabla17[[#This Row],[ene-23]:[dic-23]])</f>
        <v>0</v>
      </c>
      <c r="AJ99" s="209">
        <f>SUMIFS(Banco[Monto],Banco[CtaCtbl],$C99,Banco[Periodo Contable],TEXT(AJ$3,"mmm-yyyy"))</f>
        <v>0</v>
      </c>
      <c r="AK99" s="209">
        <f>SUMIFS(Banco[Monto],Banco[CtaCtbl],$C99,Banco[Periodo Contable],TEXT(AK$3,"mmm-yyyy"))</f>
        <v>0</v>
      </c>
      <c r="AL99" s="209">
        <f>SUMIFS(Banco[Monto],Banco[CtaCtbl],$C99,Banco[Periodo Contable],TEXT(AL$3,"mmm-yyyy"))</f>
        <v>0</v>
      </c>
      <c r="AM99" s="209">
        <f>SUMIFS(Banco[Monto],Banco[CtaCtbl],$C99,Banco[Periodo Contable],TEXT(AM$3,"mmm-yyyy"))</f>
        <v>0</v>
      </c>
      <c r="AN99" s="209">
        <f>SUMIFS(Banco[Monto],Banco[CtaCtbl],$C99,Banco[Periodo Contable],TEXT(AN$3,"mmm-yyyy"))</f>
        <v>0</v>
      </c>
      <c r="AO99" s="209">
        <f>SUMIFS(Banco[Monto],Banco[CtaCtbl],$C99,Banco[Periodo Contable],TEXT(AO$3,"mmm-yyyy"))</f>
        <v>0</v>
      </c>
      <c r="AP99" s="209">
        <f>SUMIFS(Banco[Monto],Banco[CtaCtbl],$C99,Banco[Periodo Contable],TEXT(AP$3,"mmm-yyyy"))</f>
        <v>0</v>
      </c>
      <c r="AQ99" s="209">
        <f>SUMIFS(Banco[Monto],Banco[CtaCtbl],$C99,Banco[Periodo Contable],TEXT(AQ$3,"mmm-yyyy"))</f>
        <v>0</v>
      </c>
      <c r="AR99" s="209">
        <f>SUMIFS(Banco[Monto],Banco[CtaCtbl],$C99,Banco[Periodo Contable],TEXT(AR$3,"mmm-yyyy"))</f>
        <v>0</v>
      </c>
      <c r="AS99" s="209">
        <f>SUMIFS(Banco[Monto],Banco[CtaCtbl],$C99,Banco[Periodo Contable],TEXT(AS$3,"mmm-yyyy"))</f>
        <v>0</v>
      </c>
      <c r="AT99" s="209">
        <f>SUMIFS(Banco[Monto],Banco[CtaCtbl],$C99,Banco[Periodo Contable],TEXT(AT$3,"mmm-yyyy"))</f>
        <v>0</v>
      </c>
      <c r="AU99" s="209">
        <f>SUMIFS(Banco[Monto],Banco[CtaCtbl],$C99,Banco[Periodo Contable],TEXT(AU$3,"mmm-yyyy"))</f>
        <v>0</v>
      </c>
      <c r="AV99" s="300">
        <f>SUM(Tabla17[[#This Row],[ene-24]:[dic-24]])</f>
        <v>0</v>
      </c>
      <c r="AW99" s="209">
        <f>SUMIFS(Banco[Monto],Banco[CtaCtbl],$C99,Banco[Periodo Contable],TEXT(AW$3,"mmm-yyyy"))</f>
        <v>0</v>
      </c>
      <c r="AX99" s="209">
        <f>SUMIFS(Banco[Monto],Banco[CtaCtbl],$C99,Banco[Periodo Contable],TEXT(AX$3,"mmm-yyyy"))</f>
        <v>0</v>
      </c>
      <c r="AY99" s="209">
        <f>SUMIFS(Banco[Monto],Banco[CtaCtbl],$C99,Banco[Periodo Contable],TEXT(AY$3,"mmm-yyyy"))</f>
        <v>0</v>
      </c>
      <c r="AZ99" s="209">
        <f>SUMIFS(Banco[Monto],Banco[CtaCtbl],$C99,Banco[Periodo Contable],TEXT(AZ$3,"mmm-yyyy"))</f>
        <v>0</v>
      </c>
      <c r="BA99" s="209">
        <f>SUMIFS(Banco[Monto],Banco[CtaCtbl],$C99,Banco[Periodo Contable],TEXT(BA$3,"mmm-yyyy"))</f>
        <v>0</v>
      </c>
      <c r="BB99" s="209">
        <f>SUMIFS(Banco[Monto],Banco[CtaCtbl],$C99,Banco[Periodo Contable],TEXT(BB$3,"mmm-yyyy"))</f>
        <v>0</v>
      </c>
      <c r="BC99" s="209">
        <f>SUMIFS(Banco[Monto],Banco[CtaCtbl],$C99,Banco[Periodo Contable],TEXT(BC$3,"mmm-yyyy"))</f>
        <v>0</v>
      </c>
      <c r="BD99" s="209">
        <f>SUMIFS(Banco[Monto],Banco[CtaCtbl],$C99,Banco[Periodo Contable],TEXT(BD$3,"mmm-yyyy"))</f>
        <v>0</v>
      </c>
      <c r="BE99" s="209">
        <f>SUMIFS(Banco[Monto],Banco[CtaCtbl],$C99,Banco[Periodo Contable],TEXT(BE$3,"mmm-yyyy"))</f>
        <v>0</v>
      </c>
      <c r="BF99" s="209">
        <f>SUMIFS(Banco[Monto],Banco[CtaCtbl],$C99,Banco[Periodo Contable],TEXT(BF$3,"mmm-yyyy"))</f>
        <v>0</v>
      </c>
      <c r="BG99" s="209">
        <f>SUMIFS(Banco[Monto],Banco[CtaCtbl],$C99,Banco[Periodo Contable],TEXT(BG$3,"mmm-yyyy"))</f>
        <v>0</v>
      </c>
      <c r="BH99" s="209">
        <f>SUMIFS(Banco[Monto],Banco[CtaCtbl],$C99,Banco[Periodo Contable],TEXT(BH$3,"mmm-yyyy"))</f>
        <v>0</v>
      </c>
      <c r="BI99" s="232">
        <f>SUM(Tabla17[[#This Row],[ene-25]:[dic-25]])</f>
        <v>0</v>
      </c>
      <c r="BJ99" s="209">
        <f>SUMIFS(Banco[Monto],Banco[CtaCtbl],$C99,Banco[Periodo Contable],TEXT(BJ$3,"mmm-yyyy"))</f>
        <v>0</v>
      </c>
      <c r="BK99" s="209">
        <f>SUMIFS(Banco[Monto],Banco[CtaCtbl],$C99,Banco[Periodo Contable],TEXT(BK$3,"mmm-yyyy"))</f>
        <v>0</v>
      </c>
      <c r="BL99" s="209">
        <f>SUMIFS(Banco[Monto],Banco[CtaCtbl],$C99,Banco[Periodo Contable],TEXT(BL$3,"mmm-yyyy"))</f>
        <v>0</v>
      </c>
      <c r="BM99" s="209">
        <f>SUMIFS(Banco[Monto],Banco[CtaCtbl],$C99,Banco[Periodo Contable],TEXT(BM$3,"mmm-yyyy"))</f>
        <v>0</v>
      </c>
      <c r="BN99" s="209">
        <f>SUMIFS(Banco[Monto],Banco[CtaCtbl],$C99,Banco[Periodo Contable],TEXT(BN$3,"mmm-yyyy"))</f>
        <v>0</v>
      </c>
      <c r="BO99" s="209">
        <f>SUMIFS(Banco[Monto],Banco[CtaCtbl],$C99,Banco[Periodo Contable],TEXT(BO$3,"mmm-yyyy"))</f>
        <v>0</v>
      </c>
      <c r="BP99" s="209">
        <f>SUMIFS(Banco[Monto],Banco[CtaCtbl],$C99,Banco[Periodo Contable],TEXT(BP$3,"mmm-yyyy"))</f>
        <v>0</v>
      </c>
      <c r="BQ99" s="209">
        <f>SUMIFS(Banco[Monto],Banco[CtaCtbl],$C99,Banco[Periodo Contable],TEXT(BQ$3,"mmm-yyyy"))</f>
        <v>0</v>
      </c>
      <c r="BR99" s="209">
        <f>SUMIFS(Banco[Monto],Banco[CtaCtbl],$C99,Banco[Periodo Contable],TEXT(BR$3,"mmm-yyyy"))</f>
        <v>0</v>
      </c>
      <c r="BS99" s="209">
        <f>SUMIFS(Banco[Monto],Banco[CtaCtbl],$C99,Banco[Periodo Contable],TEXT(BS$3,"mmm-yyyy"))</f>
        <v>0</v>
      </c>
      <c r="BT99" s="209">
        <f>SUMIFS(Banco[Monto],Banco[CtaCtbl],$C99,Banco[Periodo Contable],TEXT(BT$3,"mmm-yyyy"))</f>
        <v>0</v>
      </c>
      <c r="BU99" s="209">
        <f>SUMIFS(Banco[Monto],Banco[CtaCtbl],$C99,Banco[Periodo Contable],TEXT(BU$3,"mmm-yyyy"))</f>
        <v>0</v>
      </c>
      <c r="BV99" s="232">
        <f>SUM(Tabla17[[#This Row],[ene-26]:[dic-26]])</f>
        <v>0</v>
      </c>
      <c r="BW99" s="209">
        <f>SUMIFS(Banco[Monto],Banco[CtaCtbl],$C99,Banco[Periodo Contable],TEXT(BW$3,"mmm-yyyy"))</f>
        <v>0</v>
      </c>
    </row>
    <row r="100" spans="1:75" s="298" customFormat="1" ht="24.6" thickBot="1">
      <c r="A100" s="114" t="s">
        <v>420</v>
      </c>
      <c r="B100" s="115"/>
      <c r="C100" s="115"/>
      <c r="D100" s="116"/>
      <c r="E100" s="117">
        <f>SUBTOTAL(9,E4:E99)</f>
        <v>0</v>
      </c>
      <c r="F100" s="117">
        <f>SUBTOTAL(9,F4:F99)</f>
        <v>6794912</v>
      </c>
      <c r="G100" s="117">
        <f>SUBTOTAL(9,G4:G99)</f>
        <v>1860937</v>
      </c>
      <c r="H100" s="117">
        <f>SUBTOTAL(9,H4:H99)</f>
        <v>2750544</v>
      </c>
      <c r="I100" s="117">
        <f>SUM(Tabla17[[#This Row],[sept-21]:[dic-21]])</f>
        <v>11406393</v>
      </c>
      <c r="J100" s="117">
        <f t="shared" ref="J100:AO100" si="304">SUBTOTAL(9,J4:J99)</f>
        <v>2266906</v>
      </c>
      <c r="K100" s="117">
        <f t="shared" si="304"/>
        <v>2973437</v>
      </c>
      <c r="L100" s="117">
        <f t="shared" si="304"/>
        <v>1789583</v>
      </c>
      <c r="M100" s="117">
        <f t="shared" si="304"/>
        <v>-552296</v>
      </c>
      <c r="N100" s="117">
        <f t="shared" si="304"/>
        <v>109797419</v>
      </c>
      <c r="O100" s="117">
        <f t="shared" si="304"/>
        <v>-102929850</v>
      </c>
      <c r="P100" s="117">
        <f t="shared" si="304"/>
        <v>3572740</v>
      </c>
      <c r="Q100" s="117">
        <f t="shared" si="304"/>
        <v>3073016</v>
      </c>
      <c r="R100" s="117">
        <f t="shared" si="304"/>
        <v>-1747366</v>
      </c>
      <c r="S100" s="117">
        <f t="shared" si="304"/>
        <v>3577991</v>
      </c>
      <c r="T100" s="117">
        <f t="shared" si="304"/>
        <v>3150449</v>
      </c>
      <c r="U100" s="117">
        <f t="shared" si="304"/>
        <v>3407489</v>
      </c>
      <c r="V100" s="117">
        <f t="shared" si="304"/>
        <v>28379518</v>
      </c>
      <c r="W100" s="117">
        <f t="shared" si="304"/>
        <v>3596109</v>
      </c>
      <c r="X100" s="117">
        <f t="shared" si="304"/>
        <v>3382582</v>
      </c>
      <c r="Y100" s="117">
        <f t="shared" si="304"/>
        <v>3589830</v>
      </c>
      <c r="Z100" s="117">
        <f t="shared" si="304"/>
        <v>5118737</v>
      </c>
      <c r="AA100" s="117">
        <f t="shared" si="304"/>
        <v>3239686</v>
      </c>
      <c r="AB100" s="117">
        <f t="shared" si="304"/>
        <v>3587559</v>
      </c>
      <c r="AC100" s="117">
        <f t="shared" si="304"/>
        <v>-46717620</v>
      </c>
      <c r="AD100" s="117">
        <f t="shared" si="304"/>
        <v>1732261</v>
      </c>
      <c r="AE100" s="117">
        <f t="shared" si="304"/>
        <v>1690667</v>
      </c>
      <c r="AF100" s="117">
        <f t="shared" si="304"/>
        <v>2910935</v>
      </c>
      <c r="AG100" s="117">
        <f t="shared" si="304"/>
        <v>3598176</v>
      </c>
      <c r="AH100" s="117">
        <f t="shared" si="304"/>
        <v>3601944</v>
      </c>
      <c r="AI100" s="117">
        <f t="shared" si="304"/>
        <v>-10669134</v>
      </c>
      <c r="AJ100" s="117">
        <f t="shared" si="304"/>
        <v>3304448</v>
      </c>
      <c r="AK100" s="117">
        <f t="shared" si="304"/>
        <v>3608317</v>
      </c>
      <c r="AL100" s="117">
        <f t="shared" si="304"/>
        <v>5542164</v>
      </c>
      <c r="AM100" s="117">
        <f t="shared" si="304"/>
        <v>3759669</v>
      </c>
      <c r="AN100" s="117">
        <f t="shared" si="304"/>
        <v>-17104540</v>
      </c>
      <c r="AO100" s="117">
        <f t="shared" si="304"/>
        <v>2462960</v>
      </c>
      <c r="AP100" s="117">
        <f t="shared" ref="AP100:BU100" si="305">SUBTOTAL(9,AP4:AP99)</f>
        <v>3622201</v>
      </c>
      <c r="AQ100" s="117">
        <f t="shared" si="305"/>
        <v>3608184</v>
      </c>
      <c r="AR100" s="117">
        <f t="shared" si="305"/>
        <v>3218472</v>
      </c>
      <c r="AS100" s="117">
        <f t="shared" si="305"/>
        <v>-34943549</v>
      </c>
      <c r="AT100" s="117">
        <f t="shared" si="305"/>
        <v>3413338</v>
      </c>
      <c r="AU100" s="117">
        <f t="shared" si="305"/>
        <v>5615064</v>
      </c>
      <c r="AV100" s="117">
        <f t="shared" si="305"/>
        <v>-13893272</v>
      </c>
      <c r="AW100" s="117">
        <f t="shared" si="305"/>
        <v>4579711</v>
      </c>
      <c r="AX100" s="117">
        <f t="shared" si="305"/>
        <v>7170610</v>
      </c>
      <c r="AY100" s="117">
        <f t="shared" si="305"/>
        <v>10089417</v>
      </c>
      <c r="AZ100" s="117">
        <f t="shared" si="305"/>
        <v>1676834</v>
      </c>
      <c r="BA100" s="117">
        <f t="shared" si="305"/>
        <v>487254944</v>
      </c>
      <c r="BB100" s="117">
        <f t="shared" si="305"/>
        <v>-482794009</v>
      </c>
      <c r="BC100" s="117">
        <f t="shared" si="305"/>
        <v>-17630290</v>
      </c>
      <c r="BD100" s="117">
        <f t="shared" si="305"/>
        <v>7267834</v>
      </c>
      <c r="BE100" s="117">
        <f t="shared" si="305"/>
        <v>9058341</v>
      </c>
      <c r="BF100" s="117">
        <f t="shared" si="305"/>
        <v>-12475025</v>
      </c>
      <c r="BG100" s="117">
        <f t="shared" si="305"/>
        <v>8722529</v>
      </c>
      <c r="BH100" s="117">
        <f t="shared" si="305"/>
        <v>-9481888</v>
      </c>
      <c r="BI100" s="117">
        <f t="shared" si="305"/>
        <v>13439008</v>
      </c>
      <c r="BJ100" s="117">
        <f t="shared" ref="BJ100:BJ102" si="306">SUBTOTAL(9,BJ101:BJ120)</f>
        <v>0</v>
      </c>
      <c r="BK100" s="117">
        <f t="shared" ref="BK100:BK102" si="307">SUBTOTAL(9,BK101:BK120)</f>
        <v>0</v>
      </c>
      <c r="BL100" s="117">
        <f t="shared" ref="BL100:BL102" si="308">SUBTOTAL(9,BL101:BL120)</f>
        <v>0</v>
      </c>
      <c r="BM100" s="117">
        <f t="shared" ref="BM100:BM102" si="309">SUBTOTAL(9,BM101:BM120)</f>
        <v>0</v>
      </c>
      <c r="BN100" s="117">
        <f t="shared" ref="BN100:BN102" si="310">SUBTOTAL(9,BN101:BN120)</f>
        <v>0</v>
      </c>
      <c r="BO100" s="117">
        <f t="shared" ref="BO100:BO102" si="311">SUBTOTAL(9,BO101:BO120)</f>
        <v>0</v>
      </c>
      <c r="BP100" s="117">
        <f t="shared" ref="BP100:BP102" si="312">SUBTOTAL(9,BP101:BP120)</f>
        <v>0</v>
      </c>
      <c r="BQ100" s="117">
        <f t="shared" ref="BQ100:BQ102" si="313">SUBTOTAL(9,BQ101:BQ120)</f>
        <v>0</v>
      </c>
      <c r="BR100" s="117">
        <f t="shared" ref="BR100:BR102" si="314">SUBTOTAL(9,BR101:BR120)</f>
        <v>0</v>
      </c>
      <c r="BS100" s="117">
        <f t="shared" ref="BS100:BS102" si="315">SUBTOTAL(9,BS101:BS120)</f>
        <v>0</v>
      </c>
      <c r="BT100" s="117">
        <f t="shared" ref="BT100:BT102" si="316">SUBTOTAL(9,BT101:BT120)</f>
        <v>0</v>
      </c>
      <c r="BU100" s="117">
        <f t="shared" ref="BU100:BU102" si="317">SUBTOTAL(9,BU101:BU120)</f>
        <v>0</v>
      </c>
      <c r="BV100" s="117">
        <f>SUBTOTAL(9,BV4:BV99)</f>
        <v>17973070</v>
      </c>
      <c r="BW100" s="117">
        <f>SUBTOTAL(9,BW4:BW99)</f>
        <v>0</v>
      </c>
    </row>
    <row r="101" spans="1:75" s="298" customFormat="1" ht="24.6" thickBot="1">
      <c r="A101" s="122" t="s">
        <v>421</v>
      </c>
      <c r="B101" s="123"/>
      <c r="C101" s="123"/>
      <c r="D101" s="124"/>
      <c r="E101" s="125">
        <v>0</v>
      </c>
      <c r="F101" s="125">
        <v>0</v>
      </c>
      <c r="G101" s="125">
        <f t="shared" ref="G101:AO101" si="318">F102</f>
        <v>6794912</v>
      </c>
      <c r="H101" s="193">
        <f>G102</f>
        <v>8655849</v>
      </c>
      <c r="I101" s="200">
        <v>0</v>
      </c>
      <c r="J101" s="125">
        <f>H102</f>
        <v>11406393</v>
      </c>
      <c r="K101" s="125">
        <f t="shared" si="318"/>
        <v>13673299</v>
      </c>
      <c r="L101" s="125">
        <f t="shared" si="318"/>
        <v>16646736</v>
      </c>
      <c r="M101" s="125">
        <f t="shared" si="318"/>
        <v>18436319</v>
      </c>
      <c r="N101" s="125">
        <f t="shared" si="318"/>
        <v>17884023</v>
      </c>
      <c r="O101" s="125">
        <f t="shared" si="318"/>
        <v>127681442</v>
      </c>
      <c r="P101" s="125">
        <f t="shared" si="318"/>
        <v>24751592</v>
      </c>
      <c r="Q101" s="125">
        <f t="shared" si="318"/>
        <v>28324332</v>
      </c>
      <c r="R101" s="125">
        <f t="shared" si="318"/>
        <v>31397348</v>
      </c>
      <c r="S101" s="125">
        <f t="shared" si="318"/>
        <v>29649982</v>
      </c>
      <c r="T101" s="125">
        <f t="shared" si="318"/>
        <v>33227973</v>
      </c>
      <c r="U101" s="193">
        <f t="shared" si="318"/>
        <v>36378422</v>
      </c>
      <c r="V101" s="193">
        <f t="shared" si="318"/>
        <v>39785911</v>
      </c>
      <c r="W101" s="196">
        <f>U102</f>
        <v>39785911</v>
      </c>
      <c r="X101" s="125">
        <f t="shared" si="318"/>
        <v>43382020</v>
      </c>
      <c r="Y101" s="125">
        <f t="shared" si="318"/>
        <v>46764602</v>
      </c>
      <c r="Z101" s="125">
        <f t="shared" si="318"/>
        <v>50354432</v>
      </c>
      <c r="AA101" s="125">
        <f t="shared" si="318"/>
        <v>55473169</v>
      </c>
      <c r="AB101" s="125">
        <f t="shared" si="318"/>
        <v>58712855</v>
      </c>
      <c r="AC101" s="125">
        <f t="shared" si="318"/>
        <v>62300414</v>
      </c>
      <c r="AD101" s="125">
        <f t="shared" si="318"/>
        <v>15582794</v>
      </c>
      <c r="AE101" s="125">
        <f t="shared" si="318"/>
        <v>17315055</v>
      </c>
      <c r="AF101" s="125">
        <f t="shared" si="318"/>
        <v>19005722</v>
      </c>
      <c r="AG101" s="125">
        <f t="shared" si="318"/>
        <v>21916657</v>
      </c>
      <c r="AH101" s="193">
        <f t="shared" si="318"/>
        <v>25514833</v>
      </c>
      <c r="AI101" s="200">
        <f>Tabla17[[#This Row],[Total 2022]]</f>
        <v>39785911</v>
      </c>
      <c r="AJ101" s="196">
        <f>AH102</f>
        <v>29116777</v>
      </c>
      <c r="AK101" s="125">
        <f t="shared" si="318"/>
        <v>32421225</v>
      </c>
      <c r="AL101" s="125">
        <f t="shared" si="318"/>
        <v>36029542</v>
      </c>
      <c r="AM101" s="125">
        <f t="shared" si="318"/>
        <v>41571706</v>
      </c>
      <c r="AN101" s="125">
        <f t="shared" si="318"/>
        <v>45331375</v>
      </c>
      <c r="AO101" s="125">
        <f t="shared" si="318"/>
        <v>28226835</v>
      </c>
      <c r="AP101" s="125">
        <f t="shared" ref="AP101:AU101" si="319">AO102</f>
        <v>30689795</v>
      </c>
      <c r="AQ101" s="125">
        <f t="shared" si="319"/>
        <v>34311996</v>
      </c>
      <c r="AR101" s="125">
        <f t="shared" si="319"/>
        <v>37920180</v>
      </c>
      <c r="AS101" s="125">
        <f t="shared" si="319"/>
        <v>41138652</v>
      </c>
      <c r="AT101" s="125">
        <f t="shared" si="319"/>
        <v>6195103</v>
      </c>
      <c r="AU101" s="193">
        <f t="shared" si="319"/>
        <v>9608441</v>
      </c>
      <c r="AV101" s="200">
        <f>Tabla17[[#This Row],[Total 2023]]</f>
        <v>39785911</v>
      </c>
      <c r="AW101" s="196">
        <f>AU102</f>
        <v>15223505</v>
      </c>
      <c r="AX101" s="196">
        <f>AW102</f>
        <v>19803216</v>
      </c>
      <c r="AY101" s="196">
        <f t="shared" ref="AY101:BE101" si="320">AX102</f>
        <v>26973826</v>
      </c>
      <c r="AZ101" s="196">
        <f t="shared" si="320"/>
        <v>37063243</v>
      </c>
      <c r="BA101" s="196">
        <f t="shared" si="320"/>
        <v>38740077</v>
      </c>
      <c r="BB101" s="196">
        <f t="shared" si="320"/>
        <v>525995021</v>
      </c>
      <c r="BC101" s="196">
        <f t="shared" si="320"/>
        <v>43201012</v>
      </c>
      <c r="BD101" s="196">
        <f t="shared" si="320"/>
        <v>25570722</v>
      </c>
      <c r="BE101" s="196">
        <f t="shared" si="320"/>
        <v>32838556</v>
      </c>
      <c r="BF101" s="196">
        <f>BE102</f>
        <v>41896897</v>
      </c>
      <c r="BG101" s="196">
        <f t="shared" ref="BG101:BH101" si="321">BF102</f>
        <v>29421872</v>
      </c>
      <c r="BH101" s="196">
        <f t="shared" si="321"/>
        <v>38144401</v>
      </c>
      <c r="BI101" s="242">
        <f>AU102</f>
        <v>15223505</v>
      </c>
      <c r="BJ101" s="242">
        <f t="shared" si="306"/>
        <v>0</v>
      </c>
      <c r="BK101" s="242">
        <f t="shared" si="307"/>
        <v>0</v>
      </c>
      <c r="BL101" s="242">
        <f t="shared" si="308"/>
        <v>0</v>
      </c>
      <c r="BM101" s="242">
        <f t="shared" si="309"/>
        <v>0</v>
      </c>
      <c r="BN101" s="242">
        <f t="shared" si="310"/>
        <v>0</v>
      </c>
      <c r="BO101" s="242">
        <f t="shared" si="311"/>
        <v>0</v>
      </c>
      <c r="BP101" s="242">
        <f t="shared" si="312"/>
        <v>0</v>
      </c>
      <c r="BQ101" s="242">
        <f t="shared" si="313"/>
        <v>0</v>
      </c>
      <c r="BR101" s="242">
        <f t="shared" si="314"/>
        <v>0</v>
      </c>
      <c r="BS101" s="242">
        <f t="shared" si="315"/>
        <v>0</v>
      </c>
      <c r="BT101" s="242">
        <f t="shared" si="316"/>
        <v>0</v>
      </c>
      <c r="BU101" s="242">
        <f t="shared" si="317"/>
        <v>0</v>
      </c>
      <c r="BV101" s="242">
        <f>BI102</f>
        <v>28662513</v>
      </c>
      <c r="BW101" s="242"/>
    </row>
    <row r="102" spans="1:75" s="113" customFormat="1" ht="33" customHeight="1" thickBot="1">
      <c r="A102" s="360" t="s">
        <v>422</v>
      </c>
      <c r="B102" s="361"/>
      <c r="C102" s="361"/>
      <c r="D102" s="362"/>
      <c r="E102" s="363">
        <f t="shared" ref="E102:U102" si="322">E101+E100</f>
        <v>0</v>
      </c>
      <c r="F102" s="363">
        <f t="shared" si="322"/>
        <v>6794912</v>
      </c>
      <c r="G102" s="363">
        <f t="shared" si="322"/>
        <v>8655849</v>
      </c>
      <c r="H102" s="363">
        <f t="shared" si="322"/>
        <v>11406393</v>
      </c>
      <c r="I102" s="363">
        <f t="shared" si="322"/>
        <v>11406393</v>
      </c>
      <c r="J102" s="363">
        <f t="shared" si="322"/>
        <v>13673299</v>
      </c>
      <c r="K102" s="363">
        <f t="shared" si="322"/>
        <v>16646736</v>
      </c>
      <c r="L102" s="363">
        <f t="shared" si="322"/>
        <v>18436319</v>
      </c>
      <c r="M102" s="363">
        <f t="shared" si="322"/>
        <v>17884023</v>
      </c>
      <c r="N102" s="363">
        <f t="shared" si="322"/>
        <v>127681442</v>
      </c>
      <c r="O102" s="363">
        <f t="shared" si="322"/>
        <v>24751592</v>
      </c>
      <c r="P102" s="363">
        <f t="shared" si="322"/>
        <v>28324332</v>
      </c>
      <c r="Q102" s="363">
        <f t="shared" si="322"/>
        <v>31397348</v>
      </c>
      <c r="R102" s="363">
        <f t="shared" si="322"/>
        <v>29649982</v>
      </c>
      <c r="S102" s="363">
        <f t="shared" si="322"/>
        <v>33227973</v>
      </c>
      <c r="T102" s="363">
        <f t="shared" si="322"/>
        <v>36378422</v>
      </c>
      <c r="U102" s="363">
        <f t="shared" si="322"/>
        <v>39785911</v>
      </c>
      <c r="V102" s="363">
        <f>SUM(Tabla17[[#This Row],[ene-22]:[dic-22]])</f>
        <v>417837379</v>
      </c>
      <c r="W102" s="363">
        <f t="shared" ref="W102:AU102" si="323">W101+W100</f>
        <v>43382020</v>
      </c>
      <c r="X102" s="363">
        <f t="shared" si="323"/>
        <v>46764602</v>
      </c>
      <c r="Y102" s="363">
        <f t="shared" si="323"/>
        <v>50354432</v>
      </c>
      <c r="Z102" s="363">
        <f t="shared" si="323"/>
        <v>55473169</v>
      </c>
      <c r="AA102" s="363">
        <f t="shared" si="323"/>
        <v>58712855</v>
      </c>
      <c r="AB102" s="363">
        <f t="shared" si="323"/>
        <v>62300414</v>
      </c>
      <c r="AC102" s="363">
        <f t="shared" si="323"/>
        <v>15582794</v>
      </c>
      <c r="AD102" s="363">
        <f t="shared" si="323"/>
        <v>17315055</v>
      </c>
      <c r="AE102" s="363">
        <f t="shared" si="323"/>
        <v>19005722</v>
      </c>
      <c r="AF102" s="363">
        <f t="shared" si="323"/>
        <v>21916657</v>
      </c>
      <c r="AG102" s="363">
        <f t="shared" si="323"/>
        <v>25514833</v>
      </c>
      <c r="AH102" s="363">
        <f t="shared" si="323"/>
        <v>29116777</v>
      </c>
      <c r="AI102" s="363">
        <f t="shared" si="323"/>
        <v>29116777</v>
      </c>
      <c r="AJ102" s="363">
        <f t="shared" si="323"/>
        <v>32421225</v>
      </c>
      <c r="AK102" s="363">
        <f t="shared" si="323"/>
        <v>36029542</v>
      </c>
      <c r="AL102" s="363">
        <f t="shared" si="323"/>
        <v>41571706</v>
      </c>
      <c r="AM102" s="363">
        <f t="shared" si="323"/>
        <v>45331375</v>
      </c>
      <c r="AN102" s="363">
        <f t="shared" si="323"/>
        <v>28226835</v>
      </c>
      <c r="AO102" s="363">
        <f t="shared" si="323"/>
        <v>30689795</v>
      </c>
      <c r="AP102" s="363">
        <f t="shared" si="323"/>
        <v>34311996</v>
      </c>
      <c r="AQ102" s="363">
        <f t="shared" si="323"/>
        <v>37920180</v>
      </c>
      <c r="AR102" s="363">
        <f t="shared" si="323"/>
        <v>41138652</v>
      </c>
      <c r="AS102" s="363">
        <f t="shared" si="323"/>
        <v>6195103</v>
      </c>
      <c r="AT102" s="363">
        <f t="shared" si="323"/>
        <v>9608441</v>
      </c>
      <c r="AU102" s="363">
        <f t="shared" si="323"/>
        <v>15223505</v>
      </c>
      <c r="AV102" s="363">
        <f>Tabla17[[#This Row],[dic-24]]</f>
        <v>15223505</v>
      </c>
      <c r="AW102" s="363">
        <f>AW101+AW100</f>
        <v>19803216</v>
      </c>
      <c r="AX102" s="363">
        <f t="shared" ref="AX102:BH102" si="324">AX101+AX100</f>
        <v>26973826</v>
      </c>
      <c r="AY102" s="363">
        <f t="shared" si="324"/>
        <v>37063243</v>
      </c>
      <c r="AZ102" s="363">
        <f t="shared" si="324"/>
        <v>38740077</v>
      </c>
      <c r="BA102" s="363">
        <f t="shared" si="324"/>
        <v>525995021</v>
      </c>
      <c r="BB102" s="363">
        <f t="shared" si="324"/>
        <v>43201012</v>
      </c>
      <c r="BC102" s="363">
        <f t="shared" si="324"/>
        <v>25570722</v>
      </c>
      <c r="BD102" s="363">
        <f t="shared" si="324"/>
        <v>32838556</v>
      </c>
      <c r="BE102" s="363">
        <f>BE101+BE100</f>
        <v>41896897</v>
      </c>
      <c r="BF102" s="363">
        <f t="shared" si="324"/>
        <v>29421872</v>
      </c>
      <c r="BG102" s="363">
        <f t="shared" si="324"/>
        <v>38144401</v>
      </c>
      <c r="BH102" s="363">
        <f t="shared" si="324"/>
        <v>28662513</v>
      </c>
      <c r="BI102" s="363">
        <f>BI101+BI100</f>
        <v>28662513</v>
      </c>
      <c r="BJ102" s="364">
        <f t="shared" si="306"/>
        <v>0</v>
      </c>
      <c r="BK102" s="364">
        <f t="shared" si="307"/>
        <v>0</v>
      </c>
      <c r="BL102" s="364">
        <f t="shared" si="308"/>
        <v>0</v>
      </c>
      <c r="BM102" s="364">
        <f t="shared" si="309"/>
        <v>0</v>
      </c>
      <c r="BN102" s="364">
        <f t="shared" si="310"/>
        <v>0</v>
      </c>
      <c r="BO102" s="364">
        <f t="shared" si="311"/>
        <v>0</v>
      </c>
      <c r="BP102" s="364">
        <f t="shared" si="312"/>
        <v>0</v>
      </c>
      <c r="BQ102" s="364">
        <f t="shared" si="313"/>
        <v>0</v>
      </c>
      <c r="BR102" s="364">
        <f t="shared" si="314"/>
        <v>0</v>
      </c>
      <c r="BS102" s="364">
        <f t="shared" si="315"/>
        <v>0</v>
      </c>
      <c r="BT102" s="364">
        <f t="shared" si="316"/>
        <v>0</v>
      </c>
      <c r="BU102" s="364">
        <f t="shared" si="317"/>
        <v>0</v>
      </c>
      <c r="BV102" s="363">
        <f>BV101+BV100</f>
        <v>46635583</v>
      </c>
      <c r="BW102" s="364"/>
    </row>
    <row r="103" spans="1:75" ht="24.6" thickBot="1">
      <c r="A103" s="142" t="s">
        <v>423</v>
      </c>
      <c r="B103" s="143"/>
      <c r="C103" s="143"/>
      <c r="D103" s="144"/>
      <c r="E103" s="145"/>
      <c r="F103" s="145">
        <v>6794912</v>
      </c>
      <c r="G103" s="145">
        <v>8655849</v>
      </c>
      <c r="H103" s="194">
        <v>11406393</v>
      </c>
      <c r="I103" s="201">
        <v>11406393</v>
      </c>
      <c r="J103" s="197">
        <v>13673299</v>
      </c>
      <c r="K103" s="145">
        <v>16646736</v>
      </c>
      <c r="L103" s="145">
        <v>18436319</v>
      </c>
      <c r="M103" s="145">
        <v>17884023</v>
      </c>
      <c r="N103" s="145">
        <v>127681442</v>
      </c>
      <c r="O103" s="145">
        <v>24751592</v>
      </c>
      <c r="P103" s="145">
        <v>28324332</v>
      </c>
      <c r="Q103" s="145">
        <v>31397348</v>
      </c>
      <c r="R103" s="145">
        <v>29649982</v>
      </c>
      <c r="S103" s="145">
        <v>33227973</v>
      </c>
      <c r="T103" s="145">
        <v>36378422</v>
      </c>
      <c r="U103" s="194">
        <v>39785911</v>
      </c>
      <c r="V103" s="201">
        <f>SUM(J103:U103)</f>
        <v>417837379</v>
      </c>
      <c r="W103" s="197">
        <v>43382020</v>
      </c>
      <c r="X103" s="145">
        <v>46764602</v>
      </c>
      <c r="Y103" s="145">
        <v>50354432</v>
      </c>
      <c r="Z103" s="145">
        <v>55473169</v>
      </c>
      <c r="AA103" s="145">
        <v>58712855</v>
      </c>
      <c r="AB103" s="145">
        <v>62300414</v>
      </c>
      <c r="AC103" s="145">
        <v>15582794</v>
      </c>
      <c r="AD103" s="145">
        <v>17315055</v>
      </c>
      <c r="AE103" s="145">
        <v>19005722</v>
      </c>
      <c r="AF103" s="145">
        <v>21916657</v>
      </c>
      <c r="AG103" s="145">
        <v>25514833</v>
      </c>
      <c r="AH103" s="194">
        <v>29116777</v>
      </c>
      <c r="AI103" s="201">
        <v>29116777</v>
      </c>
      <c r="AJ103" s="197">
        <v>32421225</v>
      </c>
      <c r="AK103" s="145">
        <v>36029542</v>
      </c>
      <c r="AL103" s="145">
        <v>41571706</v>
      </c>
      <c r="AM103" s="145">
        <v>45331375</v>
      </c>
      <c r="AN103" s="145">
        <v>28226835</v>
      </c>
      <c r="AO103" s="145">
        <v>30689795</v>
      </c>
      <c r="AP103" s="145">
        <v>34311996</v>
      </c>
      <c r="AQ103" s="145">
        <v>37920180</v>
      </c>
      <c r="AR103" s="145">
        <v>41138652</v>
      </c>
      <c r="AS103" s="145">
        <v>6195103</v>
      </c>
      <c r="AT103" s="145">
        <v>9608441</v>
      </c>
      <c r="AU103" s="194">
        <v>15223505</v>
      </c>
      <c r="AV103" s="201">
        <v>15223505</v>
      </c>
      <c r="AW103" s="197">
        <v>19803216</v>
      </c>
      <c r="AX103" s="145">
        <v>26973826</v>
      </c>
      <c r="AY103" s="145">
        <v>37063243</v>
      </c>
      <c r="AZ103" s="145">
        <v>38740077</v>
      </c>
      <c r="BA103" s="145">
        <v>525995021</v>
      </c>
      <c r="BB103" s="145">
        <v>43201012</v>
      </c>
      <c r="BC103" s="145">
        <v>25570722</v>
      </c>
      <c r="BD103" s="145">
        <v>32838556</v>
      </c>
      <c r="BE103" s="145">
        <v>41896897</v>
      </c>
      <c r="BF103" s="145">
        <v>29421872</v>
      </c>
      <c r="BG103" s="145">
        <v>38144401</v>
      </c>
      <c r="BH103" s="145">
        <v>28662513</v>
      </c>
      <c r="BI103" s="243"/>
      <c r="BJ103" s="365"/>
      <c r="BK103" s="365"/>
      <c r="BL103" s="365"/>
      <c r="BM103" s="365"/>
      <c r="BN103" s="365"/>
      <c r="BO103" s="365"/>
      <c r="BP103" s="365"/>
      <c r="BQ103" s="365"/>
      <c r="BR103" s="365"/>
      <c r="BS103" s="365"/>
      <c r="BT103" s="365"/>
      <c r="BU103" s="365"/>
      <c r="BV103" s="365"/>
      <c r="BW103" s="244"/>
    </row>
    <row r="104" spans="1:75" s="359" customFormat="1" ht="24.6" thickBot="1">
      <c r="A104" s="354" t="s">
        <v>519</v>
      </c>
      <c r="B104" s="355"/>
      <c r="C104" s="355"/>
      <c r="D104" s="356"/>
      <c r="E104" s="357">
        <f t="shared" ref="E104:AJ104" si="325">E102-E103</f>
        <v>0</v>
      </c>
      <c r="F104" s="357">
        <f t="shared" si="325"/>
        <v>0</v>
      </c>
      <c r="G104" s="357">
        <f t="shared" si="325"/>
        <v>0</v>
      </c>
      <c r="H104" s="357">
        <f t="shared" si="325"/>
        <v>0</v>
      </c>
      <c r="I104" s="357">
        <f t="shared" si="325"/>
        <v>0</v>
      </c>
      <c r="J104" s="357">
        <f t="shared" si="325"/>
        <v>0</v>
      </c>
      <c r="K104" s="357">
        <f t="shared" si="325"/>
        <v>0</v>
      </c>
      <c r="L104" s="357">
        <f t="shared" si="325"/>
        <v>0</v>
      </c>
      <c r="M104" s="357">
        <f t="shared" si="325"/>
        <v>0</v>
      </c>
      <c r="N104" s="357">
        <f t="shared" si="325"/>
        <v>0</v>
      </c>
      <c r="O104" s="357">
        <f t="shared" si="325"/>
        <v>0</v>
      </c>
      <c r="P104" s="357">
        <f t="shared" si="325"/>
        <v>0</v>
      </c>
      <c r="Q104" s="357">
        <f t="shared" si="325"/>
        <v>0</v>
      </c>
      <c r="R104" s="357">
        <f t="shared" si="325"/>
        <v>0</v>
      </c>
      <c r="S104" s="357">
        <f t="shared" si="325"/>
        <v>0</v>
      </c>
      <c r="T104" s="357">
        <f t="shared" si="325"/>
        <v>0</v>
      </c>
      <c r="U104" s="357">
        <f t="shared" si="325"/>
        <v>0</v>
      </c>
      <c r="V104" s="357">
        <f t="shared" si="325"/>
        <v>0</v>
      </c>
      <c r="W104" s="357">
        <f t="shared" si="325"/>
        <v>0</v>
      </c>
      <c r="X104" s="357">
        <f t="shared" si="325"/>
        <v>0</v>
      </c>
      <c r="Y104" s="357">
        <f t="shared" si="325"/>
        <v>0</v>
      </c>
      <c r="Z104" s="357">
        <f t="shared" si="325"/>
        <v>0</v>
      </c>
      <c r="AA104" s="357">
        <f t="shared" si="325"/>
        <v>0</v>
      </c>
      <c r="AB104" s="357">
        <f t="shared" si="325"/>
        <v>0</v>
      </c>
      <c r="AC104" s="357">
        <f t="shared" si="325"/>
        <v>0</v>
      </c>
      <c r="AD104" s="357">
        <f t="shared" si="325"/>
        <v>0</v>
      </c>
      <c r="AE104" s="357">
        <f t="shared" si="325"/>
        <v>0</v>
      </c>
      <c r="AF104" s="357">
        <f t="shared" si="325"/>
        <v>0</v>
      </c>
      <c r="AG104" s="357">
        <f t="shared" si="325"/>
        <v>0</v>
      </c>
      <c r="AH104" s="357">
        <f t="shared" si="325"/>
        <v>0</v>
      </c>
      <c r="AI104" s="357">
        <f t="shared" si="325"/>
        <v>0</v>
      </c>
      <c r="AJ104" s="357">
        <f t="shared" si="325"/>
        <v>0</v>
      </c>
      <c r="AK104" s="357">
        <f t="shared" ref="AK104:BI104" si="326">AK102-AK103</f>
        <v>0</v>
      </c>
      <c r="AL104" s="357">
        <f t="shared" si="326"/>
        <v>0</v>
      </c>
      <c r="AM104" s="357">
        <f t="shared" si="326"/>
        <v>0</v>
      </c>
      <c r="AN104" s="357">
        <f t="shared" si="326"/>
        <v>0</v>
      </c>
      <c r="AO104" s="357">
        <f t="shared" si="326"/>
        <v>0</v>
      </c>
      <c r="AP104" s="357">
        <f t="shared" si="326"/>
        <v>0</v>
      </c>
      <c r="AQ104" s="357">
        <f t="shared" si="326"/>
        <v>0</v>
      </c>
      <c r="AR104" s="357">
        <f t="shared" si="326"/>
        <v>0</v>
      </c>
      <c r="AS104" s="357">
        <f t="shared" si="326"/>
        <v>0</v>
      </c>
      <c r="AT104" s="357">
        <f t="shared" si="326"/>
        <v>0</v>
      </c>
      <c r="AU104" s="357">
        <f t="shared" si="326"/>
        <v>0</v>
      </c>
      <c r="AV104" s="357">
        <f t="shared" si="326"/>
        <v>0</v>
      </c>
      <c r="AW104" s="357">
        <f t="shared" si="326"/>
        <v>0</v>
      </c>
      <c r="AX104" s="357">
        <f t="shared" si="326"/>
        <v>0</v>
      </c>
      <c r="AY104" s="357">
        <f t="shared" si="326"/>
        <v>0</v>
      </c>
      <c r="AZ104" s="357">
        <f t="shared" si="326"/>
        <v>0</v>
      </c>
      <c r="BA104" s="357">
        <f t="shared" si="326"/>
        <v>0</v>
      </c>
      <c r="BB104" s="357">
        <f t="shared" si="326"/>
        <v>0</v>
      </c>
      <c r="BC104" s="357">
        <f t="shared" si="326"/>
        <v>0</v>
      </c>
      <c r="BD104" s="357">
        <f t="shared" si="326"/>
        <v>0</v>
      </c>
      <c r="BE104" s="357">
        <f t="shared" si="326"/>
        <v>0</v>
      </c>
      <c r="BF104" s="357">
        <f t="shared" si="326"/>
        <v>0</v>
      </c>
      <c r="BG104" s="357">
        <f t="shared" si="326"/>
        <v>0</v>
      </c>
      <c r="BH104" s="357">
        <f t="shared" si="326"/>
        <v>0</v>
      </c>
      <c r="BI104" s="357">
        <f t="shared" si="326"/>
        <v>28662513</v>
      </c>
      <c r="BJ104" s="366"/>
      <c r="BK104" s="366"/>
      <c r="BL104" s="366"/>
      <c r="BM104" s="366"/>
      <c r="BN104" s="366"/>
      <c r="BO104" s="366"/>
      <c r="BP104" s="366"/>
      <c r="BQ104" s="366"/>
      <c r="BR104" s="366"/>
      <c r="BS104" s="366"/>
      <c r="BT104" s="366"/>
      <c r="BU104" s="366"/>
      <c r="BV104" s="357">
        <f t="shared" ref="BV104" si="327">BV102-BV103</f>
        <v>46635583</v>
      </c>
      <c r="BW104" s="358"/>
    </row>
    <row r="106" spans="1:75">
      <c r="AV106" s="301"/>
    </row>
    <row r="107" spans="1:75">
      <c r="BI107" s="258">
        <v>639813294</v>
      </c>
      <c r="BJ107" s="258"/>
      <c r="BK107" s="258"/>
      <c r="BL107" s="258"/>
      <c r="BM107" s="258"/>
      <c r="BN107" s="258"/>
      <c r="BO107" s="258"/>
      <c r="BP107" s="258"/>
      <c r="BQ107" s="258"/>
      <c r="BR107" s="258"/>
      <c r="BS107" s="258"/>
      <c r="BT107" s="258"/>
      <c r="BU107" s="258"/>
      <c r="BV107" s="258"/>
    </row>
    <row r="109" spans="1:75">
      <c r="BI109" s="2">
        <v>1115</v>
      </c>
    </row>
    <row r="110" spans="1:75">
      <c r="BI110" s="2">
        <v>478</v>
      </c>
    </row>
    <row r="111" spans="1:75">
      <c r="BI111" s="2">
        <f>BI110/BI109</f>
        <v>0.42869955156950673</v>
      </c>
    </row>
  </sheetData>
  <mergeCells count="5">
    <mergeCell ref="E2:I2"/>
    <mergeCell ref="J2:V2"/>
    <mergeCell ref="W2:AI2"/>
    <mergeCell ref="AJ2:AU2"/>
    <mergeCell ref="AW2:BH2"/>
  </mergeCells>
  <phoneticPr fontId="4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FA5B4-A601-41BC-ACA4-2B052A82513D}">
  <sheetPr codeName="Hoja3">
    <outlinePr summaryBelow="0"/>
  </sheetPr>
  <dimension ref="A2:I102"/>
  <sheetViews>
    <sheetView zoomScale="70" zoomScaleNormal="70" workbookViewId="0">
      <pane xSplit="4" ySplit="2" topLeftCell="F3" activePane="bottomRight" state="frozen"/>
      <selection pane="topRight" activeCell="K15" sqref="K15"/>
      <selection pane="bottomLeft" activeCell="K15" sqref="K15"/>
      <selection pane="bottomRight" activeCell="K15" sqref="K15"/>
    </sheetView>
  </sheetViews>
  <sheetFormatPr baseColWidth="10" defaultColWidth="10.8984375" defaultRowHeight="18" outlineLevelRow="5" outlineLevelCol="1"/>
  <cols>
    <col min="1" max="1" width="25.09765625" style="1" bestFit="1" customWidth="1"/>
    <col min="2" max="2" width="61.59765625" bestFit="1" customWidth="1"/>
    <col min="3" max="3" width="6.8984375" customWidth="1"/>
    <col min="4" max="4" width="2.09765625" customWidth="1"/>
    <col min="5" max="8" width="28.19921875" style="2" customWidth="1" outlineLevel="1"/>
    <col min="9" max="9" width="32.3984375" style="2" customWidth="1" outlineLevel="1" collapsed="1"/>
    <col min="10" max="16384" width="10.8984375" style="2"/>
  </cols>
  <sheetData>
    <row r="2" spans="1:9" s="76" customFormat="1" ht="33" customHeight="1">
      <c r="A2" s="32" t="s">
        <v>184</v>
      </c>
      <c r="B2" s="33" t="s">
        <v>185</v>
      </c>
      <c r="C2" s="33" t="s">
        <v>186</v>
      </c>
      <c r="D2" s="34" t="s">
        <v>187</v>
      </c>
      <c r="E2" s="150" t="s">
        <v>425</v>
      </c>
      <c r="F2" s="150" t="s">
        <v>426</v>
      </c>
      <c r="G2" s="150" t="s">
        <v>427</v>
      </c>
      <c r="H2" s="150" t="s">
        <v>428</v>
      </c>
      <c r="I2" s="150" t="s">
        <v>429</v>
      </c>
    </row>
    <row r="3" spans="1:9" ht="21.6">
      <c r="A3" s="29">
        <v>1</v>
      </c>
      <c r="B3" s="13" t="s">
        <v>245</v>
      </c>
      <c r="C3" s="13" t="str">
        <f>+Tabla179[[#This Row],[Cuenta]]&amp;" - "&amp;Tabla179[[#This Row],[Descripcion Cuenta]]</f>
        <v>1 - Ingresos</v>
      </c>
      <c r="D3" s="35"/>
      <c r="E3" s="42">
        <f>SUBTOTAL(9,E4:E21)</f>
        <v>12261176</v>
      </c>
      <c r="F3" s="42">
        <f>SUBTOTAL(9,F4:F21)</f>
        <v>152339462</v>
      </c>
      <c r="G3" s="42">
        <f>SUBTOTAL(9,G4:G21)</f>
        <v>45777431</v>
      </c>
      <c r="H3" s="42">
        <f>SUBTOTAL(9,H4:H21)</f>
        <v>49968717</v>
      </c>
      <c r="I3" s="42">
        <f>SUBTOTAL(9,I4:I21)</f>
        <v>581082850</v>
      </c>
    </row>
    <row r="4" spans="1:9" ht="21.6" outlineLevel="1" collapsed="1">
      <c r="A4" s="50" t="s">
        <v>246</v>
      </c>
      <c r="B4" s="51" t="s">
        <v>247</v>
      </c>
      <c r="C4" s="52" t="str">
        <f>+Tabla179[[#This Row],[Cuenta]]&amp;" - "&amp;Tabla179[[#This Row],[Descripcion Cuenta]]</f>
        <v>1.01 - Cuotas Sindicales</v>
      </c>
      <c r="D4" s="53"/>
      <c r="E4" s="54">
        <f>SUBTOTAL(9,E5:E6)</f>
        <v>12261176</v>
      </c>
      <c r="F4" s="54">
        <f>SUBTOTAL(9,F5:F6)</f>
        <v>42201100</v>
      </c>
      <c r="G4" s="54">
        <f>SUBTOTAL(9,G5:G6)</f>
        <v>45777431</v>
      </c>
      <c r="H4" s="54">
        <f>SUBTOTAL(9,H5:H6)</f>
        <v>49968717</v>
      </c>
      <c r="I4" s="54">
        <f>SUBTOTAL(9,I5:I6)</f>
        <v>100748602</v>
      </c>
    </row>
    <row r="5" spans="1:9" ht="21" hidden="1" outlineLevel="2">
      <c r="A5" s="31" t="s">
        <v>248</v>
      </c>
      <c r="B5" s="14" t="s">
        <v>249</v>
      </c>
      <c r="C5" s="15" t="str">
        <f>+Tabla179[[#This Row],[Cuenta]]&amp;" - "&amp;Tabla179[[#This Row],[Descripcion Cuenta]]</f>
        <v>1.01.01 - Cuota Ordinaria</v>
      </c>
      <c r="D5" s="30"/>
      <c r="E5" s="49">
        <f>SUMIFS(Banco[Monto],Banco[CtaCtbl],$C5,Banco[Año],E$2)</f>
        <v>9587219</v>
      </c>
      <c r="F5" s="49">
        <f>SUMIFS(Banco[Monto],Banco[CtaCtbl],$C5,Banco[Año],F$2)</f>
        <v>41203147</v>
      </c>
      <c r="G5" s="49">
        <f>SUMIFS(Banco[Monto],Banco[CtaCtbl],$C5,Banco[Año],G$2)</f>
        <v>43310880</v>
      </c>
      <c r="H5" s="49">
        <f>SUMIFS(Banco[Monto],Banco[CtaCtbl],$C5,Banco[Año],H$2)</f>
        <v>45984735</v>
      </c>
      <c r="I5" s="49">
        <f>SUMIFS(Banco[Monto],Banco[CtaCtbl],$C5,Banco[Año],I$2)</f>
        <v>96415352</v>
      </c>
    </row>
    <row r="6" spans="1:9" ht="21" hidden="1" outlineLevel="2">
      <c r="A6" s="31" t="s">
        <v>250</v>
      </c>
      <c r="B6" s="14" t="s">
        <v>251</v>
      </c>
      <c r="C6" s="15" t="str">
        <f>+Tabla179[[#This Row],[Cuenta]]&amp;" - "&amp;Tabla179[[#This Row],[Descripcion Cuenta]]</f>
        <v>1.01.02 - Cuota Extraordinaria</v>
      </c>
      <c r="D6" s="30"/>
      <c r="E6" s="49">
        <f>SUMIFS(Banco[Monto],Banco[CtaCtbl],$C6,Banco[Año],E$2)</f>
        <v>2673957</v>
      </c>
      <c r="F6" s="49">
        <f>SUMIFS(Banco[Monto],Banco[CtaCtbl],$C6,Banco[Año],F$2)</f>
        <v>997953</v>
      </c>
      <c r="G6" s="49">
        <f>SUMIFS(Banco[Monto],Banco[CtaCtbl],$C6,Banco[Año],G$2)</f>
        <v>2466551</v>
      </c>
      <c r="H6" s="49">
        <f>SUMIFS(Banco[Monto],Banco[CtaCtbl],$C6,Banco[Año],H$2)</f>
        <v>3983982</v>
      </c>
      <c r="I6" s="49">
        <f>SUMIFS(Banco[Monto],Banco[CtaCtbl],$C6,Banco[Año],I$2)</f>
        <v>4333250</v>
      </c>
    </row>
    <row r="7" spans="1:9" s="77" customFormat="1" ht="21.6" outlineLevel="1" collapsed="1">
      <c r="A7" s="50" t="s">
        <v>253</v>
      </c>
      <c r="B7" s="51" t="s">
        <v>254</v>
      </c>
      <c r="C7" s="52" t="str">
        <f>+Tabla179[[#This Row],[Cuenta]]&amp;" - "&amp;Tabla179[[#This Row],[Descripcion Cuenta]]</f>
        <v xml:space="preserve">1.02 - Multas </v>
      </c>
      <c r="D7" s="53"/>
      <c r="E7" s="54">
        <f>SUBTOTAL(9,E8:E9)</f>
        <v>0</v>
      </c>
      <c r="F7" s="54">
        <f>SUBTOTAL(9,F8:F9)</f>
        <v>0</v>
      </c>
      <c r="G7" s="54">
        <f>SUBTOTAL(9,G8:G9)</f>
        <v>0</v>
      </c>
      <c r="H7" s="54">
        <f>SUBTOTAL(9,H8:H9)</f>
        <v>0</v>
      </c>
      <c r="I7" s="54">
        <f>SUBTOTAL(9,I8:I9)</f>
        <v>0</v>
      </c>
    </row>
    <row r="8" spans="1:9" ht="21" hidden="1" outlineLevel="2">
      <c r="A8" s="36" t="s">
        <v>255</v>
      </c>
      <c r="B8" s="16" t="s">
        <v>256</v>
      </c>
      <c r="C8" s="17" t="str">
        <f>+Tabla179[[#This Row],[Cuenta]]&amp;" - "&amp;Tabla179[[#This Row],[Descripcion Cuenta]]</f>
        <v>1.02.01 - Multa Inasistencia</v>
      </c>
      <c r="D8" s="37"/>
      <c r="E8" s="49">
        <f>SUMIFS(Banco[Monto],Banco[CtaCtbl],$C8,Banco[Periodo Contable],TEXT(E$2,"mmm-yyyy"))</f>
        <v>0</v>
      </c>
      <c r="F8" s="49">
        <f>SUMIFS(Banco[Monto],Banco[CtaCtbl],$C8,Banco[Periodo Contable],TEXT(F$2,"mmm-yyyy"))</f>
        <v>0</v>
      </c>
      <c r="G8" s="49">
        <f>SUMIFS(Banco[Monto],Banco[CtaCtbl],$C8,Banco[Periodo Contable],TEXT(G$2,"mmm-yyyy"))</f>
        <v>0</v>
      </c>
      <c r="H8" s="49">
        <f>SUMIFS(Banco[Monto],Banco[CtaCtbl],$C8,Banco[Periodo Contable],TEXT(H$2,"mmm-yyyy"))</f>
        <v>0</v>
      </c>
      <c r="I8" s="49">
        <f>SUMIFS(Banco[Monto],Banco[CtaCtbl],$C8,Banco[Periodo Contable],TEXT(I$2,"mmm-yyyy"))</f>
        <v>0</v>
      </c>
    </row>
    <row r="9" spans="1:9" ht="21" hidden="1" outlineLevel="2">
      <c r="A9" s="36" t="s">
        <v>257</v>
      </c>
      <c r="B9" s="16" t="s">
        <v>258</v>
      </c>
      <c r="C9" s="17" t="str">
        <f>+Tabla179[[#This Row],[Cuenta]]&amp;" - "&amp;Tabla179[[#This Row],[Descripcion Cuenta]]</f>
        <v>1.02.02 - Otras Multas</v>
      </c>
      <c r="D9" s="37"/>
      <c r="E9" s="49">
        <f>SUMIFS(Banco[Monto],Banco[CtaCtbl],$C9,Banco[Periodo Contable],TEXT(E$2,"mmm-yyyy"))</f>
        <v>0</v>
      </c>
      <c r="F9" s="49">
        <f>SUMIFS(Banco[Monto],Banco[CtaCtbl],$C9,Banco[Periodo Contable],TEXT(F$2,"mmm-yyyy"))</f>
        <v>0</v>
      </c>
      <c r="G9" s="49">
        <f>SUMIFS(Banco[Monto],Banco[CtaCtbl],$C9,Banco[Periodo Contable],TEXT(G$2,"mmm-yyyy"))</f>
        <v>0</v>
      </c>
      <c r="H9" s="49">
        <f>SUMIFS(Banco[Monto],Banco[CtaCtbl],$C9,Banco[Periodo Contable],TEXT(H$2,"mmm-yyyy"))</f>
        <v>0</v>
      </c>
      <c r="I9" s="49">
        <f>SUMIFS(Banco[Monto],Banco[CtaCtbl],$C9,Banco[Periodo Contable],TEXT(I$2,"mmm-yyyy"))</f>
        <v>0</v>
      </c>
    </row>
    <row r="10" spans="1:9" s="77" customFormat="1" ht="21.6" outlineLevel="1" collapsed="1">
      <c r="A10" s="50" t="s">
        <v>259</v>
      </c>
      <c r="B10" s="51" t="s">
        <v>260</v>
      </c>
      <c r="C10" s="52" t="str">
        <f>+Tabla179[[#This Row],[Cuenta]]&amp;" - "&amp;Tabla179[[#This Row],[Descripcion Cuenta]]</f>
        <v>1.03 - Aportes Adicionales</v>
      </c>
      <c r="D10" s="53"/>
      <c r="E10" s="54">
        <f>SUBTOTAL(9,E11:E14)</f>
        <v>0</v>
      </c>
      <c r="F10" s="54">
        <f>SUBTOTAL(9,F11:F14)</f>
        <v>110138362</v>
      </c>
      <c r="G10" s="54">
        <f>SUBTOTAL(9,G11:G14)</f>
        <v>0</v>
      </c>
      <c r="H10" s="54">
        <f>SUBTOTAL(9,H11:H14)</f>
        <v>0</v>
      </c>
      <c r="I10" s="54">
        <f>SUBTOTAL(9,I11:I14)</f>
        <v>480334248</v>
      </c>
    </row>
    <row r="11" spans="1:9" ht="21" hidden="1" outlineLevel="3">
      <c r="A11" s="36" t="s">
        <v>261</v>
      </c>
      <c r="B11" s="16" t="s">
        <v>262</v>
      </c>
      <c r="C11" s="17" t="str">
        <f>+Tabla179[[#This Row],[Cuenta]]&amp;" - "&amp;Tabla179[[#This Row],[Descripcion Cuenta]]</f>
        <v>1.03.01 - Aportes Voluntarios</v>
      </c>
      <c r="D11" s="37"/>
      <c r="E11" s="49">
        <f>SUMIFS(Banco[Monto],Banco[CtaCtbl],$C11,Banco[Año],E$2)</f>
        <v>0</v>
      </c>
      <c r="F11" s="49">
        <f>SUMIFS(Banco[Monto],Banco[CtaCtbl],$C11,Banco[Año],F$2)</f>
        <v>0</v>
      </c>
      <c r="G11" s="49">
        <f>SUMIFS(Banco[Monto],Banco[CtaCtbl],$C11,Banco[Año],G$2)</f>
        <v>0</v>
      </c>
      <c r="H11" s="49">
        <f>SUMIFS(Banco[Monto],Banco[CtaCtbl],$C11,Banco[Año],H$2)</f>
        <v>0</v>
      </c>
      <c r="I11" s="49">
        <f>SUMIFS(Banco[Monto],Banco[CtaCtbl],$C11,Banco[Año],I$2)</f>
        <v>0</v>
      </c>
    </row>
    <row r="12" spans="1:9" ht="21" hidden="1" outlineLevel="3">
      <c r="A12" s="36" t="s">
        <v>263</v>
      </c>
      <c r="B12" s="16" t="s">
        <v>264</v>
      </c>
      <c r="C12" s="17" t="str">
        <f>+Tabla179[[#This Row],[Cuenta]]&amp;" - "&amp;Tabla179[[#This Row],[Descripcion Cuenta]]</f>
        <v>1.03.02 - Aportes Terceros</v>
      </c>
      <c r="D12" s="37"/>
      <c r="E12" s="49">
        <f>SUMIFS(Banco[Monto],Banco[CtaCtbl],$C12,Banco[Año],E$2)</f>
        <v>0</v>
      </c>
      <c r="F12" s="49">
        <f>SUMIFS(Banco[Monto],Banco[CtaCtbl],$C12,Banco[Año],F$2)</f>
        <v>0</v>
      </c>
      <c r="G12" s="49">
        <f>SUMIFS(Banco[Monto],Banco[CtaCtbl],$C12,Banco[Año],G$2)</f>
        <v>0</v>
      </c>
      <c r="H12" s="49">
        <f>SUMIFS(Banco[Monto],Banco[CtaCtbl],$C12,Banco[Año],H$2)</f>
        <v>0</v>
      </c>
      <c r="I12" s="49">
        <f>SUMIFS(Banco[Monto],Banco[CtaCtbl],$C12,Banco[Año],I$2)</f>
        <v>0</v>
      </c>
    </row>
    <row r="13" spans="1:9" ht="21" hidden="1" outlineLevel="3">
      <c r="A13" s="36" t="s">
        <v>265</v>
      </c>
      <c r="B13" s="16" t="s">
        <v>266</v>
      </c>
      <c r="C13" s="17" t="str">
        <f>+Tabla179[[#This Row],[Cuenta]]&amp;" - "&amp;Tabla179[[#This Row],[Descripcion Cuenta]]</f>
        <v>1.03.03 - Otros Aportes</v>
      </c>
      <c r="D13" s="37"/>
      <c r="E13" s="49">
        <f>SUMIFS(Banco[Monto],Banco[CtaCtbl],$C13,Banco[Año],E$2)</f>
        <v>0</v>
      </c>
      <c r="F13" s="49">
        <f>SUMIFS(Banco[Monto],Banco[CtaCtbl],$C13,Banco[Año],F$2)</f>
        <v>3138362</v>
      </c>
      <c r="G13" s="49">
        <f>SUMIFS(Banco[Monto],Banco[CtaCtbl],$C13,Banco[Año],G$2)</f>
        <v>0</v>
      </c>
      <c r="H13" s="49">
        <f>SUMIFS(Banco[Monto],Banco[CtaCtbl],$C13,Banco[Año],H$2)</f>
        <v>0</v>
      </c>
      <c r="I13" s="49">
        <f>SUMIFS(Banco[Monto],Banco[CtaCtbl],$C13,Banco[Año],I$2)</f>
        <v>0</v>
      </c>
    </row>
    <row r="14" spans="1:9" ht="21" hidden="1" outlineLevel="3">
      <c r="A14" s="36" t="s">
        <v>267</v>
      </c>
      <c r="B14" s="16" t="s">
        <v>268</v>
      </c>
      <c r="C14" s="17" t="str">
        <f>+Tabla179[[#This Row],[Cuenta]]&amp;" - "&amp;Tabla179[[#This Row],[Descripcion Cuenta]]</f>
        <v>1.03.04 - Aporte Colbun</v>
      </c>
      <c r="D14" s="37"/>
      <c r="E14" s="49">
        <f>SUMIFS(Banco[Monto],Banco[CtaCtbl],$C14,Banco[Año],E$2)</f>
        <v>0</v>
      </c>
      <c r="F14" s="49">
        <f>SUMIFS(Banco[Monto],Banco[CtaCtbl],$C14,Banco[Año],F$2)</f>
        <v>107000000</v>
      </c>
      <c r="G14" s="49">
        <f>SUMIFS(Banco[Monto],Banco[CtaCtbl],$C14,Banco[Año],G$2)</f>
        <v>0</v>
      </c>
      <c r="H14" s="49">
        <f>SUMIFS(Banco[Monto],Banco[CtaCtbl],$C14,Banco[Año],H$2)</f>
        <v>0</v>
      </c>
      <c r="I14" s="49">
        <f>SUMIFS(Banco[Monto],Banco[CtaCtbl],$C14,Banco[Año],I$2)</f>
        <v>480334248</v>
      </c>
    </row>
    <row r="15" spans="1:9" ht="21.6" outlineLevel="1">
      <c r="A15" s="50" t="s">
        <v>269</v>
      </c>
      <c r="B15" s="51" t="s">
        <v>430</v>
      </c>
      <c r="C15" s="52" t="str">
        <f>+Tabla179[[#This Row],[Cuenta]]&amp;" - "&amp;Tabla179[[#This Row],[Descripcion Cuenta]]</f>
        <v>1.04 - Utilidades Bancarias</v>
      </c>
      <c r="D15" s="53"/>
      <c r="E15" s="54">
        <f>SUBTOTAL(9,E16:E21)</f>
        <v>0</v>
      </c>
      <c r="F15" s="54">
        <f>SUBTOTAL(9,F16:F21)</f>
        <v>0</v>
      </c>
      <c r="G15" s="54">
        <f>SUBTOTAL(9,G16:G21)</f>
        <v>0</v>
      </c>
      <c r="H15" s="54">
        <f>SUBTOTAL(9,H16:H21)</f>
        <v>0</v>
      </c>
      <c r="I15" s="54">
        <f>SUBTOTAL(9,I16:I21)</f>
        <v>0</v>
      </c>
    </row>
    <row r="16" spans="1:9" ht="21" outlineLevel="3">
      <c r="A16" s="36" t="s">
        <v>271</v>
      </c>
      <c r="B16" s="16" t="s">
        <v>431</v>
      </c>
      <c r="C16" s="17" t="str">
        <f>+Tabla179[[#This Row],[Cuenta]]&amp;" - "&amp;Tabla179[[#This Row],[Descripcion Cuenta]]</f>
        <v>1.04.01 - Plazo Fijo</v>
      </c>
      <c r="D16" s="37"/>
      <c r="E16" s="49">
        <f>SUMIFS(Banco[Monto],Banco[CtaCtbl],$C16,Banco[Periodo Contable],TEXT(E$2,"mmm-yyyy"))</f>
        <v>0</v>
      </c>
      <c r="F16" s="49">
        <f>SUMIFS(Banco[Monto],Banco[CtaCtbl],$C16,Banco[Periodo Contable],TEXT(F$2,"mmm-yyyy"))</f>
        <v>0</v>
      </c>
      <c r="G16" s="49">
        <f>SUMIFS(Banco[Monto],Banco[CtaCtbl],$C16,Banco[Periodo Contable],TEXT(G$2,"mmm-yyyy"))</f>
        <v>0</v>
      </c>
      <c r="H16" s="49">
        <f>SUMIFS(Banco[Monto],Banco[CtaCtbl],$C16,Banco[Periodo Contable],TEXT(H$2,"mmm-yyyy"))</f>
        <v>0</v>
      </c>
      <c r="I16" s="49">
        <f>SUMIFS(Banco[Monto],Banco[CtaCtbl],$C16,Banco[Periodo Contable],TEXT(I$2,"mmm-yyyy"))</f>
        <v>0</v>
      </c>
    </row>
    <row r="17" spans="1:9" ht="21" outlineLevel="3">
      <c r="A17" s="36" t="s">
        <v>273</v>
      </c>
      <c r="B17" s="16" t="s">
        <v>432</v>
      </c>
      <c r="C17" s="17" t="str">
        <f>+Tabla179[[#This Row],[Cuenta]]&amp;" - "&amp;Tabla179[[#This Row],[Descripcion Cuenta]]</f>
        <v>1.04.02 - Fondos Mutos</v>
      </c>
      <c r="D17" s="37"/>
      <c r="E17" s="49">
        <f>SUMIFS(Banco[Monto],Banco[CtaCtbl],$C17,Banco[Periodo Contable],TEXT(E$2,"mmm-yyyy"))</f>
        <v>0</v>
      </c>
      <c r="F17" s="49">
        <f>SUMIFS(Banco[Monto],Banco[CtaCtbl],$C17,Banco[Periodo Contable],TEXT(F$2,"mmm-yyyy"))</f>
        <v>0</v>
      </c>
      <c r="G17" s="49">
        <f>SUMIFS(Banco[Monto],Banco[CtaCtbl],$C17,Banco[Periodo Contable],TEXT(G$2,"mmm-yyyy"))</f>
        <v>0</v>
      </c>
      <c r="H17" s="49">
        <f>SUMIFS(Banco[Monto],Banco[CtaCtbl],$C17,Banco[Periodo Contable],TEXT(H$2,"mmm-yyyy"))</f>
        <v>0</v>
      </c>
      <c r="I17" s="49">
        <f>SUMIFS(Banco[Monto],Banco[CtaCtbl],$C17,Banco[Periodo Contable],TEXT(I$2,"mmm-yyyy"))</f>
        <v>0</v>
      </c>
    </row>
    <row r="18" spans="1:9" ht="21" outlineLevel="3">
      <c r="A18" s="36" t="s">
        <v>275</v>
      </c>
      <c r="B18" s="16" t="s">
        <v>432</v>
      </c>
      <c r="C18" s="17" t="str">
        <f>+Tabla179[[#This Row],[Cuenta]]&amp;" - "&amp;Tabla179[[#This Row],[Descripcion Cuenta]]</f>
        <v>1.04.03 - Fondos Mutos</v>
      </c>
      <c r="D18" s="37"/>
      <c r="E18" s="49">
        <f>SUMIFS(Banco[Monto],Banco[CtaCtbl],$C18,Banco[Periodo Contable],TEXT(E$2,"mmm-yyyy"))</f>
        <v>0</v>
      </c>
      <c r="F18" s="49">
        <f>SUMIFS(Banco[Monto],Banco[CtaCtbl],$C18,Banco[Periodo Contable],TEXT(F$2,"mmm-yyyy"))</f>
        <v>0</v>
      </c>
      <c r="G18" s="49">
        <f>SUMIFS(Banco[Monto],Banco[CtaCtbl],$C18,Banco[Periodo Contable],TEXT(G$2,"mmm-yyyy"))</f>
        <v>0</v>
      </c>
      <c r="H18" s="49">
        <f>SUMIFS(Banco[Monto],Banco[CtaCtbl],$C18,Banco[Periodo Contable],TEXT(H$2,"mmm-yyyy"))</f>
        <v>0</v>
      </c>
      <c r="I18" s="49">
        <f>SUMIFS(Banco[Monto],Banco[CtaCtbl],$C18,Banco[Periodo Contable],TEXT(I$2,"mmm-yyyy"))</f>
        <v>0</v>
      </c>
    </row>
    <row r="19" spans="1:9" ht="21" outlineLevel="3">
      <c r="A19" s="36" t="s">
        <v>277</v>
      </c>
      <c r="B19" s="16" t="s">
        <v>432</v>
      </c>
      <c r="C19" s="17" t="str">
        <f>+Tabla179[[#This Row],[Cuenta]]&amp;" - "&amp;Tabla179[[#This Row],[Descripcion Cuenta]]</f>
        <v>1.04.04 - Fondos Mutos</v>
      </c>
      <c r="D19" s="37"/>
      <c r="E19" s="49">
        <f>SUMIFS(Banco[Monto],Banco[CtaCtbl],$C19,Banco[Periodo Contable],TEXT(E$2,"mmm-yyyy"))</f>
        <v>0</v>
      </c>
      <c r="F19" s="49">
        <f>SUMIFS(Banco[Monto],Banco[CtaCtbl],$C19,Banco[Periodo Contable],TEXT(F$2,"mmm-yyyy"))</f>
        <v>0</v>
      </c>
      <c r="G19" s="49">
        <f>SUMIFS(Banco[Monto],Banco[CtaCtbl],$C19,Banco[Periodo Contable],TEXT(G$2,"mmm-yyyy"))</f>
        <v>0</v>
      </c>
      <c r="H19" s="49">
        <f>SUMIFS(Banco[Monto],Banco[CtaCtbl],$C19,Banco[Periodo Contable],TEXT(H$2,"mmm-yyyy"))</f>
        <v>0</v>
      </c>
      <c r="I19" s="49">
        <f>SUMIFS(Banco[Monto],Banco[CtaCtbl],$C19,Banco[Periodo Contable],TEXT(I$2,"mmm-yyyy"))</f>
        <v>0</v>
      </c>
    </row>
    <row r="20" spans="1:9" ht="21" outlineLevel="3">
      <c r="A20" s="36"/>
      <c r="B20" s="16"/>
      <c r="C20" s="17" t="str">
        <f>+Tabla179[[#This Row],[Cuenta]]&amp;" - "&amp;Tabla179[[#This Row],[Descripcion Cuenta]]</f>
        <v xml:space="preserve"> - </v>
      </c>
      <c r="D20" s="37"/>
      <c r="E20" s="49">
        <f>SUMIFS(Banco[Monto],Banco[CtaCtbl],$C20,Banco[Periodo Contable],TEXT(E$2,"mmm-yyyy"))</f>
        <v>0</v>
      </c>
      <c r="F20" s="49">
        <f>SUMIFS(Banco[Monto],Banco[CtaCtbl],$C20,Banco[Periodo Contable],TEXT(F$2,"mmm-yyyy"))</f>
        <v>0</v>
      </c>
      <c r="G20" s="49">
        <f>SUMIFS(Banco[Monto],Banco[CtaCtbl],$C20,Banco[Periodo Contable],TEXT(G$2,"mmm-yyyy"))</f>
        <v>0</v>
      </c>
      <c r="H20" s="49">
        <f>SUMIFS(Banco[Monto],Banco[CtaCtbl],$C20,Banco[Periodo Contable],TEXT(H$2,"mmm-yyyy"))</f>
        <v>0</v>
      </c>
      <c r="I20" s="49">
        <f>SUMIFS(Banco[Monto],Banco[CtaCtbl],$C20,Banco[Periodo Contable],TEXT(I$2,"mmm-yyyy"))</f>
        <v>0</v>
      </c>
    </row>
    <row r="21" spans="1:9" ht="21" outlineLevel="3">
      <c r="A21" s="36"/>
      <c r="B21" s="16"/>
      <c r="C21" s="17" t="str">
        <f>+Tabla179[[#This Row],[Cuenta]]&amp;" - "&amp;Tabla179[[#This Row],[Descripcion Cuenta]]</f>
        <v xml:space="preserve"> - </v>
      </c>
      <c r="D21" s="37"/>
      <c r="E21" s="49">
        <f>SUMIFS(Banco[Monto],Banco[CtaCtbl],$C21,Banco[Periodo Contable],TEXT(E$2,"mmm-yyyy"))</f>
        <v>0</v>
      </c>
      <c r="F21" s="49">
        <f>SUMIFS(Banco[Monto],Banco[CtaCtbl],$C21,Banco[Periodo Contable],TEXT(F$2,"mmm-yyyy"))</f>
        <v>0</v>
      </c>
      <c r="G21" s="49">
        <f>SUMIFS(Banco[Monto],Banco[CtaCtbl],$C21,Banco[Periodo Contable],TEXT(G$2,"mmm-yyyy"))</f>
        <v>0</v>
      </c>
      <c r="H21" s="49">
        <f>SUMIFS(Banco[Monto],Banco[CtaCtbl],$C21,Banco[Periodo Contable],TEXT(H$2,"mmm-yyyy"))</f>
        <v>0</v>
      </c>
      <c r="I21" s="49">
        <f>SUMIFS(Banco[Monto],Banco[CtaCtbl],$C21,Banco[Periodo Contable],TEXT(I$2,"mmm-yyyy"))</f>
        <v>0</v>
      </c>
    </row>
    <row r="22" spans="1:9" ht="21.6">
      <c r="A22" s="29">
        <v>2</v>
      </c>
      <c r="B22" s="13" t="s">
        <v>281</v>
      </c>
      <c r="C22" s="13" t="str">
        <f>+Tabla179[[#This Row],[Cuenta]]&amp;" - "&amp;Tabla179[[#This Row],[Descripcion Cuenta]]</f>
        <v>2 - Egresos</v>
      </c>
      <c r="D22" s="35"/>
      <c r="E22" s="42">
        <f>SUBTOTAL(9,E23:E77)</f>
        <v>-836471</v>
      </c>
      <c r="F22" s="42">
        <f>SUBTOTAL(9,F23:F77)</f>
        <v>-8833888</v>
      </c>
      <c r="G22" s="42">
        <f>SUBTOTAL(9,G23:G77)</f>
        <v>-2482793</v>
      </c>
      <c r="H22" s="42">
        <f>SUBTOTAL(9,H23:H77)</f>
        <v>-4386240</v>
      </c>
      <c r="I22" s="42">
        <f>SUBTOTAL(9,I23:I77)</f>
        <v>-10697494</v>
      </c>
    </row>
    <row r="23" spans="1:9" ht="21.6" outlineLevel="1" collapsed="1">
      <c r="A23" s="50" t="s">
        <v>282</v>
      </c>
      <c r="B23" s="51" t="s">
        <v>283</v>
      </c>
      <c r="C23" s="52" t="str">
        <f>+Tabla179[[#This Row],[Cuenta]]&amp;" - "&amp;Tabla179[[#This Row],[Descripcion Cuenta]]</f>
        <v>2.01 - Gasto Fijo</v>
      </c>
      <c r="D23" s="53"/>
      <c r="E23" s="55">
        <f>SUBTOTAL(9,E24:E62)</f>
        <v>-836471</v>
      </c>
      <c r="F23" s="55">
        <f>SUBTOTAL(9,F24:F62)</f>
        <v>-8054330</v>
      </c>
      <c r="G23" s="55">
        <f>SUBTOTAL(9,G24:G62)</f>
        <v>-1786000</v>
      </c>
      <c r="H23" s="55">
        <f>SUBTOTAL(9,H24:H62)</f>
        <v>-3693440</v>
      </c>
      <c r="I23" s="55">
        <f>SUBTOTAL(9,I24:I62)</f>
        <v>-10371988</v>
      </c>
    </row>
    <row r="24" spans="1:9" s="77" customFormat="1" ht="21.6" hidden="1" outlineLevel="2" collapsed="1">
      <c r="A24" s="38" t="s">
        <v>284</v>
      </c>
      <c r="B24" s="18" t="s">
        <v>285</v>
      </c>
      <c r="C24" s="19" t="str">
        <f>+Tabla179[[#This Row],[Cuenta]]&amp;" - "&amp;Tabla179[[#This Row],[Descripcion Cuenta]]</f>
        <v>2.01.01 - Asesorias</v>
      </c>
      <c r="D24" s="39"/>
      <c r="E24" s="44">
        <f>SUBTOTAL(9,E25:E30)</f>
        <v>-221900</v>
      </c>
      <c r="F24" s="44">
        <f>SUBTOTAL(9,F25:F30)</f>
        <v>-6737100</v>
      </c>
      <c r="G24" s="44">
        <f>SUBTOTAL(9,G25:G30)</f>
        <v>-1786000</v>
      </c>
      <c r="H24" s="44">
        <f>SUBTOTAL(9,H25:H30)</f>
        <v>-2168604</v>
      </c>
      <c r="I24" s="44">
        <f>SUBTOTAL(9,I25:I30)</f>
        <v>-7676227</v>
      </c>
    </row>
    <row r="25" spans="1:9" ht="21" hidden="1" outlineLevel="3">
      <c r="A25" s="40" t="s">
        <v>286</v>
      </c>
      <c r="B25" s="20" t="s">
        <v>287</v>
      </c>
      <c r="C25" s="21" t="str">
        <f>+Tabla179[[#This Row],[Cuenta]]&amp;" - "&amp;Tabla179[[#This Row],[Descripcion Cuenta]]</f>
        <v>2.01.01.01 - Legales</v>
      </c>
      <c r="D25" s="41"/>
      <c r="E25" s="43">
        <f>SUBTOTAL(9,E26:E27)</f>
        <v>-221900</v>
      </c>
      <c r="F25" s="43">
        <f>SUBTOTAL(9,F26:F27)</f>
        <v>-6737100</v>
      </c>
      <c r="G25" s="43">
        <f>SUBTOTAL(9,G26:G27)</f>
        <v>-1786000</v>
      </c>
      <c r="H25" s="43">
        <f>SUBTOTAL(9,H26:H27)</f>
        <v>-2168604</v>
      </c>
      <c r="I25" s="43">
        <f>SUBTOTAL(9,I26:I27)</f>
        <v>-16084772</v>
      </c>
    </row>
    <row r="26" spans="1:9" ht="21" hidden="1" outlineLevel="4">
      <c r="A26" s="185" t="s">
        <v>288</v>
      </c>
      <c r="B26" s="181" t="s">
        <v>289</v>
      </c>
      <c r="C26" s="182" t="str">
        <f>+Tabla179[[#This Row],[Cuenta]]&amp;" - "&amp;Tabla179[[#This Row],[Descripcion Cuenta]]</f>
        <v>2.01.01.01.1 - Asesoria Legal - Convenio Fijo Mensual</v>
      </c>
      <c r="D26" s="183"/>
      <c r="E26" s="184">
        <f>SUMIFS(Banco[Monto],Banco[CtaCtbl],$C26,Banco[Año],E$2)</f>
        <v>-221900</v>
      </c>
      <c r="F26" s="184">
        <f>SUMIFS(Banco[Monto],Banco[CtaCtbl],$C26,Banco[Año],F$2)</f>
        <v>-1665300</v>
      </c>
      <c r="G26" s="184">
        <f>SUMIFS(Banco[Monto],Banco[CtaCtbl],$C26,Banco[Año],G$2)</f>
        <v>-1786000</v>
      </c>
      <c r="H26" s="184">
        <f>SUMIFS(Banco[Monto],Banco[CtaCtbl],$C26,Banco[Año],H$2)</f>
        <v>-2168604</v>
      </c>
      <c r="I26" s="184">
        <f>SUMIFS(Banco[Monto],Banco[CtaCtbl],$C26,Banco[Año],I$2)</f>
        <v>-4134772</v>
      </c>
    </row>
    <row r="27" spans="1:9" ht="21" hidden="1" outlineLevel="4">
      <c r="A27" s="185" t="s">
        <v>290</v>
      </c>
      <c r="B27" s="181" t="s">
        <v>291</v>
      </c>
      <c r="C27" s="182" t="str">
        <f>+Tabla179[[#This Row],[Cuenta]]&amp;" - "&amp;Tabla179[[#This Row],[Descripcion Cuenta]]</f>
        <v>2.01.01.01.2 - Asesoria Legal - Proyectos Negociacion</v>
      </c>
      <c r="D27" s="183"/>
      <c r="E27" s="184">
        <f>SUMIFS(Banco[Monto],Banco[CtaCtbl],$C27,Banco[Año],E$2)</f>
        <v>0</v>
      </c>
      <c r="F27" s="184">
        <f>SUMIFS(Banco[Monto],Banco[CtaCtbl],$C27,Banco[Año],F$2)</f>
        <v>-5071800</v>
      </c>
      <c r="G27" s="184">
        <f>SUMIFS(Banco[Monto],Banco[CtaCtbl],$C27,Banco[Año],G$2)</f>
        <v>0</v>
      </c>
      <c r="H27" s="184">
        <f>SUMIFS(Banco[Monto],Banco[CtaCtbl],$C27,Banco[Año],H$2)</f>
        <v>0</v>
      </c>
      <c r="I27" s="184">
        <f>SUMIFS(Banco[Monto],Banco[CtaCtbl],$C27,Banco[Año],I$2)</f>
        <v>-11950000</v>
      </c>
    </row>
    <row r="28" spans="1:9" ht="21" hidden="1" outlineLevel="3">
      <c r="A28" s="36" t="s">
        <v>292</v>
      </c>
      <c r="B28" s="23" t="s">
        <v>293</v>
      </c>
      <c r="C28" s="22" t="str">
        <f>+Tabla179[[#This Row],[Cuenta]]&amp;" - "&amp;Tabla179[[#This Row],[Descripcion Cuenta]]</f>
        <v>2.01.01.02 - Contables</v>
      </c>
      <c r="D28" s="37"/>
      <c r="E28" s="49">
        <f>SUMIFS(Banco[Monto],Banco[CtaCtbl],$C28,Banco[Año],E$2)</f>
        <v>0</v>
      </c>
      <c r="F28" s="49">
        <f>SUMIFS(Banco[Monto],Banco[CtaCtbl],$C28,Banco[Año],F$2)</f>
        <v>0</v>
      </c>
      <c r="G28" s="49">
        <f>SUMIFS(Banco[Monto],Banco[CtaCtbl],$C28,Banco[Año],G$2)</f>
        <v>0</v>
      </c>
      <c r="H28" s="49">
        <f>SUMIFS(Banco[Monto],Banco[CtaCtbl],$C28,Banco[Año],H$2)</f>
        <v>0</v>
      </c>
      <c r="I28" s="49">
        <f>SUMIFS(Banco[Monto],Banco[CtaCtbl],$C28,Banco[Año],I$2)</f>
        <v>0</v>
      </c>
    </row>
    <row r="29" spans="1:9" ht="21" hidden="1" outlineLevel="3">
      <c r="A29" s="36" t="s">
        <v>294</v>
      </c>
      <c r="B29" s="23" t="s">
        <v>295</v>
      </c>
      <c r="C29" s="22" t="str">
        <f>+Tabla179[[#This Row],[Cuenta]]&amp;" - "&amp;Tabla179[[#This Row],[Descripcion Cuenta]]</f>
        <v>2.01.01.03 - Expertos Legislacion Laboral</v>
      </c>
      <c r="D29" s="37"/>
      <c r="E29" s="49">
        <f>SUMIFS(Banco[Monto],Banco[CtaCtbl],$C29,Banco[Año],E$2)</f>
        <v>0</v>
      </c>
      <c r="F29" s="49">
        <f>SUMIFS(Banco[Monto],Banco[CtaCtbl],$C29,Banco[Año],F$2)</f>
        <v>0</v>
      </c>
      <c r="G29" s="49">
        <f>SUMIFS(Banco[Monto],Banco[CtaCtbl],$C29,Banco[Año],G$2)</f>
        <v>0</v>
      </c>
      <c r="H29" s="49">
        <f>SUMIFS(Banco[Monto],Banco[CtaCtbl],$C29,Banco[Año],H$2)</f>
        <v>0</v>
      </c>
      <c r="I29" s="49">
        <f>SUMIFS(Banco[Monto],Banco[CtaCtbl],$C29,Banco[Año],I$2)</f>
        <v>0</v>
      </c>
    </row>
    <row r="30" spans="1:9" ht="21" hidden="1" outlineLevel="3">
      <c r="A30" s="36" t="s">
        <v>296</v>
      </c>
      <c r="B30" s="23" t="s">
        <v>297</v>
      </c>
      <c r="C30" s="22" t="str">
        <f>+Tabla179[[#This Row],[Cuenta]]&amp;" - "&amp;Tabla179[[#This Row],[Descripcion Cuenta]]</f>
        <v>2.01.01.04 - Otras Asesorias</v>
      </c>
      <c r="D30" s="37"/>
      <c r="E30" s="49">
        <f>SUMIFS(Banco[Monto],Banco[CtaCtbl],$C30,Banco[Año],E$2)</f>
        <v>0</v>
      </c>
      <c r="F30" s="49">
        <f>SUMIFS(Banco[Monto],Banco[CtaCtbl],$C30,Banco[Año],F$2)</f>
        <v>0</v>
      </c>
      <c r="G30" s="49">
        <f>SUMIFS(Banco[Monto],Banco[CtaCtbl],$C30,Banco[Año],G$2)</f>
        <v>0</v>
      </c>
      <c r="H30" s="49">
        <f>SUMIFS(Banco[Monto],Banco[CtaCtbl],$C30,Banco[Año],H$2)</f>
        <v>0</v>
      </c>
      <c r="I30" s="49">
        <f>SUMIFS(Banco[Monto],Banco[CtaCtbl],$C30,Banco[Año],I$2)</f>
        <v>8408545</v>
      </c>
    </row>
    <row r="31" spans="1:9" ht="21.6" hidden="1" outlineLevel="2" collapsed="1">
      <c r="A31" s="38" t="s">
        <v>298</v>
      </c>
      <c r="B31" s="18" t="s">
        <v>299</v>
      </c>
      <c r="C31" s="19" t="str">
        <f>+Tabla179[[#This Row],[Cuenta]]&amp;" - "&amp;Tabla179[[#This Row],[Descripcion Cuenta]]</f>
        <v>2.01.02 - Impuestos</v>
      </c>
      <c r="D31" s="39"/>
      <c r="E31" s="44">
        <f>SUBTOTAL(9,E32:E33)</f>
        <v>0</v>
      </c>
      <c r="F31" s="44">
        <f>SUBTOTAL(9,F32:F33)</f>
        <v>0</v>
      </c>
      <c r="G31" s="44">
        <f>SUBTOTAL(9,G32:G33)</f>
        <v>0</v>
      </c>
      <c r="H31" s="44">
        <f>SUBTOTAL(9,H32:H33)</f>
        <v>0</v>
      </c>
      <c r="I31" s="44">
        <f>SUBTOTAL(9,I32:I33)</f>
        <v>0</v>
      </c>
    </row>
    <row r="32" spans="1:9" ht="21" hidden="1" outlineLevel="3">
      <c r="A32" s="71" t="s">
        <v>300</v>
      </c>
      <c r="B32" s="72" t="s">
        <v>301</v>
      </c>
      <c r="C32" s="73" t="str">
        <f>+Tabla179[[#This Row],[Cuenta]]&amp;" - "&amp;Tabla179[[#This Row],[Descripcion Cuenta]]</f>
        <v>2.01.02.01 - Impuestos Bancarios</v>
      </c>
      <c r="D32" s="74"/>
      <c r="E32" s="75">
        <f>SUMIFS(Libro_Diario[Monto],Libro_Diario[Cuenta],$C32,Libro_Diario[Periodo Computo],(MONTH(E$2)&amp;"-"&amp;YEAR(E$2)))</f>
        <v>0</v>
      </c>
      <c r="F32" s="75">
        <f>SUMIFS(Libro_Diario[Monto],Libro_Diario[Cuenta],$C32,Libro_Diario[Periodo Computo],(MONTH(F$2)&amp;"-"&amp;YEAR(F$2)))</f>
        <v>0</v>
      </c>
      <c r="G32" s="75">
        <f>SUMIFS(Libro_Diario[Monto],Libro_Diario[Cuenta],$C32,Libro_Diario[Periodo Computo],(MONTH(G$2)&amp;"-"&amp;YEAR(G$2)))</f>
        <v>0</v>
      </c>
      <c r="H32" s="75">
        <f>SUMIFS(Libro_Diario[Monto],Libro_Diario[Cuenta],$C32,Libro_Diario[Periodo Computo],(MONTH(H$2)&amp;"-"&amp;YEAR(H$2)))</f>
        <v>0</v>
      </c>
      <c r="I32" s="75">
        <f>SUMIFS(Libro_Diario[Monto],Libro_Diario[Cuenta],$C32,Libro_Diario[Periodo Computo],(MONTH(I$2)&amp;"-"&amp;YEAR(I$2)))</f>
        <v>0</v>
      </c>
    </row>
    <row r="33" spans="1:9" ht="21" hidden="1" outlineLevel="3">
      <c r="A33" s="36" t="s">
        <v>302</v>
      </c>
      <c r="B33" s="16" t="s">
        <v>303</v>
      </c>
      <c r="C33" s="22" t="str">
        <f>+Tabla179[[#This Row],[Cuenta]]&amp;" - "&amp;Tabla179[[#This Row],[Descripcion Cuenta]]</f>
        <v>2.01.02.02 - Impuestos Tributarios</v>
      </c>
      <c r="D33" s="37"/>
      <c r="E33" s="49">
        <f>SUMIFS(Banco[Monto],Banco[CtaCtbl],$C33,Banco[Año],E$2)</f>
        <v>0</v>
      </c>
      <c r="F33" s="49">
        <f>SUMIFS(Banco[Monto],Banco[CtaCtbl],$C33,Banco[Año],F$2)</f>
        <v>0</v>
      </c>
      <c r="G33" s="49">
        <f>SUMIFS(Banco[Monto],Banco[CtaCtbl],$C33,Banco[Año],G$2)</f>
        <v>0</v>
      </c>
      <c r="H33" s="49">
        <f>SUMIFS(Banco[Monto],Banco[CtaCtbl],$C33,Banco[Año],H$2)</f>
        <v>0</v>
      </c>
      <c r="I33" s="49">
        <f>SUMIFS(Banco[Monto],Banco[CtaCtbl],$C33,Banco[Año],I$2)</f>
        <v>0</v>
      </c>
    </row>
    <row r="34" spans="1:9" ht="21.6" hidden="1" outlineLevel="2" collapsed="1">
      <c r="A34" s="38" t="s">
        <v>304</v>
      </c>
      <c r="B34" s="18" t="s">
        <v>305</v>
      </c>
      <c r="C34" s="19" t="str">
        <f>+Tabla179[[#This Row],[Cuenta]]&amp;" - "&amp;Tabla179[[#This Row],[Descripcion Cuenta]]</f>
        <v>2.01.03 - Servicios</v>
      </c>
      <c r="D34" s="39"/>
      <c r="E34" s="44">
        <f>SUBTOTAL(9,E35:E55)</f>
        <v>-614571</v>
      </c>
      <c r="F34" s="44">
        <f>SUBTOTAL(9,F35:F55)</f>
        <v>-1117220</v>
      </c>
      <c r="G34" s="44">
        <f>SUBTOTAL(9,G35:G55)</f>
        <v>0</v>
      </c>
      <c r="H34" s="44">
        <f>SUBTOTAL(9,H35:H55)</f>
        <v>-1524836</v>
      </c>
      <c r="I34" s="44">
        <f>SUBTOTAL(9,I35:I55)</f>
        <v>-1973661</v>
      </c>
    </row>
    <row r="35" spans="1:9" ht="21" hidden="1" outlineLevel="3">
      <c r="A35" s="36" t="s">
        <v>306</v>
      </c>
      <c r="B35" s="16" t="s">
        <v>307</v>
      </c>
      <c r="C35" s="22" t="str">
        <f>+Tabla179[[#This Row],[Cuenta]]&amp;" - "&amp;Tabla179[[#This Row],[Descripcion Cuenta]]</f>
        <v>2.01.03.01 - Licencias Software</v>
      </c>
      <c r="D35" s="37"/>
      <c r="E35" s="49">
        <f>SUMIFS(Banco[Monto],Banco[CtaCtbl],$C35,Banco[Año],E$2)</f>
        <v>0</v>
      </c>
      <c r="F35" s="49">
        <f>SUMIFS(Banco[Monto],Banco[CtaCtbl],$C35,Banco[Año],F$2)</f>
        <v>0</v>
      </c>
      <c r="G35" s="49">
        <f>SUMIFS(Banco[Monto],Banco[CtaCtbl],$C35,Banco[Año],G$2)</f>
        <v>0</v>
      </c>
      <c r="H35" s="49">
        <f>SUMIFS(Banco[Monto],Banco[CtaCtbl],$C35,Banco[Año],H$2)</f>
        <v>0</v>
      </c>
      <c r="I35" s="49">
        <f>SUMIFS(Banco[Monto],Banco[CtaCtbl],$C35,Banco[Año],I$2)</f>
        <v>0</v>
      </c>
    </row>
    <row r="36" spans="1:9" ht="21" hidden="1" outlineLevel="3">
      <c r="A36" s="36" t="s">
        <v>308</v>
      </c>
      <c r="B36" s="16" t="s">
        <v>309</v>
      </c>
      <c r="C36" s="22" t="str">
        <f>+Tabla179[[#This Row],[Cuenta]]&amp;" - "&amp;Tabla179[[#This Row],[Descripcion Cuenta]]</f>
        <v>2.01.03.02 - Mensajeria</v>
      </c>
      <c r="D36" s="37"/>
      <c r="E36" s="49">
        <f>SUMIFS(Banco[Monto],Banco[CtaCtbl],$C36,Banco[Año],E$2)</f>
        <v>0</v>
      </c>
      <c r="F36" s="49">
        <f>SUMIFS(Banco[Monto],Banco[CtaCtbl],$C36,Banco[Año],F$2)</f>
        <v>0</v>
      </c>
      <c r="G36" s="49">
        <f>SUMIFS(Banco[Monto],Banco[CtaCtbl],$C36,Banco[Año],G$2)</f>
        <v>0</v>
      </c>
      <c r="H36" s="49">
        <f>SUMIFS(Banco[Monto],Banco[CtaCtbl],$C36,Banco[Año],H$2)</f>
        <v>0</v>
      </c>
      <c r="I36" s="49">
        <f>SUMIFS(Banco[Monto],Banco[CtaCtbl],$C36,Banco[Año],I$2)</f>
        <v>-11582</v>
      </c>
    </row>
    <row r="37" spans="1:9" ht="21.6" hidden="1" outlineLevel="3">
      <c r="A37" s="59" t="s">
        <v>310</v>
      </c>
      <c r="B37" s="60" t="s">
        <v>311</v>
      </c>
      <c r="C37" s="61" t="str">
        <f>+Tabla179[[#This Row],[Cuenta]]&amp;" - "&amp;Tabla179[[#This Row],[Descripcion Cuenta]]</f>
        <v>2.01.03.03 - Transporte</v>
      </c>
      <c r="D37" s="62"/>
      <c r="E37" s="63">
        <f>SUBTOTAL(9,E38:E53)</f>
        <v>-614571</v>
      </c>
      <c r="F37" s="63">
        <f>SUBTOTAL(9,F38:F53)</f>
        <v>-1117220</v>
      </c>
      <c r="G37" s="63">
        <f>SUBTOTAL(9,G38:G53)</f>
        <v>0</v>
      </c>
      <c r="H37" s="63">
        <f>SUBTOTAL(9,H38:H53)</f>
        <v>-1524836</v>
      </c>
      <c r="I37" s="63">
        <f>SUBTOTAL(9,I38:I53)</f>
        <v>-1807796</v>
      </c>
    </row>
    <row r="38" spans="1:9" ht="21.6" hidden="1" outlineLevel="4">
      <c r="A38" s="64" t="s">
        <v>312</v>
      </c>
      <c r="B38" s="65" t="s">
        <v>313</v>
      </c>
      <c r="C38" s="66" t="str">
        <f>+Tabla179[[#This Row],[Cuenta]]&amp;" - "&amp;Tabla179[[#This Row],[Descripcion Cuenta]]</f>
        <v>2.01.03.03.1 - Transporte Terrestre</v>
      </c>
      <c r="D38" s="67"/>
      <c r="E38" s="69">
        <f>SUBTOTAL(9,E39:E48)</f>
        <v>-614571</v>
      </c>
      <c r="F38" s="69">
        <f>SUBTOTAL(9,F39:F48)</f>
        <v>-1117220</v>
      </c>
      <c r="G38" s="69">
        <f>SUBTOTAL(9,G39:G48)</f>
        <v>0</v>
      </c>
      <c r="H38" s="69">
        <f>SUBTOTAL(9,H39:H48)</f>
        <v>-1524836</v>
      </c>
      <c r="I38" s="69">
        <f>SUBTOTAL(9,I39:I48)</f>
        <v>-1807796</v>
      </c>
    </row>
    <row r="39" spans="1:9" ht="21" hidden="1" outlineLevel="5">
      <c r="A39" s="36" t="s">
        <v>314</v>
      </c>
      <c r="B39" s="58" t="s">
        <v>315</v>
      </c>
      <c r="C39" s="22" t="str">
        <f>+Tabla179[[#This Row],[Cuenta]]&amp;" - "&amp;Tabla179[[#This Row],[Descripcion Cuenta]]</f>
        <v>2.01.03.03.1.1 - Arriendo Vehiculo</v>
      </c>
      <c r="D39" s="37"/>
      <c r="E39" s="49">
        <f>SUMIFS(Banco[Monto],Banco[CtaCtbl],$C39,Banco[Año],E$2)</f>
        <v>0</v>
      </c>
      <c r="F39" s="49">
        <f>SUMIFS(Banco[Monto],Banco[CtaCtbl],$C39,Banco[Año],F$2)</f>
        <v>0</v>
      </c>
      <c r="G39" s="49">
        <f>SUMIFS(Banco[Monto],Banco[CtaCtbl],$C39,Banco[Año],G$2)</f>
        <v>0</v>
      </c>
      <c r="H39" s="49">
        <f>SUMIFS(Banco[Monto],Banco[CtaCtbl],$C39,Banco[Año],H$2)</f>
        <v>0</v>
      </c>
      <c r="I39" s="49">
        <f>SUMIFS(Banco[Monto],Banco[CtaCtbl],$C39,Banco[Año],I$2)</f>
        <v>0</v>
      </c>
    </row>
    <row r="40" spans="1:9" ht="21" hidden="1" outlineLevel="5">
      <c r="A40" s="36" t="s">
        <v>316</v>
      </c>
      <c r="B40" s="58" t="s">
        <v>317</v>
      </c>
      <c r="C40" s="22" t="str">
        <f>+Tabla179[[#This Row],[Cuenta]]&amp;" - "&amp;Tabla179[[#This Row],[Descripcion Cuenta]]</f>
        <v>2.01.03.03.1.2 - Combustible</v>
      </c>
      <c r="D40" s="37"/>
      <c r="E40" s="49">
        <f>SUMIFS(Banco[Monto],Banco[CtaCtbl],$C40,Banco[Año],E$2)</f>
        <v>0</v>
      </c>
      <c r="F40" s="49">
        <f>SUMIFS(Banco[Monto],Banco[CtaCtbl],$C40,Banco[Año],F$2)</f>
        <v>0</v>
      </c>
      <c r="G40" s="49">
        <f>SUMIFS(Banco[Monto],Banco[CtaCtbl],$C40,Banco[Año],G$2)</f>
        <v>0</v>
      </c>
      <c r="H40" s="49">
        <f>SUMIFS(Banco[Monto],Banco[CtaCtbl],$C40,Banco[Año],H$2)</f>
        <v>0</v>
      </c>
      <c r="I40" s="49">
        <f>SUMIFS(Banco[Monto],Banco[CtaCtbl],$C40,Banco[Año],I$2)</f>
        <v>-304472</v>
      </c>
    </row>
    <row r="41" spans="1:9" ht="21" hidden="1" outlineLevel="5">
      <c r="A41" s="36" t="s">
        <v>318</v>
      </c>
      <c r="B41" s="58" t="s">
        <v>319</v>
      </c>
      <c r="C41" s="22" t="str">
        <f>+Tabla179[[#This Row],[Cuenta]]&amp;" - "&amp;Tabla179[[#This Row],[Descripcion Cuenta]]</f>
        <v>2.01.03.03.1.3 - Estacionamientos</v>
      </c>
      <c r="D41" s="37"/>
      <c r="E41" s="49">
        <f>SUMIFS(Banco[Monto],Banco[CtaCtbl],$C41,Banco[Año],E$2)</f>
        <v>0</v>
      </c>
      <c r="F41" s="49">
        <f>SUMIFS(Banco[Monto],Banco[CtaCtbl],$C41,Banco[Año],F$2)</f>
        <v>0</v>
      </c>
      <c r="G41" s="49">
        <f>SUMIFS(Banco[Monto],Banco[CtaCtbl],$C41,Banco[Año],G$2)</f>
        <v>0</v>
      </c>
      <c r="H41" s="49">
        <f>SUMIFS(Banco[Monto],Banco[CtaCtbl],$C41,Banco[Año],H$2)</f>
        <v>0</v>
      </c>
      <c r="I41" s="49">
        <f>SUMIFS(Banco[Monto],Banco[CtaCtbl],$C41,Banco[Año],I$2)</f>
        <v>-4250</v>
      </c>
    </row>
    <row r="42" spans="1:9" ht="21" hidden="1" outlineLevel="5">
      <c r="A42" s="36" t="s">
        <v>320</v>
      </c>
      <c r="B42" s="58" t="s">
        <v>321</v>
      </c>
      <c r="C42" s="22" t="str">
        <f>+Tabla179[[#This Row],[Cuenta]]&amp;" - "&amp;Tabla179[[#This Row],[Descripcion Cuenta]]</f>
        <v>2.01.03.03.1.4 - Uso de Vehiculo personal</v>
      </c>
      <c r="D42" s="37"/>
      <c r="E42" s="49">
        <f>SUMIFS(Banco[Monto],Banco[CtaCtbl],$C42,Banco[Año],E$2)</f>
        <v>0</v>
      </c>
      <c r="F42" s="49">
        <f>SUMIFS(Banco[Monto],Banco[CtaCtbl],$C42,Banco[Año],F$2)</f>
        <v>0</v>
      </c>
      <c r="G42" s="49">
        <f>SUMIFS(Banco[Monto],Banco[CtaCtbl],$C42,Banco[Año],G$2)</f>
        <v>0</v>
      </c>
      <c r="H42" s="49">
        <f>SUMIFS(Banco[Monto],Banco[CtaCtbl],$C42,Banco[Año],H$2)</f>
        <v>0</v>
      </c>
      <c r="I42" s="49">
        <f>SUMIFS(Banco[Monto],Banco[CtaCtbl],$C42,Banco[Año],I$2)</f>
        <v>-1233425</v>
      </c>
    </row>
    <row r="43" spans="1:9" ht="21" hidden="1" outlineLevel="5">
      <c r="A43" s="36" t="s">
        <v>322</v>
      </c>
      <c r="B43" s="58" t="s">
        <v>323</v>
      </c>
      <c r="C43" s="22" t="str">
        <f>+Tabla179[[#This Row],[Cuenta]]&amp;" - "&amp;Tabla179[[#This Row],[Descripcion Cuenta]]</f>
        <v>2.01.03.03.1.5 - Pasaje en Bus</v>
      </c>
      <c r="D43" s="37"/>
      <c r="E43" s="49">
        <f>SUMIFS(Banco[Monto],Banco[CtaCtbl],$C43,Banco[Año],E$2)</f>
        <v>0</v>
      </c>
      <c r="F43" s="49">
        <f>SUMIFS(Banco[Monto],Banco[CtaCtbl],$C43,Banco[Año],F$2)</f>
        <v>0</v>
      </c>
      <c r="G43" s="49">
        <f>SUMIFS(Banco[Monto],Banco[CtaCtbl],$C43,Banco[Año],G$2)</f>
        <v>0</v>
      </c>
      <c r="H43" s="49">
        <f>SUMIFS(Banco[Monto],Banco[CtaCtbl],$C43,Banco[Año],H$2)</f>
        <v>0</v>
      </c>
      <c r="I43" s="49">
        <f>SUMIFS(Banco[Monto],Banco[CtaCtbl],$C43,Banco[Año],I$2)</f>
        <v>-29500</v>
      </c>
    </row>
    <row r="44" spans="1:9" ht="21" hidden="1" outlineLevel="5">
      <c r="A44" s="36" t="s">
        <v>324</v>
      </c>
      <c r="B44" s="58" t="s">
        <v>325</v>
      </c>
      <c r="C44" s="22" t="str">
        <f>+Tabla179[[#This Row],[Cuenta]]&amp;" - "&amp;Tabla179[[#This Row],[Descripcion Cuenta]]</f>
        <v>2.01.03.03.1.6 - Pasaje en tren</v>
      </c>
      <c r="D44" s="37"/>
      <c r="E44" s="49">
        <f>SUMIFS(Banco[Monto],Banco[CtaCtbl],$C44,Banco[Año],E$2)</f>
        <v>0</v>
      </c>
      <c r="F44" s="49">
        <f>SUMIFS(Banco[Monto],Banco[CtaCtbl],$C44,Banco[Año],F$2)</f>
        <v>0</v>
      </c>
      <c r="G44" s="49">
        <f>SUMIFS(Banco[Monto],Banco[CtaCtbl],$C44,Banco[Año],G$2)</f>
        <v>0</v>
      </c>
      <c r="H44" s="49">
        <f>SUMIFS(Banco[Monto],Banco[CtaCtbl],$C44,Banco[Año],H$2)</f>
        <v>0</v>
      </c>
      <c r="I44" s="49">
        <f>SUMIFS(Banco[Monto],Banco[CtaCtbl],$C44,Banco[Año],I$2)</f>
        <v>0</v>
      </c>
    </row>
    <row r="45" spans="1:9" ht="21" hidden="1" outlineLevel="5">
      <c r="A45" s="36" t="s">
        <v>326</v>
      </c>
      <c r="B45" s="58" t="s">
        <v>327</v>
      </c>
      <c r="C45" s="22" t="str">
        <f>+Tabla179[[#This Row],[Cuenta]]&amp;" - "&amp;Tabla179[[#This Row],[Descripcion Cuenta]]</f>
        <v>2.01.03.03.1.7 - Taxi, Uber o Similar</v>
      </c>
      <c r="D45" s="37"/>
      <c r="E45" s="49">
        <f>SUMIFS(Banco[Monto],Banco[CtaCtbl],$C45,Banco[Año],E$2)</f>
        <v>0</v>
      </c>
      <c r="F45" s="49">
        <f>SUMIFS(Banco[Monto],Banco[CtaCtbl],$C45,Banco[Año],F$2)</f>
        <v>-761144</v>
      </c>
      <c r="G45" s="49">
        <f>SUMIFS(Banco[Monto],Banco[CtaCtbl],$C45,Banco[Año],G$2)</f>
        <v>0</v>
      </c>
      <c r="H45" s="49">
        <f>SUMIFS(Banco[Monto],Banco[CtaCtbl],$C45,Banco[Año],H$2)</f>
        <v>-6284</v>
      </c>
      <c r="I45" s="49">
        <f>SUMIFS(Banco[Monto],Banco[CtaCtbl],$C45,Banco[Año],I$2)</f>
        <v>-23475</v>
      </c>
    </row>
    <row r="46" spans="1:9" ht="21" hidden="1" outlineLevel="5">
      <c r="A46" s="36" t="s">
        <v>328</v>
      </c>
      <c r="B46" s="58" t="s">
        <v>329</v>
      </c>
      <c r="C46" s="22" t="str">
        <f>+Tabla179[[#This Row],[Cuenta]]&amp;" - "&amp;Tabla179[[#This Row],[Descripcion Cuenta]]</f>
        <v>2.01.03.03.1.8 - Peajes</v>
      </c>
      <c r="D46" s="37"/>
      <c r="E46" s="49">
        <f>SUMIFS(Banco[Monto],Banco[CtaCtbl],$C46,Banco[Año],E$2)</f>
        <v>0</v>
      </c>
      <c r="F46" s="49">
        <f>SUMIFS(Banco[Monto],Banco[CtaCtbl],$C46,Banco[Año],F$2)</f>
        <v>0</v>
      </c>
      <c r="G46" s="49">
        <f>SUMIFS(Banco[Monto],Banco[CtaCtbl],$C46,Banco[Año],G$2)</f>
        <v>0</v>
      </c>
      <c r="H46" s="49">
        <f>SUMIFS(Banco[Monto],Banco[CtaCtbl],$C46,Banco[Año],H$2)</f>
        <v>0</v>
      </c>
      <c r="I46" s="49">
        <f>SUMIFS(Banco[Monto],Banco[CtaCtbl],$C46,Banco[Año],I$2)</f>
        <v>-212674</v>
      </c>
    </row>
    <row r="47" spans="1:9" ht="21" hidden="1" outlineLevel="5">
      <c r="A47" s="36" t="s">
        <v>330</v>
      </c>
      <c r="B47" s="58" t="s">
        <v>331</v>
      </c>
      <c r="C47" s="22" t="str">
        <f>+Tabla179[[#This Row],[Cuenta]]&amp;" - "&amp;Tabla179[[#This Row],[Descripcion Cuenta]]</f>
        <v>2.01.03.03.1.9 - Traslado Terrestre Van/Taxi,etc</v>
      </c>
      <c r="D47" s="37"/>
      <c r="E47" s="49">
        <f>SUMIFS(Banco[Monto],Banco[CtaCtbl],$C47,Banco[Año],E$2)</f>
        <v>-614571</v>
      </c>
      <c r="F47" s="49">
        <f>SUMIFS(Banco[Monto],Banco[CtaCtbl],$C47,Banco[Año],F$2)</f>
        <v>-356076</v>
      </c>
      <c r="G47" s="49">
        <f>SUMIFS(Banco[Monto],Banco[CtaCtbl],$C47,Banco[Año],G$2)</f>
        <v>0</v>
      </c>
      <c r="H47" s="49">
        <f>SUMIFS(Banco[Monto],Banco[CtaCtbl],$C47,Banco[Año],H$2)</f>
        <v>-1518552</v>
      </c>
      <c r="I47" s="49">
        <f>SUMIFS(Banco[Monto],Banco[CtaCtbl],$C47,Banco[Año],I$2)</f>
        <v>0</v>
      </c>
    </row>
    <row r="48" spans="1:9" ht="21" hidden="1" outlineLevel="5">
      <c r="A48" s="36"/>
      <c r="B48" s="58"/>
      <c r="C48" s="22" t="str">
        <f>+Tabla179[[#This Row],[Cuenta]]&amp;" - "&amp;Tabla179[[#This Row],[Descripcion Cuenta]]</f>
        <v xml:space="preserve"> - </v>
      </c>
      <c r="D48" s="37"/>
      <c r="E48" s="49">
        <f>SUMIFS(Banco[Monto],Banco[CtaCtbl],$C48,Banco[Año],E$2)</f>
        <v>0</v>
      </c>
      <c r="F48" s="49">
        <f>SUMIFS(Banco[Monto],Banco[CtaCtbl],$C48,Banco[Año],F$2)</f>
        <v>0</v>
      </c>
      <c r="G48" s="49">
        <f>SUMIFS(Banco[Monto],Banco[CtaCtbl],$C48,Banco[Año],G$2)</f>
        <v>0</v>
      </c>
      <c r="H48" s="49">
        <f>SUMIFS(Banco[Monto],Banco[CtaCtbl],$C48,Banco[Año],H$2)</f>
        <v>0</v>
      </c>
      <c r="I48" s="49">
        <f>SUMIFS(Banco[Monto],Banco[CtaCtbl],$C48,Banco[Año],I$2)</f>
        <v>0</v>
      </c>
    </row>
    <row r="49" spans="1:9" s="78" customFormat="1" ht="21.6" hidden="1" outlineLevel="4">
      <c r="A49" s="64" t="s">
        <v>332</v>
      </c>
      <c r="B49" s="65" t="s">
        <v>333</v>
      </c>
      <c r="C49" s="66" t="str">
        <f>+Tabla179[[#This Row],[Cuenta]]&amp;" - "&amp;Tabla179[[#This Row],[Descripcion Cuenta]]</f>
        <v>2.01.03.03.2 - Transporte Aereo</v>
      </c>
      <c r="D49" s="67"/>
      <c r="E49" s="68">
        <f>SUBTOTAL(9,E50:E53)</f>
        <v>0</v>
      </c>
      <c r="F49" s="68">
        <f>SUBTOTAL(9,F50:F53)</f>
        <v>0</v>
      </c>
      <c r="G49" s="68">
        <f>SUBTOTAL(9,G50:G53)</f>
        <v>0</v>
      </c>
      <c r="H49" s="68">
        <f>SUBTOTAL(9,H50:H53)</f>
        <v>0</v>
      </c>
      <c r="I49" s="68">
        <f>SUBTOTAL(9,I50:I53)</f>
        <v>0</v>
      </c>
    </row>
    <row r="50" spans="1:9" ht="21" hidden="1" outlineLevel="5">
      <c r="A50" s="171" t="s">
        <v>334</v>
      </c>
      <c r="B50" s="172" t="s">
        <v>335</v>
      </c>
      <c r="C50" s="173" t="str">
        <f>+Tabla179[[#This Row],[Cuenta]]&amp;" - "&amp;Tabla179[[#This Row],[Descripcion Cuenta]]</f>
        <v>2.01.03.03.2.1 - Pasaje Aereo</v>
      </c>
      <c r="D50" s="174"/>
      <c r="E50" s="175">
        <f>SUMIFS(Banco[Monto],Banco[CtaCtbl],$C50,Banco[Año],E$2)</f>
        <v>0</v>
      </c>
      <c r="F50" s="175">
        <f>SUMIFS(Banco[Monto],Banco[CtaCtbl],$C50,Banco[Año],F$2)</f>
        <v>0</v>
      </c>
      <c r="G50" s="175">
        <f>SUMIFS(Banco[Monto],Banco[CtaCtbl],$C50,Banco[Año],G$2)</f>
        <v>0</v>
      </c>
      <c r="H50" s="175">
        <f>SUMIFS(Banco[Monto],Banco[CtaCtbl],$C50,Banco[Año],H$2)</f>
        <v>0</v>
      </c>
      <c r="I50" s="175">
        <f>SUMIFS(Banco[Monto],Banco[CtaCtbl],$C50,Banco[Año],I$2)</f>
        <v>0</v>
      </c>
    </row>
    <row r="51" spans="1:9" ht="21" hidden="1" outlineLevel="5">
      <c r="A51" s="171" t="s">
        <v>336</v>
      </c>
      <c r="B51" s="172" t="s">
        <v>337</v>
      </c>
      <c r="C51" s="173" t="str">
        <f>+Tabla179[[#This Row],[Cuenta]]&amp;" - "&amp;Tabla179[[#This Row],[Descripcion Cuenta]]</f>
        <v>2.01.03.03.2.2 - Otros (Multas, Reemision, etc)</v>
      </c>
      <c r="D51" s="174"/>
      <c r="E51" s="175">
        <f>SUMIFS(Banco[Monto],Banco[CtaCtbl],$C51,Banco[Año],E$2)</f>
        <v>0</v>
      </c>
      <c r="F51" s="175">
        <f>SUMIFS(Banco[Monto],Banco[CtaCtbl],$C51,Banco[Año],F$2)</f>
        <v>0</v>
      </c>
      <c r="G51" s="175">
        <f>SUMIFS(Banco[Monto],Banco[CtaCtbl],$C51,Banco[Año],G$2)</f>
        <v>0</v>
      </c>
      <c r="H51" s="175">
        <f>SUMIFS(Banco[Monto],Banco[CtaCtbl],$C51,Banco[Año],H$2)</f>
        <v>0</v>
      </c>
      <c r="I51" s="175">
        <f>SUMIFS(Banco[Monto],Banco[CtaCtbl],$C51,Banco[Año],I$2)</f>
        <v>0</v>
      </c>
    </row>
    <row r="52" spans="1:9" ht="21" hidden="1" outlineLevel="5">
      <c r="A52" s="171" t="s">
        <v>338</v>
      </c>
      <c r="B52" s="172" t="s">
        <v>339</v>
      </c>
      <c r="C52" s="173" t="str">
        <f>+Tabla179[[#This Row],[Cuenta]]&amp;" - "&amp;Tabla179[[#This Row],[Descripcion Cuenta]]</f>
        <v>2.01.03.03.2.3 - Sobre Equipaje</v>
      </c>
      <c r="D52" s="174"/>
      <c r="E52" s="175">
        <f>SUMIFS(Banco[Monto],Banco[CtaCtbl],$C52,Banco[Año],E$2)</f>
        <v>0</v>
      </c>
      <c r="F52" s="175">
        <f>SUMIFS(Banco[Monto],Banco[CtaCtbl],$C52,Banco[Año],F$2)</f>
        <v>0</v>
      </c>
      <c r="G52" s="175">
        <f>SUMIFS(Banco[Monto],Banco[CtaCtbl],$C52,Banco[Año],G$2)</f>
        <v>0</v>
      </c>
      <c r="H52" s="175">
        <f>SUMIFS(Banco[Monto],Banco[CtaCtbl],$C52,Banco[Año],H$2)</f>
        <v>0</v>
      </c>
      <c r="I52" s="175">
        <f>SUMIFS(Banco[Monto],Banco[CtaCtbl],$C52,Banco[Año],I$2)</f>
        <v>0</v>
      </c>
    </row>
    <row r="53" spans="1:9" ht="21" hidden="1" outlineLevel="5">
      <c r="A53" s="171" t="s">
        <v>340</v>
      </c>
      <c r="B53" s="172"/>
      <c r="C53" s="173" t="str">
        <f>+Tabla179[[#This Row],[Cuenta]]&amp;" - "&amp;Tabla179[[#This Row],[Descripcion Cuenta]]</f>
        <v xml:space="preserve">2.01.03.03.2.4 - </v>
      </c>
      <c r="D53" s="174"/>
      <c r="E53" s="175">
        <f>SUMIFS(Banco[Monto],Banco[CtaCtbl],$C53,Banco[Año],E$2)</f>
        <v>0</v>
      </c>
      <c r="F53" s="175">
        <f>SUMIFS(Banco[Monto],Banco[CtaCtbl],$C53,Banco[Año],F$2)</f>
        <v>0</v>
      </c>
      <c r="G53" s="175">
        <f>SUMIFS(Banco[Monto],Banco[CtaCtbl],$C53,Banco[Año],G$2)</f>
        <v>0</v>
      </c>
      <c r="H53" s="175">
        <f>SUMIFS(Banco[Monto],Banco[CtaCtbl],$C53,Banco[Año],H$2)</f>
        <v>0</v>
      </c>
      <c r="I53" s="175">
        <f>SUMIFS(Banco[Monto],Banco[CtaCtbl],$C53,Banco[Año],I$2)</f>
        <v>0</v>
      </c>
    </row>
    <row r="54" spans="1:9" ht="21" hidden="1" outlineLevel="3">
      <c r="A54" s="36" t="s">
        <v>341</v>
      </c>
      <c r="B54" s="16" t="s">
        <v>342</v>
      </c>
      <c r="C54" s="22" t="str">
        <f>+Tabla179[[#This Row],[Cuenta]]&amp;" - "&amp;Tabla179[[#This Row],[Descripcion Cuenta]]</f>
        <v>2.01.03.04 - Comunicaciones</v>
      </c>
      <c r="D54" s="37"/>
      <c r="E54" s="49">
        <f>SUMIFS(Banco[Monto],Banco[CtaCtbl],$C54,Banco[Año],E$2)</f>
        <v>0</v>
      </c>
      <c r="F54" s="49">
        <f>SUMIFS(Banco[Monto],Banco[CtaCtbl],$C54,Banco[Año],F$2)</f>
        <v>0</v>
      </c>
      <c r="G54" s="49">
        <f>SUMIFS(Banco[Monto],Banco[CtaCtbl],$C54,Banco[Año],G$2)</f>
        <v>0</v>
      </c>
      <c r="H54" s="49">
        <f>SUMIFS(Banco[Monto],Banco[CtaCtbl],$C54,Banco[Año],H$2)</f>
        <v>0</v>
      </c>
      <c r="I54" s="49">
        <f>SUMIFS(Banco[Monto],Banco[CtaCtbl],$C54,Banco[Año],I$2)</f>
        <v>-154283</v>
      </c>
    </row>
    <row r="55" spans="1:9" ht="21" hidden="1" outlineLevel="3">
      <c r="A55" s="36" t="s">
        <v>343</v>
      </c>
      <c r="B55" s="16" t="s">
        <v>344</v>
      </c>
      <c r="C55" s="22" t="str">
        <f>+Tabla179[[#This Row],[Cuenta]]&amp;" - "&amp;Tabla179[[#This Row],[Descripcion Cuenta]]</f>
        <v xml:space="preserve">2.01.03.05 - Otros Servicios </v>
      </c>
      <c r="D55" s="37"/>
      <c r="E55" s="49">
        <f>SUMIFS(Banco[Monto],Banco[CtaCtbl],$C55,Banco[Año],E$2)</f>
        <v>0</v>
      </c>
      <c r="F55" s="49">
        <f>SUMIFS(Banco[Monto],Banco[CtaCtbl],$C55,Banco[Año],F$2)</f>
        <v>0</v>
      </c>
      <c r="G55" s="49">
        <f>SUMIFS(Banco[Monto],Banco[CtaCtbl],$C55,Banco[Año],G$2)</f>
        <v>0</v>
      </c>
      <c r="H55" s="49">
        <f>SUMIFS(Banco[Monto],Banco[CtaCtbl],$C55,Banco[Año],H$2)</f>
        <v>0</v>
      </c>
      <c r="I55" s="49">
        <f>SUMIFS(Banco[Monto],Banco[CtaCtbl],$C55,Banco[Año],I$2)</f>
        <v>0</v>
      </c>
    </row>
    <row r="56" spans="1:9" ht="24" hidden="1" customHeight="1" outlineLevel="2" collapsed="1">
      <c r="A56" s="38" t="s">
        <v>345</v>
      </c>
      <c r="B56" s="18" t="s">
        <v>346</v>
      </c>
      <c r="C56" s="19" t="str">
        <f>+Tabla179[[#This Row],[Cuenta]]&amp;" - "&amp;Tabla179[[#This Row],[Descripcion Cuenta]]</f>
        <v>2.01.04 - Representacion</v>
      </c>
      <c r="D56" s="39"/>
      <c r="E56" s="44">
        <f>SUBTOTAL(9,E57:E63)</f>
        <v>0</v>
      </c>
      <c r="F56" s="44">
        <f>SUBTOTAL(9,F57:F63)</f>
        <v>-963752</v>
      </c>
      <c r="G56" s="44">
        <f>SUBTOTAL(9,G57:G63)</f>
        <v>-419015</v>
      </c>
      <c r="H56" s="44">
        <f>SUBTOTAL(9,H57:H63)</f>
        <v>0</v>
      </c>
      <c r="I56" s="44">
        <f>SUBTOTAL(9,I57:I63)</f>
        <v>-728954</v>
      </c>
    </row>
    <row r="57" spans="1:9" s="78" customFormat="1" ht="21.6" hidden="1" outlineLevel="3">
      <c r="A57" s="64" t="s">
        <v>347</v>
      </c>
      <c r="B57" s="70" t="s">
        <v>348</v>
      </c>
      <c r="C57" s="66" t="str">
        <f>+Tabla179[[#This Row],[Cuenta]]&amp;" - "&amp;Tabla179[[#This Row],[Descripcion Cuenta]]</f>
        <v>2.01.04.01 - Alimentacion</v>
      </c>
      <c r="D57" s="67"/>
      <c r="E57" s="68">
        <f>SUBTOTAL(9,E58:E61)</f>
        <v>0</v>
      </c>
      <c r="F57" s="68">
        <f>SUBTOTAL(9,F58:F61)</f>
        <v>-34560</v>
      </c>
      <c r="G57" s="68">
        <f>SUBTOTAL(9,G58:G61)</f>
        <v>0</v>
      </c>
      <c r="H57" s="68">
        <f>SUBTOTAL(9,H58:H61)</f>
        <v>0</v>
      </c>
      <c r="I57" s="68">
        <f>SUBTOTAL(9,I58:I61)</f>
        <v>-299650</v>
      </c>
    </row>
    <row r="58" spans="1:9" ht="21" hidden="1" outlineLevel="4">
      <c r="A58" s="176" t="s">
        <v>349</v>
      </c>
      <c r="B58" s="177" t="s">
        <v>350</v>
      </c>
      <c r="C58" s="178" t="str">
        <f>+Tabla179[[#This Row],[Cuenta]]&amp;" - "&amp;Tabla179[[#This Row],[Descripcion Cuenta]]</f>
        <v>2.01.04.01.1 - Desayuno</v>
      </c>
      <c r="D58" s="179"/>
      <c r="E58" s="180">
        <f>SUMIFS(Banco[Monto],Banco[CtaCtbl],$C58,Banco[Año],E$2)</f>
        <v>0</v>
      </c>
      <c r="F58" s="180">
        <f>SUMIFS(Banco[Monto],Banco[CtaCtbl],$C58,Banco[Año],F$2)</f>
        <v>0</v>
      </c>
      <c r="G58" s="180">
        <f>SUMIFS(Banco[Monto],Banco[CtaCtbl],$C58,Banco[Año],G$2)</f>
        <v>0</v>
      </c>
      <c r="H58" s="180">
        <f>SUMIFS(Banco[Monto],Banco[CtaCtbl],$C58,Banco[Año],H$2)</f>
        <v>0</v>
      </c>
      <c r="I58" s="180">
        <f>SUMIFS(Banco[Monto],Banco[CtaCtbl],$C58,Banco[Año],I$2)</f>
        <v>-35380</v>
      </c>
    </row>
    <row r="59" spans="1:9" ht="21" hidden="1" outlineLevel="4">
      <c r="A59" s="176" t="s">
        <v>351</v>
      </c>
      <c r="B59" s="177" t="s">
        <v>352</v>
      </c>
      <c r="C59" s="178" t="str">
        <f>+Tabla179[[#This Row],[Cuenta]]&amp;" - "&amp;Tabla179[[#This Row],[Descripcion Cuenta]]</f>
        <v>2.01.04.01.2 - Almuerzo</v>
      </c>
      <c r="D59" s="179"/>
      <c r="E59" s="180">
        <f>SUMIFS(Banco[Monto],Banco[CtaCtbl],$C59,Banco[Año],E$2)</f>
        <v>0</v>
      </c>
      <c r="F59" s="180">
        <f>SUMIFS(Banco[Monto],Banco[CtaCtbl],$C59,Banco[Año],F$2)</f>
        <v>-34560</v>
      </c>
      <c r="G59" s="180">
        <f>SUMIFS(Banco[Monto],Banco[CtaCtbl],$C59,Banco[Año],G$2)</f>
        <v>0</v>
      </c>
      <c r="H59" s="180">
        <f>SUMIFS(Banco[Monto],Banco[CtaCtbl],$C59,Banco[Año],H$2)</f>
        <v>0</v>
      </c>
      <c r="I59" s="180">
        <f>SUMIFS(Banco[Monto],Banco[CtaCtbl],$C59,Banco[Año],I$2)</f>
        <v>-158165</v>
      </c>
    </row>
    <row r="60" spans="1:9" ht="21" hidden="1" outlineLevel="4">
      <c r="A60" s="176" t="s">
        <v>353</v>
      </c>
      <c r="B60" s="177" t="s">
        <v>354</v>
      </c>
      <c r="C60" s="178" t="str">
        <f>+Tabla179[[#This Row],[Cuenta]]&amp;" - "&amp;Tabla179[[#This Row],[Descripcion Cuenta]]</f>
        <v>2.01.04.01.3 - Cena</v>
      </c>
      <c r="D60" s="179"/>
      <c r="E60" s="180">
        <f>SUMIFS(Banco[Monto],Banco[CtaCtbl],$C60,Banco[Año],E$2)</f>
        <v>0</v>
      </c>
      <c r="F60" s="180">
        <f>SUMIFS(Banco[Monto],Banco[CtaCtbl],$C60,Banco[Año],F$2)</f>
        <v>0</v>
      </c>
      <c r="G60" s="180">
        <f>SUMIFS(Banco[Monto],Banco[CtaCtbl],$C60,Banco[Año],G$2)</f>
        <v>0</v>
      </c>
      <c r="H60" s="180">
        <f>SUMIFS(Banco[Monto],Banco[CtaCtbl],$C60,Banco[Año],H$2)</f>
        <v>0</v>
      </c>
      <c r="I60" s="180">
        <f>SUMIFS(Banco[Monto],Banco[CtaCtbl],$C60,Banco[Año],I$2)</f>
        <v>-106105</v>
      </c>
    </row>
    <row r="61" spans="1:9" ht="21" hidden="1" outlineLevel="4">
      <c r="A61" s="176" t="s">
        <v>355</v>
      </c>
      <c r="B61" s="177" t="s">
        <v>356</v>
      </c>
      <c r="C61" s="178" t="str">
        <f>+Tabla179[[#This Row],[Cuenta]]&amp;" - "&amp;Tabla179[[#This Row],[Descripcion Cuenta]]</f>
        <v>2.01.04.01.4 - Comida Cambio de Directiva Sindical</v>
      </c>
      <c r="D61" s="179"/>
      <c r="E61" s="180">
        <f>SUMIFS(Banco[Monto],Banco[CtaCtbl],$C61,Banco[Año],E$2)</f>
        <v>0</v>
      </c>
      <c r="F61" s="180">
        <f>SUMIFS(Banco[Monto],Banco[CtaCtbl],$C61,Banco[Año],F$2)</f>
        <v>0</v>
      </c>
      <c r="G61" s="180">
        <f>SUMIFS(Banco[Monto],Banco[CtaCtbl],$C61,Banco[Año],G$2)</f>
        <v>0</v>
      </c>
      <c r="H61" s="180">
        <f>SUMIFS(Banco[Monto],Banco[CtaCtbl],$C61,Banco[Año],H$2)</f>
        <v>0</v>
      </c>
      <c r="I61" s="180">
        <f>SUMIFS(Banco[Monto],Banco[CtaCtbl],$C61,Banco[Año],I$2)</f>
        <v>0</v>
      </c>
    </row>
    <row r="62" spans="1:9" ht="21" hidden="1" outlineLevel="3">
      <c r="A62" s="36" t="s">
        <v>357</v>
      </c>
      <c r="B62" s="16" t="s">
        <v>358</v>
      </c>
      <c r="C62" s="22" t="str">
        <f>+Tabla179[[#This Row],[Cuenta]]&amp;" - "&amp;Tabla179[[#This Row],[Descripcion Cuenta]]</f>
        <v>2.01.04.02 - Alojamiento</v>
      </c>
      <c r="D62" s="37"/>
      <c r="E62" s="49">
        <f>SUMIFS(Banco[Monto],Banco[CtaCtbl],$C62,Banco[Año],E$2)</f>
        <v>0</v>
      </c>
      <c r="F62" s="49">
        <f>SUMIFS(Banco[Monto],Banco[CtaCtbl],$C62,Banco[Año],F$2)</f>
        <v>-165450</v>
      </c>
      <c r="G62" s="49">
        <f>SUMIFS(Banco[Monto],Banco[CtaCtbl],$C62,Banco[Año],G$2)</f>
        <v>0</v>
      </c>
      <c r="H62" s="49">
        <f>SUMIFS(Banco[Monto],Banco[CtaCtbl],$C62,Banco[Año],H$2)</f>
        <v>0</v>
      </c>
      <c r="I62" s="49">
        <f>SUMIFS(Banco[Monto],Banco[CtaCtbl],$C62,Banco[Año],I$2)</f>
        <v>-422450</v>
      </c>
    </row>
    <row r="63" spans="1:9" s="102" customFormat="1" ht="21" hidden="1" outlineLevel="3">
      <c r="A63" s="31" t="s">
        <v>359</v>
      </c>
      <c r="B63" s="103" t="s">
        <v>360</v>
      </c>
      <c r="C63" s="15" t="str">
        <f>+Tabla179[[#This Row],[Cuenta]]&amp;" - "&amp;Tabla179[[#This Row],[Descripcion Cuenta]]</f>
        <v>2.01.04.03 - Otros gastos varios</v>
      </c>
      <c r="D63" s="30"/>
      <c r="E63" s="49">
        <f>SUMIFS(Banco[Monto],Banco[CtaCtbl],$C63,Banco[Año],E$2)</f>
        <v>0</v>
      </c>
      <c r="F63" s="49">
        <f>SUMIFS(Banco[Monto],Banco[CtaCtbl],$C63,Banco[Año],F$2)</f>
        <v>-763742</v>
      </c>
      <c r="G63" s="49">
        <f>SUMIFS(Banco[Monto],Banco[CtaCtbl],$C63,Banco[Año],G$2)</f>
        <v>-419015</v>
      </c>
      <c r="H63" s="49">
        <f>SUMIFS(Banco[Monto],Banco[CtaCtbl],$C63,Banco[Año],H$2)</f>
        <v>0</v>
      </c>
      <c r="I63" s="49">
        <f>SUMIFS(Banco[Monto],Banco[CtaCtbl],$C63,Banco[Año],I$2)</f>
        <v>-6854</v>
      </c>
    </row>
    <row r="64" spans="1:9" ht="21.6" outlineLevel="1" collapsed="1">
      <c r="A64" s="50" t="s">
        <v>361</v>
      </c>
      <c r="B64" s="51" t="s">
        <v>362</v>
      </c>
      <c r="C64" s="52" t="str">
        <f>+Tabla179[[#This Row],[Cuenta]]&amp;" - "&amp;Tabla179[[#This Row],[Descripcion Cuenta]]</f>
        <v>2.02 - Gastos Ordinario</v>
      </c>
      <c r="D64" s="53" t="s">
        <v>363</v>
      </c>
      <c r="E64" s="55">
        <f>SUBTOTAL(9,E65:E77)</f>
        <v>0</v>
      </c>
      <c r="F64" s="55">
        <f>SUBTOTAL(9,F65:F77)</f>
        <v>-15816</v>
      </c>
      <c r="G64" s="55">
        <f>SUBTOTAL(9,G65:G77)</f>
        <v>-277778</v>
      </c>
      <c r="H64" s="55">
        <f>SUBTOTAL(9,H65:H77)</f>
        <v>-692800</v>
      </c>
      <c r="I64" s="55">
        <f>SUBTOTAL(9,I65:I77)</f>
        <v>-318652</v>
      </c>
    </row>
    <row r="65" spans="1:9" ht="21" hidden="1" outlineLevel="2">
      <c r="A65" s="36" t="s">
        <v>364</v>
      </c>
      <c r="B65" s="25" t="s">
        <v>365</v>
      </c>
      <c r="C65" s="22" t="str">
        <f>+Tabla179[[#This Row],[Cuenta]]&amp;" - "&amp;Tabla179[[#This Row],[Descripcion Cuenta]]</f>
        <v>2.02.01 - Licencia Software Annual</v>
      </c>
      <c r="D65" s="37"/>
      <c r="E65" s="49">
        <f>SUMIFS(Banco[Monto],Banco[CtaCtbl],$C65,Banco[Año],E$2)</f>
        <v>0</v>
      </c>
      <c r="F65" s="49">
        <f>SUMIFS(Banco[Monto],Banco[CtaCtbl],$C65,Banco[Año],F$2)</f>
        <v>0</v>
      </c>
      <c r="G65" s="49">
        <f>SUMIFS(Banco[Monto],Banco[CtaCtbl],$C65,Banco[Año],G$2)</f>
        <v>0</v>
      </c>
      <c r="H65" s="49">
        <f>SUMIFS(Banco[Monto],Banco[CtaCtbl],$C65,Banco[Año],H$2)</f>
        <v>-606900</v>
      </c>
      <c r="I65" s="49">
        <f>SUMIFS(Banco[Monto],Banco[CtaCtbl],$C65,Banco[Año],I$2)</f>
        <v>0</v>
      </c>
    </row>
    <row r="66" spans="1:9" ht="21" hidden="1" outlineLevel="2">
      <c r="A66" s="36" t="s">
        <v>366</v>
      </c>
      <c r="B66" s="25" t="s">
        <v>367</v>
      </c>
      <c r="C66" s="22" t="str">
        <f>+Tabla179[[#This Row],[Cuenta]]&amp;" - "&amp;Tabla179[[#This Row],[Descripcion Cuenta]]</f>
        <v>2.02.02 - Sitio corporativo web</v>
      </c>
      <c r="D66" s="37"/>
      <c r="E66" s="49">
        <f>SUMIFS(Banco[Monto],Banco[CtaCtbl],$C66,Banco[Año],E$2)</f>
        <v>0</v>
      </c>
      <c r="F66" s="49">
        <f>SUMIFS(Banco[Monto],Banco[CtaCtbl],$C66,Banco[Año],F$2)</f>
        <v>0</v>
      </c>
      <c r="G66" s="49">
        <f>SUMIFS(Banco[Monto],Banco[CtaCtbl],$C66,Banco[Año],G$2)</f>
        <v>0</v>
      </c>
      <c r="H66" s="49">
        <f>SUMIFS(Banco[Monto],Banco[CtaCtbl],$C66,Banco[Año],H$2)</f>
        <v>0</v>
      </c>
      <c r="I66" s="49">
        <f>SUMIFS(Banco[Monto],Banco[CtaCtbl],$C66,Banco[Año],I$2)</f>
        <v>-207152</v>
      </c>
    </row>
    <row r="67" spans="1:9" ht="21" hidden="1" outlineLevel="2">
      <c r="A67" s="36" t="s">
        <v>368</v>
      </c>
      <c r="B67" s="25" t="s">
        <v>369</v>
      </c>
      <c r="C67" s="22" t="str">
        <f>+Tabla179[[#This Row],[Cuenta]]&amp;" - "&amp;Tabla179[[#This Row],[Descripcion Cuenta]]</f>
        <v>2.02.03 - Compra Equipamiento Electronico</v>
      </c>
      <c r="D67" s="37"/>
      <c r="E67" s="49">
        <f>SUMIFS(Banco[Monto],Banco[CtaCtbl],$C67,Banco[Año],E$2)</f>
        <v>0</v>
      </c>
      <c r="F67" s="49">
        <f>SUMIFS(Banco[Monto],Banco[CtaCtbl],$C67,Banco[Año],F$2)</f>
        <v>0</v>
      </c>
      <c r="G67" s="49">
        <f>SUMIFS(Banco[Monto],Banco[CtaCtbl],$C67,Banco[Año],G$2)</f>
        <v>0</v>
      </c>
      <c r="H67" s="49">
        <f>SUMIFS(Banco[Monto],Banco[CtaCtbl],$C67,Banco[Año],H$2)</f>
        <v>0</v>
      </c>
      <c r="I67" s="49">
        <f>SUMIFS(Banco[Monto],Banco[CtaCtbl],$C67,Banco[Año],I$2)</f>
        <v>0</v>
      </c>
    </row>
    <row r="68" spans="1:9" ht="21" hidden="1" outlineLevel="2">
      <c r="A68" s="36" t="s">
        <v>370</v>
      </c>
      <c r="B68" s="25" t="s">
        <v>371</v>
      </c>
      <c r="C68" s="22" t="str">
        <f>+Tabla179[[#This Row],[Cuenta]]&amp;" - "&amp;Tabla179[[#This Row],[Descripcion Cuenta]]</f>
        <v>2.02.04 - Mobiliario</v>
      </c>
      <c r="D68" s="37"/>
      <c r="E68" s="49">
        <f>SUMIFS(Banco[Monto],Banco[CtaCtbl],$C68,Banco[Año],E$2)</f>
        <v>0</v>
      </c>
      <c r="F68" s="49">
        <f>SUMIFS(Banco[Monto],Banco[CtaCtbl],$C68,Banco[Año],F$2)</f>
        <v>0</v>
      </c>
      <c r="G68" s="49">
        <f>SUMIFS(Banco[Monto],Banco[CtaCtbl],$C68,Banco[Año],G$2)</f>
        <v>0</v>
      </c>
      <c r="H68" s="49">
        <f>SUMIFS(Banco[Monto],Banco[CtaCtbl],$C68,Banco[Año],H$2)</f>
        <v>0</v>
      </c>
      <c r="I68" s="49">
        <f>SUMIFS(Banco[Monto],Banco[CtaCtbl],$C68,Banco[Año],I$2)</f>
        <v>0</v>
      </c>
    </row>
    <row r="69" spans="1:9" ht="21" hidden="1" outlineLevel="2">
      <c r="A69" s="36" t="s">
        <v>372</v>
      </c>
      <c r="B69" s="25"/>
      <c r="C69" s="22" t="str">
        <f>+Tabla179[[#This Row],[Cuenta]]&amp;" - "&amp;Tabla179[[#This Row],[Descripcion Cuenta]]</f>
        <v xml:space="preserve">2.02.05 - </v>
      </c>
      <c r="D69" s="37"/>
      <c r="E69" s="49">
        <f>SUMIFS(Banco[Monto],Banco[CtaCtbl],$C69,Banco[Año],E$2)</f>
        <v>0</v>
      </c>
      <c r="F69" s="49">
        <f>SUMIFS(Banco[Monto],Banco[CtaCtbl],$C69,Banco[Año],F$2)</f>
        <v>0</v>
      </c>
      <c r="G69" s="49">
        <f>SUMIFS(Banco[Monto],Banco[CtaCtbl],$C69,Banco[Año],G$2)</f>
        <v>0</v>
      </c>
      <c r="H69" s="49">
        <f>SUMIFS(Banco[Monto],Banco[CtaCtbl],$C69,Banco[Año],H$2)</f>
        <v>0</v>
      </c>
      <c r="I69" s="49">
        <f>SUMIFS(Banco[Monto],Banco[CtaCtbl],$C69,Banco[Año],I$2)</f>
        <v>0</v>
      </c>
    </row>
    <row r="70" spans="1:9" ht="21.6" hidden="1" outlineLevel="2" collapsed="1">
      <c r="A70" s="151" t="s">
        <v>375</v>
      </c>
      <c r="B70" s="152" t="s">
        <v>378</v>
      </c>
      <c r="C70" s="153" t="str">
        <f>+Tabla179[[#This Row],[Cuenta]]&amp;" - "&amp;Tabla179[[#This Row],[Descripcion Cuenta]]</f>
        <v>2.02.06 - Regalo Corporativo</v>
      </c>
      <c r="D70" s="154"/>
      <c r="E70" s="155">
        <f>SUBTOTAL(9,E71:E72)</f>
        <v>0</v>
      </c>
      <c r="F70" s="155">
        <f>SUBTOTAL(9,F71:F72)</f>
        <v>0</v>
      </c>
      <c r="G70" s="155">
        <f>SUBTOTAL(9,G71:G72)</f>
        <v>0</v>
      </c>
      <c r="H70" s="155">
        <f>SUBTOTAL(9,H71:H72)</f>
        <v>0</v>
      </c>
      <c r="I70" s="155">
        <f>SUBTOTAL(9,I71:I72)</f>
        <v>0</v>
      </c>
    </row>
    <row r="71" spans="1:9" ht="21" hidden="1" outlineLevel="3">
      <c r="A71" s="161" t="s">
        <v>379</v>
      </c>
      <c r="B71" s="162" t="s">
        <v>380</v>
      </c>
      <c r="C71" s="163" t="str">
        <f>+Tabla179[[#This Row],[Cuenta]]&amp;" - "&amp;Tabla179[[#This Row],[Descripcion Cuenta]]</f>
        <v>2.02.06.1 - Regalo Corportivo (Aniversario)</v>
      </c>
      <c r="D71" s="164"/>
      <c r="E71" s="165">
        <f>SUMIFS(Banco[Monto],Banco[CtaCtbl],$C71,Banco[Año],E$2)</f>
        <v>0</v>
      </c>
      <c r="F71" s="165">
        <f>SUMIFS(Banco[Monto],Banco[CtaCtbl],$C71,Banco[Año],F$2)</f>
        <v>0</v>
      </c>
      <c r="G71" s="165">
        <f>SUMIFS(Banco[Monto],Banco[CtaCtbl],$C71,Banco[Año],G$2)</f>
        <v>0</v>
      </c>
      <c r="H71" s="165">
        <f>SUMIFS(Banco[Monto],Banco[CtaCtbl],$C71,Banco[Año],H$2)</f>
        <v>0</v>
      </c>
      <c r="I71" s="165">
        <f>SUMIFS(Banco[Monto],Banco[CtaCtbl],$C71,Banco[Año],I$2)</f>
        <v>0</v>
      </c>
    </row>
    <row r="72" spans="1:9" ht="21.6" hidden="1" outlineLevel="3" thickBot="1">
      <c r="A72" s="166" t="s">
        <v>381</v>
      </c>
      <c r="B72" s="167" t="s">
        <v>382</v>
      </c>
      <c r="C72" s="168" t="str">
        <f>+Tabla179[[#This Row],[Cuenta]]&amp;" - "&amp;Tabla179[[#This Row],[Descripcion Cuenta]]</f>
        <v>2.02.06.2 - Regalo Corportivo - Extraordinario</v>
      </c>
      <c r="D72" s="169"/>
      <c r="E72" s="170">
        <f>SUMIFS(Banco[Monto],Banco[CtaCtbl],$C72,Banco[Año],E$2)</f>
        <v>0</v>
      </c>
      <c r="F72" s="170">
        <f>SUMIFS(Banco[Monto],Banco[CtaCtbl],$C72,Banco[Año],F$2)</f>
        <v>0</v>
      </c>
      <c r="G72" s="170">
        <f>SUMIFS(Banco[Monto],Banco[CtaCtbl],$C72,Banco[Año],G$2)</f>
        <v>0</v>
      </c>
      <c r="H72" s="170">
        <f>SUMIFS(Banco[Monto],Banco[CtaCtbl],$C72,Banco[Año],H$2)</f>
        <v>0</v>
      </c>
      <c r="I72" s="170">
        <f>SUMIFS(Banco[Monto],Banco[CtaCtbl],$C72,Banco[Año],I$2)</f>
        <v>0</v>
      </c>
    </row>
    <row r="73" spans="1:9" ht="21" hidden="1" outlineLevel="2">
      <c r="A73" s="156" t="s">
        <v>383</v>
      </c>
      <c r="B73" s="157" t="s">
        <v>384</v>
      </c>
      <c r="C73" s="158" t="str">
        <f>+Tabla179[[#This Row],[Cuenta]]&amp;" - "&amp;Tabla179[[#This Row],[Descripcion Cuenta]]</f>
        <v>2.02.07 - Coronas de Caridad Condolencias</v>
      </c>
      <c r="D73" s="159"/>
      <c r="E73" s="160">
        <f>SUMIFS(Banco[Monto],Banco[CtaCtbl],$C73,Banco[Año],E$2)</f>
        <v>0</v>
      </c>
      <c r="F73" s="160">
        <f>SUMIFS(Banco[Monto],Banco[CtaCtbl],$C73,Banco[Año],F$2)</f>
        <v>0</v>
      </c>
      <c r="G73" s="160">
        <f>SUMIFS(Banco[Monto],Banco[CtaCtbl],$C73,Banco[Año],G$2)</f>
        <v>0</v>
      </c>
      <c r="H73" s="160">
        <f>SUMIFS(Banco[Monto],Banco[CtaCtbl],$C73,Banco[Año],H$2)</f>
        <v>-85900</v>
      </c>
      <c r="I73" s="160">
        <f>SUMIFS(Banco[Monto],Banco[CtaCtbl],$C73,Banco[Año],I$2)</f>
        <v>-111500</v>
      </c>
    </row>
    <row r="74" spans="1:9" ht="21" hidden="1" outlineLevel="2">
      <c r="A74" s="36" t="s">
        <v>385</v>
      </c>
      <c r="B74" s="25" t="s">
        <v>386</v>
      </c>
      <c r="C74" s="22" t="str">
        <f>+Tabla179[[#This Row],[Cuenta]]&amp;" - "&amp;Tabla179[[#This Row],[Descripcion Cuenta]]</f>
        <v>2.02.08 - Aporte Extraordinario al Socio</v>
      </c>
      <c r="D74" s="37" t="s">
        <v>387</v>
      </c>
      <c r="E74" s="49">
        <f>SUMIFS(Banco[Monto],Banco[CtaCtbl],$C74,Banco[Año],E$2)</f>
        <v>0</v>
      </c>
      <c r="F74" s="49">
        <f>SUMIFS(Banco[Monto],Banco[CtaCtbl],$C74,Banco[Año],F$2)</f>
        <v>-15816</v>
      </c>
      <c r="G74" s="49">
        <f>SUMIFS(Banco[Monto],Banco[CtaCtbl],$C74,Banco[Año],G$2)</f>
        <v>-277778</v>
      </c>
      <c r="H74" s="49">
        <f>SUMIFS(Banco[Monto],Banco[CtaCtbl],$C74,Banco[Año],H$2)</f>
        <v>0</v>
      </c>
      <c r="I74" s="49">
        <f>SUMIFS(Banco[Monto],Banco[CtaCtbl],$C74,Banco[Año],I$2)</f>
        <v>0</v>
      </c>
    </row>
    <row r="75" spans="1:9" ht="21" hidden="1" outlineLevel="2">
      <c r="A75" s="36" t="s">
        <v>388</v>
      </c>
      <c r="B75" s="25" t="s">
        <v>389</v>
      </c>
      <c r="C75" s="22" t="str">
        <f>+Tabla179[[#This Row],[Cuenta]]&amp;" - "&amp;Tabla179[[#This Row],[Descripcion Cuenta]]</f>
        <v>2.02.09 - Arriendo Inmuebles</v>
      </c>
      <c r="D75" s="37"/>
      <c r="E75" s="49">
        <f>SUMIFS(Banco[Monto],Banco[CtaCtbl],$C75,Banco[Año],E$2)</f>
        <v>0</v>
      </c>
      <c r="F75" s="49">
        <f>SUMIFS(Banco[Monto],Banco[CtaCtbl],$C75,Banco[Año],F$2)</f>
        <v>0</v>
      </c>
      <c r="G75" s="49">
        <f>SUMIFS(Banco[Monto],Banco[CtaCtbl],$C75,Banco[Año],G$2)</f>
        <v>0</v>
      </c>
      <c r="H75" s="49">
        <f>SUMIFS(Banco[Monto],Banco[CtaCtbl],$C75,Banco[Año],H$2)</f>
        <v>0</v>
      </c>
      <c r="I75" s="49">
        <f>SUMIFS(Banco[Monto],Banco[CtaCtbl],$C75,Banco[Año],I$2)</f>
        <v>0</v>
      </c>
    </row>
    <row r="76" spans="1:9" ht="21" hidden="1" outlineLevel="2">
      <c r="A76" s="36" t="s">
        <v>390</v>
      </c>
      <c r="B76" s="25"/>
      <c r="C76" s="22" t="str">
        <f>+Tabla179[[#This Row],[Cuenta]]&amp;" - "&amp;Tabla179[[#This Row],[Descripcion Cuenta]]</f>
        <v xml:space="preserve">2.02.10 - </v>
      </c>
      <c r="D76" s="37"/>
      <c r="E76" s="49">
        <f>SUMIFS(Banco[Monto],Banco[CtaCtbl],$C76,Banco[Año],E$2)</f>
        <v>0</v>
      </c>
      <c r="F76" s="49">
        <f>SUMIFS(Banco[Monto],Banco[CtaCtbl],$C76,Banco[Año],F$2)</f>
        <v>0</v>
      </c>
      <c r="G76" s="49">
        <f>SUMIFS(Banco[Monto],Banco[CtaCtbl],$C76,Banco[Año],G$2)</f>
        <v>0</v>
      </c>
      <c r="H76" s="49">
        <f>SUMIFS(Banco[Monto],Banco[CtaCtbl],$C76,Banco[Año],H$2)</f>
        <v>0</v>
      </c>
      <c r="I76" s="49">
        <f>SUMIFS(Banco[Monto],Banco[CtaCtbl],$C76,Banco[Año],I$2)</f>
        <v>0</v>
      </c>
    </row>
    <row r="77" spans="1:9" ht="21" hidden="1" outlineLevel="2">
      <c r="A77" s="36" t="s">
        <v>391</v>
      </c>
      <c r="B77" s="25"/>
      <c r="C77" s="22" t="str">
        <f>+Tabla179[[#This Row],[Cuenta]]&amp;" - "&amp;Tabla179[[#This Row],[Descripcion Cuenta]]</f>
        <v xml:space="preserve">2.02.11 - </v>
      </c>
      <c r="D77" s="37"/>
      <c r="E77" s="49">
        <f>SUMIFS(Banco[Monto],Banco[CtaCtbl],$C77,Banco[Año],E$2)</f>
        <v>0</v>
      </c>
      <c r="F77" s="49">
        <f>SUMIFS(Banco[Monto],Banco[CtaCtbl],$C77,Banco[Año],F$2)</f>
        <v>0</v>
      </c>
      <c r="G77" s="49">
        <f>SUMIFS(Banco[Monto],Banco[CtaCtbl],$C77,Banco[Año],G$2)</f>
        <v>0</v>
      </c>
      <c r="H77" s="49">
        <f>SUMIFS(Banco[Monto],Banco[CtaCtbl],$C77,Banco[Año],H$2)</f>
        <v>0</v>
      </c>
      <c r="I77" s="49">
        <f>SUMIFS(Banco[Monto],Banco[CtaCtbl],$C77,Banco[Año],I$2)</f>
        <v>0</v>
      </c>
    </row>
    <row r="78" spans="1:9" s="11" customFormat="1" ht="21.6">
      <c r="A78" s="29">
        <v>3</v>
      </c>
      <c r="B78" s="13" t="s">
        <v>392</v>
      </c>
      <c r="C78" s="13" t="str">
        <f>+Tabla179[[#This Row],[Cuenta]]&amp;" - "&amp;Tabla179[[#This Row],[Descripcion Cuenta]]</f>
        <v>3 - Banco</v>
      </c>
      <c r="D78" s="35"/>
      <c r="E78" s="42">
        <f>SUBTOTAL(9,E79:E93)</f>
        <v>-18312</v>
      </c>
      <c r="F78" s="42">
        <f>SUBTOTAL(9,F79:F93)</f>
        <v>-234749</v>
      </c>
      <c r="G78" s="42">
        <f>SUBTOTAL(9,G79:G93)</f>
        <v>-256368</v>
      </c>
      <c r="H78" s="42">
        <f>SUBTOTAL(9,H79:H93)</f>
        <v>-298345</v>
      </c>
      <c r="I78" s="42">
        <f>SUBTOTAL(9,I79:I93)</f>
        <v>-19110413</v>
      </c>
    </row>
    <row r="79" spans="1:9" ht="21.6" outlineLevel="1" collapsed="1">
      <c r="A79" s="50" t="s">
        <v>393</v>
      </c>
      <c r="B79" s="51" t="s">
        <v>394</v>
      </c>
      <c r="C79" s="52" t="str">
        <f>+Tabla179[[#This Row],[Cuenta]]&amp;" - "&amp;Tabla179[[#This Row],[Descripcion Cuenta]]</f>
        <v>3.01 - Deposito Plazo</v>
      </c>
      <c r="D79" s="53"/>
      <c r="E79" s="55">
        <f>SUBTOTAL(9,E80:E82)</f>
        <v>0</v>
      </c>
      <c r="F79" s="55">
        <f>SUBTOTAL(9,F80:F82)</f>
        <v>0</v>
      </c>
      <c r="G79" s="55">
        <f>SUBTOTAL(9,G80:G82)</f>
        <v>0</v>
      </c>
      <c r="H79" s="55">
        <f>SUBTOTAL(9,H80:H82)</f>
        <v>0</v>
      </c>
      <c r="I79" s="55">
        <f>SUBTOTAL(9,I80:I82)</f>
        <v>0</v>
      </c>
    </row>
    <row r="80" spans="1:9" ht="21" hidden="1" outlineLevel="2">
      <c r="A80" s="135" t="s">
        <v>395</v>
      </c>
      <c r="B80" s="136" t="s">
        <v>433</v>
      </c>
      <c r="C80" s="137" t="str">
        <f>+Tabla179[[#This Row],[Cuenta]]&amp;" - "&amp;Tabla179[[#This Row],[Descripcion Cuenta]]</f>
        <v>3.01.01 - a 30</v>
      </c>
      <c r="D80" s="138"/>
      <c r="E80" s="49">
        <f>SUMIFS(Banco[Monto],Banco[CtaCtbl],$C80,Banco[Año],E$2)</f>
        <v>0</v>
      </c>
      <c r="F80" s="49">
        <f>SUMIFS(Banco[Monto],Banco[CtaCtbl],$C80,Banco[Año],F$2)</f>
        <v>0</v>
      </c>
      <c r="G80" s="49">
        <f>SUMIFS(Banco[Monto],Banco[CtaCtbl],$C80,Banco[Año],G$2)</f>
        <v>0</v>
      </c>
      <c r="H80" s="49">
        <f>SUMIFS(Banco[Monto],Banco[CtaCtbl],$C80,Banco[Año],H$2)</f>
        <v>0</v>
      </c>
      <c r="I80" s="49">
        <f>SUMIFS(Banco[Monto],Banco[CtaCtbl],$C80,Banco[Año],I$2)</f>
        <v>0</v>
      </c>
    </row>
    <row r="81" spans="1:9" ht="21" hidden="1" outlineLevel="2">
      <c r="A81" s="135" t="s">
        <v>397</v>
      </c>
      <c r="B81" s="136" t="s">
        <v>434</v>
      </c>
      <c r="C81" s="137" t="str">
        <f>+Tabla179[[#This Row],[Cuenta]]&amp;" - "&amp;Tabla179[[#This Row],[Descripcion Cuenta]]</f>
        <v>3.01.02 - a 60</v>
      </c>
      <c r="D81" s="138"/>
      <c r="E81" s="49">
        <f>SUMIFS(Banco[Monto],Banco[CtaCtbl],$C81,Banco[Año],E$2)</f>
        <v>0</v>
      </c>
      <c r="F81" s="49">
        <f>SUMIFS(Banco[Monto],Banco[CtaCtbl],$C81,Banco[Año],F$2)</f>
        <v>0</v>
      </c>
      <c r="G81" s="49">
        <f>SUMIFS(Banco[Monto],Banco[CtaCtbl],$C81,Banco[Año],G$2)</f>
        <v>0</v>
      </c>
      <c r="H81" s="49">
        <f>SUMIFS(Banco[Monto],Banco[CtaCtbl],$C81,Banco[Año],H$2)</f>
        <v>0</v>
      </c>
      <c r="I81" s="49">
        <f>SUMIFS(Banco[Monto],Banco[CtaCtbl],$C81,Banco[Año],I$2)</f>
        <v>0</v>
      </c>
    </row>
    <row r="82" spans="1:9" ht="21" hidden="1" outlineLevel="2">
      <c r="A82" s="135" t="s">
        <v>399</v>
      </c>
      <c r="B82" s="136" t="s">
        <v>435</v>
      </c>
      <c r="C82" s="137" t="str">
        <f>+Tabla179[[#This Row],[Cuenta]]&amp;" - "&amp;Tabla179[[#This Row],[Descripcion Cuenta]]</f>
        <v>3.01.03 - a 90 y mas</v>
      </c>
      <c r="D82" s="138"/>
      <c r="E82" s="49">
        <f>SUMIFS(Banco[Monto],Banco[CtaCtbl],$C82,Banco[Año],E$2)</f>
        <v>0</v>
      </c>
      <c r="F82" s="49">
        <f>SUMIFS(Banco[Monto],Banco[CtaCtbl],$C82,Banco[Año],F$2)</f>
        <v>0</v>
      </c>
      <c r="G82" s="49">
        <f>SUMIFS(Banco[Monto],Banco[CtaCtbl],$C82,Banco[Año],G$2)</f>
        <v>0</v>
      </c>
      <c r="H82" s="49">
        <f>SUMIFS(Banco[Monto],Banco[CtaCtbl],$C82,Banco[Año],H$2)</f>
        <v>0</v>
      </c>
      <c r="I82" s="49">
        <f>SUMIFS(Banco[Monto],Banco[CtaCtbl],$C82,Banco[Año],I$2)</f>
        <v>0</v>
      </c>
    </row>
    <row r="83" spans="1:9" ht="21.6" outlineLevel="1" collapsed="1">
      <c r="A83" s="186" t="s">
        <v>401</v>
      </c>
      <c r="B83" s="187" t="s">
        <v>402</v>
      </c>
      <c r="C83" s="188" t="str">
        <f>+Tabla179[[#This Row],[Cuenta]]&amp;" - "&amp;Tabla179[[#This Row],[Descripcion Cuenta]]</f>
        <v>3.02 - Inversiones Fondos Mutuos</v>
      </c>
      <c r="D83" s="189"/>
      <c r="E83" s="190">
        <f>SUBTOTAL(9,E84:E86)</f>
        <v>0</v>
      </c>
      <c r="F83" s="190">
        <f>SUBTOTAL(9,F84:F86)</f>
        <v>0</v>
      </c>
      <c r="G83" s="190">
        <f>SUBTOTAL(9,G84:G86)</f>
        <v>0</v>
      </c>
      <c r="H83" s="190">
        <f>SUBTOTAL(9,H84:H86)</f>
        <v>0</v>
      </c>
      <c r="I83" s="190">
        <f>SUBTOTAL(9,I84:I86)</f>
        <v>0</v>
      </c>
    </row>
    <row r="84" spans="1:9" s="102" customFormat="1" ht="21" hidden="1" outlineLevel="2">
      <c r="A84" s="135" t="s">
        <v>403</v>
      </c>
      <c r="B84" s="139"/>
      <c r="C84" s="140" t="str">
        <f>+Tabla179[[#This Row],[Cuenta]]&amp;" - "&amp;Tabla179[[#This Row],[Descripcion Cuenta]]</f>
        <v xml:space="preserve">3.02.01 - </v>
      </c>
      <c r="D84" s="138"/>
      <c r="E84" s="49">
        <f>SUMIFS(Banco[Monto],Banco[CtaCtbl],$C84,Banco[Año],E$2)</f>
        <v>0</v>
      </c>
      <c r="F84" s="49">
        <f>SUMIFS(Banco[Monto],Banco[CtaCtbl],$C84,Banco[Año],F$2)</f>
        <v>0</v>
      </c>
      <c r="G84" s="49">
        <f>SUMIFS(Banco[Monto],Banco[CtaCtbl],$C84,Banco[Año],G$2)</f>
        <v>0</v>
      </c>
      <c r="H84" s="49">
        <f>SUMIFS(Banco[Monto],Banco[CtaCtbl],$C84,Banco[Año],H$2)</f>
        <v>0</v>
      </c>
      <c r="I84" s="49">
        <f>SUMIFS(Banco[Monto],Banco[CtaCtbl],$C84,Banco[Año],I$2)</f>
        <v>0</v>
      </c>
    </row>
    <row r="85" spans="1:9" s="102" customFormat="1" ht="21" hidden="1" outlineLevel="2">
      <c r="A85" s="135" t="s">
        <v>404</v>
      </c>
      <c r="B85" s="139"/>
      <c r="C85" s="140" t="str">
        <f>+Tabla179[[#This Row],[Cuenta]]&amp;" - "&amp;Tabla179[[#This Row],[Descripcion Cuenta]]</f>
        <v xml:space="preserve">3.02.02 - </v>
      </c>
      <c r="D85" s="138"/>
      <c r="E85" s="49">
        <f>SUMIFS(Banco[Monto],Banco[CtaCtbl],$C85,Banco[Año],E$2)</f>
        <v>0</v>
      </c>
      <c r="F85" s="49">
        <f>SUMIFS(Banco[Monto],Banco[CtaCtbl],$C85,Banco[Año],F$2)</f>
        <v>0</v>
      </c>
      <c r="G85" s="49">
        <f>SUMIFS(Banco[Monto],Banco[CtaCtbl],$C85,Banco[Año],G$2)</f>
        <v>0</v>
      </c>
      <c r="H85" s="49">
        <f>SUMIFS(Banco[Monto],Banco[CtaCtbl],$C85,Banco[Año],H$2)</f>
        <v>0</v>
      </c>
      <c r="I85" s="49">
        <f>SUMIFS(Banco[Monto],Banco[CtaCtbl],$C85,Banco[Año],I$2)</f>
        <v>0</v>
      </c>
    </row>
    <row r="86" spans="1:9" s="102" customFormat="1" ht="21" hidden="1" outlineLevel="2">
      <c r="A86" s="135" t="s">
        <v>405</v>
      </c>
      <c r="B86" s="139"/>
      <c r="C86" s="140" t="str">
        <f>+Tabla179[[#This Row],[Cuenta]]&amp;" - "&amp;Tabla179[[#This Row],[Descripcion Cuenta]]</f>
        <v xml:space="preserve">3.02.03 - </v>
      </c>
      <c r="D86" s="138"/>
      <c r="E86" s="49">
        <f>SUMIFS(Banco[Monto],Banco[CtaCtbl],$C86,Banco[Año],E$2)</f>
        <v>0</v>
      </c>
      <c r="F86" s="49">
        <f>SUMIFS(Banco[Monto],Banco[CtaCtbl],$C86,Banco[Año],F$2)</f>
        <v>0</v>
      </c>
      <c r="G86" s="49">
        <f>SUMIFS(Banco[Monto],Banco[CtaCtbl],$C86,Banco[Año],G$2)</f>
        <v>0</v>
      </c>
      <c r="H86" s="49">
        <f>SUMIFS(Banco[Monto],Banco[CtaCtbl],$C86,Banco[Año],H$2)</f>
        <v>0</v>
      </c>
      <c r="I86" s="49">
        <f>SUMIFS(Banco[Monto],Banco[CtaCtbl],$C86,Banco[Año],I$2)</f>
        <v>0</v>
      </c>
    </row>
    <row r="87" spans="1:9" ht="21" customHeight="1" outlineLevel="1" collapsed="1">
      <c r="A87" s="50" t="s">
        <v>406</v>
      </c>
      <c r="B87" s="191" t="s">
        <v>407</v>
      </c>
      <c r="C87" s="56" t="str">
        <f>+Tabla179[[#This Row],[Cuenta]]&amp;" - "&amp;Tabla179[[#This Row],[Descripcion Cuenta]]</f>
        <v>3.03 - Gastos Financieros</v>
      </c>
      <c r="D87" s="53"/>
      <c r="E87" s="57">
        <f>SUBTOTAL(9,E88:E90)</f>
        <v>-18312</v>
      </c>
      <c r="F87" s="57">
        <f>SUBTOTAL(9,F88:F90)</f>
        <v>-234749</v>
      </c>
      <c r="G87" s="57">
        <f>SUBTOTAL(9,G88:G90)</f>
        <v>-256368</v>
      </c>
      <c r="H87" s="57">
        <f>SUBTOTAL(9,H88:H90)</f>
        <v>-298345</v>
      </c>
      <c r="I87" s="57">
        <f>SUBTOTAL(9,I88:I90)</f>
        <v>-311844</v>
      </c>
    </row>
    <row r="88" spans="1:9" ht="21" hidden="1" outlineLevel="2">
      <c r="A88" s="135" t="s">
        <v>408</v>
      </c>
      <c r="B88" s="141" t="s">
        <v>409</v>
      </c>
      <c r="C88" s="137" t="str">
        <f>+Tabla179[[#This Row],[Cuenta]]&amp;" - "&amp;Tabla179[[#This Row],[Descripcion Cuenta]]</f>
        <v>3.03.01 - Pago Comisiones</v>
      </c>
      <c r="D88" s="138"/>
      <c r="E88" s="49">
        <f>SUMIFS(Banco[Monto],Banco[CtaCtbl],$C88,Banco[Año],E$2)</f>
        <v>-18312</v>
      </c>
      <c r="F88" s="49">
        <f>SUMIFS(Banco[Monto],Banco[CtaCtbl],$C88,Banco[Año],F$2)</f>
        <v>-234749</v>
      </c>
      <c r="G88" s="49">
        <f>SUMIFS(Banco[Monto],Banco[CtaCtbl],$C88,Banco[Año],G$2)</f>
        <v>-256368</v>
      </c>
      <c r="H88" s="49">
        <f>SUMIFS(Banco[Monto],Banco[CtaCtbl],$C88,Banco[Año],H$2)</f>
        <v>-267345</v>
      </c>
      <c r="I88" s="49">
        <f>SUMIFS(Banco[Monto],Banco[CtaCtbl],$C88,Banco[Año],I$2)</f>
        <v>-311844</v>
      </c>
    </row>
    <row r="89" spans="1:9" ht="21" hidden="1" outlineLevel="2">
      <c r="A89" s="135" t="s">
        <v>410</v>
      </c>
      <c r="B89" s="141" t="s">
        <v>411</v>
      </c>
      <c r="C89" s="137" t="str">
        <f>+Tabla179[[#This Row],[Cuenta]]&amp;" - "&amp;Tabla179[[#This Row],[Descripcion Cuenta]]</f>
        <v>3.03.02 - Pago Impuestos</v>
      </c>
      <c r="D89" s="138"/>
      <c r="E89" s="49">
        <f>SUMIFS(Banco[Monto],Banco[CtaCtbl],$C89,Banco[Año],E$2)</f>
        <v>0</v>
      </c>
      <c r="F89" s="49">
        <f>SUMIFS(Banco[Monto],Banco[CtaCtbl],$C89,Banco[Año],F$2)</f>
        <v>0</v>
      </c>
      <c r="G89" s="49">
        <f>SUMIFS(Banco[Monto],Banco[CtaCtbl],$C89,Banco[Año],G$2)</f>
        <v>0</v>
      </c>
      <c r="H89" s="49">
        <f>SUMIFS(Banco[Monto],Banco[CtaCtbl],$C89,Banco[Año],H$2)</f>
        <v>0</v>
      </c>
      <c r="I89" s="49">
        <f>SUMIFS(Banco[Monto],Banco[CtaCtbl],$C89,Banco[Año],I$2)</f>
        <v>0</v>
      </c>
    </row>
    <row r="90" spans="1:9" ht="21" hidden="1" outlineLevel="2">
      <c r="A90" s="135" t="s">
        <v>412</v>
      </c>
      <c r="B90" s="141" t="s">
        <v>413</v>
      </c>
      <c r="C90" s="137" t="str">
        <f>+Tabla179[[#This Row],[Cuenta]]&amp;" - "&amp;Tabla179[[#This Row],[Descripcion Cuenta]]</f>
        <v xml:space="preserve">3.03.03 - Otros Pagos </v>
      </c>
      <c r="D90" s="138"/>
      <c r="E90" s="49">
        <f>SUMIFS(Banco[Monto],Banco[CtaCtbl],$C90,Banco[Año],E$2)</f>
        <v>0</v>
      </c>
      <c r="F90" s="49">
        <f>SUMIFS(Banco[Monto],Banco[CtaCtbl],$C90,Banco[Año],F$2)</f>
        <v>0</v>
      </c>
      <c r="G90" s="49">
        <f>SUMIFS(Banco[Monto],Banco[CtaCtbl],$C90,Banco[Año],G$2)</f>
        <v>0</v>
      </c>
      <c r="H90" s="49">
        <f>SUMIFS(Banco[Monto],Banco[CtaCtbl],$C90,Banco[Año],H$2)</f>
        <v>-31000</v>
      </c>
      <c r="I90" s="49">
        <f>SUMIFS(Banco[Monto],Banco[CtaCtbl],$C90,Banco[Año],I$2)</f>
        <v>0</v>
      </c>
    </row>
    <row r="91" spans="1:9" ht="21.6" outlineLevel="1" collapsed="1">
      <c r="A91" s="50" t="s">
        <v>414</v>
      </c>
      <c r="B91" s="51" t="s">
        <v>415</v>
      </c>
      <c r="C91" s="52" t="str">
        <f>+Tabla179[[#This Row],[Cuenta]]&amp;" - "&amp;Tabla179[[#This Row],[Descripcion Cuenta]]</f>
        <v>3.04 - Ganancias de Inversiones</v>
      </c>
      <c r="D91" s="53"/>
      <c r="E91" s="55">
        <f>SUBTOTAL(9,E92:E93)</f>
        <v>0</v>
      </c>
      <c r="F91" s="55">
        <f>SUBTOTAL(9,F92:F93)</f>
        <v>0</v>
      </c>
      <c r="G91" s="55">
        <f>SUBTOTAL(9,G92:G93)</f>
        <v>0</v>
      </c>
      <c r="H91" s="55">
        <f>SUBTOTAL(9,H92:H93)</f>
        <v>0</v>
      </c>
      <c r="I91" s="55">
        <f>SUBTOTAL(9,I92:I93)</f>
        <v>-18798569</v>
      </c>
    </row>
    <row r="92" spans="1:9" ht="21" hidden="1" outlineLevel="2">
      <c r="A92" s="31" t="s">
        <v>416</v>
      </c>
      <c r="B92" s="28" t="s">
        <v>417</v>
      </c>
      <c r="C92" s="26" t="str">
        <f>+Tabla179[[#This Row],[Cuenta]]&amp;" - "&amp;Tabla179[[#This Row],[Descripcion Cuenta]]</f>
        <v>3.04.01 - Depositos a Plazo</v>
      </c>
      <c r="D92" s="30"/>
      <c r="E92" s="49">
        <f>SUMIFS(Banco[Monto],Banco[CtaCtbl],$C92,Banco[Año],E$2)</f>
        <v>0</v>
      </c>
      <c r="F92" s="49">
        <f>SUMIFS(Banco[Monto],Banco[CtaCtbl],$C92,Banco[Año],F$2)</f>
        <v>0</v>
      </c>
      <c r="G92" s="49">
        <f>SUMIFS(Banco[Monto],Banco[CtaCtbl],$C92,Banco[Año],G$2)</f>
        <v>0</v>
      </c>
      <c r="H92" s="49">
        <f>SUMIFS(Banco[Monto],Banco[CtaCtbl],$C92,Banco[Año],H$2)</f>
        <v>0</v>
      </c>
      <c r="I92" s="49">
        <f>SUMIFS(Banco[Monto],Banco[CtaCtbl],$C92,Banco[Año],I$2)</f>
        <v>-18798569</v>
      </c>
    </row>
    <row r="93" spans="1:9" ht="21" hidden="1" outlineLevel="2">
      <c r="A93" s="31" t="s">
        <v>418</v>
      </c>
      <c r="B93" s="28" t="s">
        <v>419</v>
      </c>
      <c r="C93" s="26" t="str">
        <f>+Tabla179[[#This Row],[Cuenta]]&amp;" - "&amp;Tabla179[[#This Row],[Descripcion Cuenta]]</f>
        <v>3.04.02 - Fondos Mutuos</v>
      </c>
      <c r="D93" s="30"/>
      <c r="E93" s="49">
        <f>SUMIFS(Banco[Monto],Banco[CtaCtbl],$C93,Banco[Año],E$2)</f>
        <v>0</v>
      </c>
      <c r="F93" s="49">
        <f>SUMIFS(Banco[Monto],Banco[CtaCtbl],$C93,Banco[Año],F$2)</f>
        <v>0</v>
      </c>
      <c r="G93" s="49">
        <f>SUMIFS(Banco[Monto],Banco[CtaCtbl],$C93,Banco[Año],G$2)</f>
        <v>0</v>
      </c>
      <c r="H93" s="49">
        <f>SUMIFS(Banco[Monto],Banco[CtaCtbl],$C93,Banco[Año],H$2)</f>
        <v>0</v>
      </c>
      <c r="I93" s="49">
        <f>SUMIFS(Banco[Monto],Banco[CtaCtbl],$C93,Banco[Año],I$2)</f>
        <v>0</v>
      </c>
    </row>
    <row r="94" spans="1:9" s="107" customFormat="1" ht="24">
      <c r="A94" s="114" t="s">
        <v>420</v>
      </c>
      <c r="B94" s="115"/>
      <c r="C94" s="115"/>
      <c r="D94" s="116"/>
      <c r="E94" s="117">
        <f>SUBTOTAL(9,E3:E93)</f>
        <v>11406393</v>
      </c>
      <c r="F94" s="117">
        <f>SUBTOTAL(9,F3:F93)</f>
        <v>143270825</v>
      </c>
      <c r="G94" s="117">
        <f>SUBTOTAL(9,G3:G93)</f>
        <v>43038270</v>
      </c>
      <c r="H94" s="117">
        <f>SUBTOTAL(9,H3:H93)</f>
        <v>45284132</v>
      </c>
      <c r="I94" s="117">
        <f>SUBTOTAL(9,I3:I93)</f>
        <v>551274943</v>
      </c>
    </row>
    <row r="95" spans="1:9" s="121" customFormat="1" ht="11.4" customHeight="1" thickBot="1">
      <c r="A95" s="118"/>
      <c r="B95" s="119"/>
      <c r="C95" s="119" t="str">
        <f>+Tabla179[[#This Row],[Cuenta]]&amp;" - "&amp;Tabla179[[#This Row],[Descripcion Cuenta]]</f>
        <v xml:space="preserve"> - </v>
      </c>
      <c r="D95" s="120"/>
      <c r="E95" s="111"/>
      <c r="F95" s="111"/>
      <c r="G95" s="111"/>
      <c r="H95" s="111"/>
      <c r="I95" s="111"/>
    </row>
    <row r="96" spans="1:9" s="106" customFormat="1" ht="24.6" thickBot="1">
      <c r="A96" s="122" t="s">
        <v>421</v>
      </c>
      <c r="B96" s="123"/>
      <c r="C96" s="123"/>
      <c r="D96" s="124"/>
      <c r="E96" s="125">
        <f>'Plan de Cuentas'!I101</f>
        <v>0</v>
      </c>
      <c r="F96" s="125">
        <f>E98</f>
        <v>11406393</v>
      </c>
      <c r="G96" s="125">
        <f>F98</f>
        <v>417837379</v>
      </c>
      <c r="H96" s="125">
        <f>G98</f>
        <v>29116777</v>
      </c>
      <c r="I96" s="125">
        <f>H98</f>
        <v>15223505</v>
      </c>
    </row>
    <row r="97" spans="1:9" s="112" customFormat="1" ht="9.6" customHeight="1" thickBot="1">
      <c r="A97" s="108"/>
      <c r="B97" s="109"/>
      <c r="C97" s="109" t="str">
        <f>+Tabla179[[#This Row],[Cuenta]]&amp;" - "&amp;Tabla179[[#This Row],[Descripcion Cuenta]]</f>
        <v xml:space="preserve"> - </v>
      </c>
      <c r="D97" s="110"/>
      <c r="E97" s="111"/>
      <c r="F97" s="111"/>
      <c r="G97" s="111"/>
      <c r="H97" s="111"/>
      <c r="I97" s="111"/>
    </row>
    <row r="98" spans="1:9" s="113" customFormat="1" ht="33" customHeight="1" thickBot="1">
      <c r="A98" s="126" t="s">
        <v>422</v>
      </c>
      <c r="B98" s="127"/>
      <c r="C98" s="127"/>
      <c r="D98" s="128"/>
      <c r="E98" s="129">
        <f>E96+E94</f>
        <v>11406393</v>
      </c>
      <c r="F98" s="129">
        <f>'Plan de Cuentas'!V102</f>
        <v>417837379</v>
      </c>
      <c r="G98" s="129">
        <f>'Plan de Cuentas'!AI102</f>
        <v>29116777</v>
      </c>
      <c r="H98" s="129">
        <f>'Plan de Cuentas'!AV102</f>
        <v>15223505</v>
      </c>
      <c r="I98" s="129">
        <f>'Plan de Cuentas'!BI102</f>
        <v>28662513</v>
      </c>
    </row>
    <row r="99" spans="1:9" ht="18.600000000000001" thickBot="1"/>
    <row r="100" spans="1:9" s="146" customFormat="1" ht="33" customHeight="1" thickBot="1">
      <c r="A100" s="142" t="s">
        <v>423</v>
      </c>
      <c r="B100" s="143"/>
      <c r="C100" s="143"/>
      <c r="D100" s="144"/>
      <c r="E100" s="145">
        <f>'Plan de Cuentas'!I103</f>
        <v>11406393</v>
      </c>
      <c r="F100" s="145">
        <f>'Plan de Cuentas'!V103</f>
        <v>417837379</v>
      </c>
      <c r="G100" s="145">
        <f>'Plan de Cuentas'!AI103</f>
        <v>29116777</v>
      </c>
      <c r="H100" s="145">
        <f>'Plan de Cuentas'!AV103</f>
        <v>15223505</v>
      </c>
      <c r="I100" s="145"/>
    </row>
    <row r="101" spans="1:9" ht="18.600000000000001" thickBot="1"/>
    <row r="102" spans="1:9" s="146" customFormat="1" ht="33" customHeight="1" thickBot="1">
      <c r="A102" s="142" t="s">
        <v>424</v>
      </c>
      <c r="B102" s="143"/>
      <c r="C102" s="143"/>
      <c r="D102" s="144"/>
      <c r="E102" s="145">
        <f>E98-E100</f>
        <v>0</v>
      </c>
      <c r="F102" s="145">
        <f>F98-F100</f>
        <v>0</v>
      </c>
      <c r="G102" s="145">
        <f>G98-G100</f>
        <v>0</v>
      </c>
      <c r="H102" s="145">
        <f>H98-H100</f>
        <v>0</v>
      </c>
      <c r="I102" s="145"/>
    </row>
  </sheetData>
  <phoneticPr fontId="4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6F52D-1854-49B6-9A90-44606FEAA0C7}">
  <sheetPr codeName="Hoja4"/>
  <dimension ref="B3:L14"/>
  <sheetViews>
    <sheetView workbookViewId="0">
      <selection activeCell="J6" sqref="J6"/>
    </sheetView>
  </sheetViews>
  <sheetFormatPr baseColWidth="10" defaultColWidth="11" defaultRowHeight="15.6"/>
  <cols>
    <col min="2" max="2" width="17.5" customWidth="1"/>
    <col min="3" max="3" width="10.19921875" customWidth="1"/>
    <col min="6" max="6" width="13.09765625" customWidth="1"/>
    <col min="7" max="7" width="12" customWidth="1"/>
    <col min="8" max="8" width="13.09765625" customWidth="1"/>
    <col min="9" max="9" width="10.19921875" customWidth="1"/>
    <col min="10" max="10" width="12" customWidth="1"/>
    <col min="11" max="11" width="12.5" customWidth="1"/>
  </cols>
  <sheetData>
    <row r="3" spans="2:12" ht="28.8">
      <c r="B3" s="421" t="s">
        <v>417</v>
      </c>
      <c r="C3" s="421"/>
      <c r="D3" s="421"/>
      <c r="E3" s="421"/>
      <c r="F3" s="421"/>
      <c r="G3" s="421"/>
      <c r="H3" s="421"/>
      <c r="I3" s="421"/>
      <c r="J3" s="421"/>
      <c r="K3" s="421"/>
    </row>
    <row r="4" spans="2:12" ht="31.2">
      <c r="B4" s="4" t="s">
        <v>436</v>
      </c>
      <c r="C4" s="4" t="s">
        <v>437</v>
      </c>
      <c r="D4" s="4" t="s">
        <v>438</v>
      </c>
      <c r="E4" s="4" t="s">
        <v>439</v>
      </c>
      <c r="F4" s="4" t="s">
        <v>440</v>
      </c>
      <c r="G4" s="4" t="s">
        <v>441</v>
      </c>
      <c r="H4" s="4" t="s">
        <v>442</v>
      </c>
      <c r="I4" s="4" t="s">
        <v>443</v>
      </c>
      <c r="J4" s="4" t="s">
        <v>444</v>
      </c>
      <c r="K4" s="4" t="s">
        <v>445</v>
      </c>
      <c r="L4" s="4" t="s">
        <v>446</v>
      </c>
    </row>
    <row r="5" spans="2:12">
      <c r="B5" s="245" t="s">
        <v>447</v>
      </c>
      <c r="C5" s="246">
        <v>4.6500000000000004</v>
      </c>
      <c r="D5" s="245">
        <v>35</v>
      </c>
      <c r="E5" s="245" t="s">
        <v>448</v>
      </c>
      <c r="F5" s="247">
        <v>50000000</v>
      </c>
      <c r="G5" s="247">
        <v>56423513</v>
      </c>
      <c r="H5" s="247">
        <v>56695600</v>
      </c>
      <c r="I5" s="248">
        <v>45814</v>
      </c>
      <c r="J5" s="249">
        <f>IF(Tabla7[[#This Row],[Acumulado al Termino]]&lt;&gt;"",Tabla7[[#This Row],[Acumulado al Termino]]-Tabla7[[#This Row],[Monto Inicial Periodo]],0)</f>
        <v>272087</v>
      </c>
      <c r="K5" s="250">
        <f>H5-F5</f>
        <v>6695600</v>
      </c>
      <c r="L5" s="245" t="s">
        <v>449</v>
      </c>
    </row>
    <row r="6" spans="2:12">
      <c r="B6" s="245" t="s">
        <v>447</v>
      </c>
      <c r="C6" s="246">
        <v>4.8</v>
      </c>
      <c r="D6" s="245">
        <v>32</v>
      </c>
      <c r="E6" s="245" t="s">
        <v>448</v>
      </c>
      <c r="F6" s="247">
        <v>35000000</v>
      </c>
      <c r="G6" s="247">
        <v>36062929</v>
      </c>
      <c r="H6" s="247">
        <v>36201431</v>
      </c>
      <c r="I6" s="251">
        <v>45820</v>
      </c>
      <c r="J6" s="249">
        <f>IF(Tabla7[[#This Row],[Acumulado al Termino]]&lt;&gt;"",Tabla7[[#This Row],[Acumulado al Termino]]-Tabla7[[#This Row],[Monto Inicial Periodo]],0)</f>
        <v>138502</v>
      </c>
      <c r="K6" s="250">
        <f>H6-F6</f>
        <v>1201431</v>
      </c>
      <c r="L6" s="245" t="s">
        <v>449</v>
      </c>
    </row>
    <row r="7" spans="2:12">
      <c r="B7" s="263" t="s">
        <v>447</v>
      </c>
      <c r="C7" s="264">
        <v>4.6500000000000004</v>
      </c>
      <c r="D7" s="263">
        <v>32</v>
      </c>
      <c r="E7" s="263" t="s">
        <v>448</v>
      </c>
      <c r="F7" s="265">
        <v>20000000</v>
      </c>
      <c r="G7" s="265">
        <v>21077002</v>
      </c>
      <c r="H7" s="265">
        <v>21167024</v>
      </c>
      <c r="I7" s="266">
        <v>45827</v>
      </c>
      <c r="J7" s="267">
        <f>IF(Tabla7[[#This Row],[Acumulado al Termino]]&lt;&gt;"",Tabla7[[#This Row],[Acumulado al Termino]]-Tabla7[[#This Row],[Monto Inicial Periodo]],0)</f>
        <v>90022</v>
      </c>
      <c r="K7" s="268">
        <f>H7-F7</f>
        <v>1167024</v>
      </c>
      <c r="L7" s="263" t="s">
        <v>449</v>
      </c>
    </row>
    <row r="8" spans="2:12">
      <c r="B8" t="s">
        <v>447</v>
      </c>
      <c r="C8" s="316"/>
      <c r="D8">
        <v>90</v>
      </c>
      <c r="E8" t="s">
        <v>448</v>
      </c>
      <c r="F8" s="3">
        <v>20000000</v>
      </c>
      <c r="G8" s="3">
        <v>20000000</v>
      </c>
      <c r="H8" s="3"/>
      <c r="J8" s="89">
        <f>IF(Tabla7[[#This Row],[Acumulado al Termino]]&lt;&gt;"",Tabla7[[#This Row],[Acumulado al Termino]]-Tabla7[[#This Row],[Monto Inicial Periodo]],0)</f>
        <v>0</v>
      </c>
      <c r="K8" s="317">
        <f>H8-F8</f>
        <v>-20000000</v>
      </c>
      <c r="L8" t="s">
        <v>502</v>
      </c>
    </row>
    <row r="9" spans="2:12">
      <c r="B9" t="s">
        <v>447</v>
      </c>
      <c r="C9" s="316"/>
      <c r="D9">
        <v>90</v>
      </c>
      <c r="E9" t="s">
        <v>448</v>
      </c>
      <c r="F9" s="3">
        <v>45000000</v>
      </c>
      <c r="G9" s="3">
        <v>45000000</v>
      </c>
      <c r="H9" s="3"/>
      <c r="J9" s="89">
        <f>IF(Tabla7[[#This Row],[Acumulado al Termino]]&lt;&gt;"",Tabla7[[#This Row],[Acumulado al Termino]]-Tabla7[[#This Row],[Monto Inicial Periodo]],0)</f>
        <v>0</v>
      </c>
      <c r="K9" s="317">
        <f>H9-F9</f>
        <v>-45000000</v>
      </c>
    </row>
    <row r="10" spans="2:12">
      <c r="C10" s="316"/>
      <c r="F10" s="3"/>
      <c r="G10" s="3"/>
      <c r="H10" s="3"/>
      <c r="J10" s="89"/>
      <c r="K10" s="317"/>
    </row>
    <row r="11" spans="2:12">
      <c r="C11" s="316"/>
      <c r="F11" s="3"/>
      <c r="G11" s="3"/>
      <c r="H11" s="3"/>
      <c r="J11" s="89"/>
      <c r="K11" s="317"/>
    </row>
    <row r="12" spans="2:12">
      <c r="F12" s="89">
        <f>SUM(F5:F9)</f>
        <v>170000000</v>
      </c>
      <c r="G12" s="89"/>
      <c r="H12" s="89">
        <f>SUM(H5:H9)</f>
        <v>114064055</v>
      </c>
      <c r="I12" s="89"/>
      <c r="J12" s="89">
        <f>SUM(J5:J9)</f>
        <v>500611</v>
      </c>
      <c r="K12" s="89">
        <f>SUM(K5:K9)</f>
        <v>-55935945</v>
      </c>
    </row>
    <row r="14" spans="2:12" ht="21">
      <c r="F14" t="s">
        <v>450</v>
      </c>
      <c r="I14" s="420">
        <f>F12+K12</f>
        <v>114064055</v>
      </c>
      <c r="J14" s="420"/>
      <c r="K14" s="420"/>
    </row>
  </sheetData>
  <mergeCells count="2">
    <mergeCell ref="I14:K14"/>
    <mergeCell ref="B3:K3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05CF7-0099-9D4D-B551-0B701A78AF8A}">
  <sheetPr codeName="Hoja5"/>
  <dimension ref="A1:I30"/>
  <sheetViews>
    <sheetView workbookViewId="0">
      <pane xSplit="7" ySplit="1" topLeftCell="L2" activePane="bottomRight" state="frozen"/>
      <selection pane="topRight" activeCell="G1" sqref="G1"/>
      <selection pane="bottomLeft" activeCell="A2" sqref="A2"/>
      <selection pane="bottomRight" activeCell="L1" sqref="L1:M1"/>
    </sheetView>
  </sheetViews>
  <sheetFormatPr baseColWidth="10" defaultColWidth="11" defaultRowHeight="15.6"/>
  <cols>
    <col min="1" max="1" width="11.09765625" customWidth="1"/>
    <col min="2" max="2" width="11.09765625" bestFit="1" customWidth="1"/>
    <col min="3" max="3" width="11.09765625" customWidth="1"/>
    <col min="4" max="4" width="12.3984375" style="46" customWidth="1"/>
    <col min="5" max="5" width="9.3984375" style="46" bestFit="1" customWidth="1"/>
    <col min="6" max="6" width="58.3984375" customWidth="1"/>
    <col min="7" max="7" width="15.5" customWidth="1"/>
    <col min="8" max="8" width="78.5" customWidth="1"/>
    <col min="9" max="9" width="26.5" customWidth="1"/>
    <col min="13" max="13" width="11.3984375" bestFit="1" customWidth="1"/>
  </cols>
  <sheetData>
    <row r="1" spans="1:9" s="4" customFormat="1" ht="45.9" customHeight="1">
      <c r="A1" s="4" t="s">
        <v>451</v>
      </c>
      <c r="B1" s="4" t="s">
        <v>452</v>
      </c>
      <c r="C1" s="4" t="s">
        <v>453</v>
      </c>
      <c r="D1" s="4" t="s">
        <v>454</v>
      </c>
      <c r="E1" s="4" t="s">
        <v>1</v>
      </c>
      <c r="F1" s="4" t="s">
        <v>184</v>
      </c>
      <c r="G1" s="4" t="s">
        <v>8</v>
      </c>
      <c r="H1" s="4" t="s">
        <v>455</v>
      </c>
      <c r="I1" s="4" t="s">
        <v>456</v>
      </c>
    </row>
    <row r="2" spans="1:9">
      <c r="A2" s="79">
        <v>249</v>
      </c>
      <c r="B2" s="80">
        <v>44622</v>
      </c>
      <c r="C2" s="80">
        <v>44561</v>
      </c>
      <c r="D2" s="81" t="str">
        <f>IF(Libro_Diario[[#This Row],[Fecha Contable]]&lt;&gt;"",MONTH(C2)&amp;"-"&amp;YEAR(C2),"")</f>
        <v>12-2021</v>
      </c>
      <c r="E2" s="82">
        <f>IF(Libro_Diario[[#This Row],[Fecha Contable]]&lt;&gt;"",YEAR(C2),"")</f>
        <v>2021</v>
      </c>
      <c r="F2" s="83" t="s">
        <v>23</v>
      </c>
      <c r="G2" s="84">
        <v>121100</v>
      </c>
      <c r="H2" s="85" t="s">
        <v>457</v>
      </c>
    </row>
    <row r="3" spans="1:9">
      <c r="A3" s="79">
        <v>250</v>
      </c>
      <c r="B3" s="80">
        <v>44622</v>
      </c>
      <c r="C3" s="80">
        <v>44592</v>
      </c>
      <c r="D3" s="81" t="str">
        <f>IF(Libro_Diario[[#This Row],[Fecha Contable]]&lt;&gt;"",MONTH(C3)&amp;"-"&amp;YEAR(C3),"")</f>
        <v>1-2022</v>
      </c>
      <c r="E3" s="79">
        <f>IF(Libro_Diario[[#This Row],[Fecha Contable]]&lt;&gt;"",YEAR(C3),"")</f>
        <v>2022</v>
      </c>
      <c r="F3" s="83" t="s">
        <v>23</v>
      </c>
      <c r="G3" s="84">
        <v>88200</v>
      </c>
      <c r="H3" s="85" t="s">
        <v>458</v>
      </c>
    </row>
    <row r="4" spans="1:9">
      <c r="A4" s="79">
        <v>254</v>
      </c>
      <c r="B4" s="80">
        <v>44629</v>
      </c>
      <c r="C4" s="80">
        <v>44620</v>
      </c>
      <c r="D4" s="81" t="str">
        <f>IF(Libro_Diario[[#This Row],[Fecha Contable]]&lt;&gt;"",MONTH(C4)&amp;"-"&amp;YEAR(C4),"")</f>
        <v>2-2022</v>
      </c>
      <c r="E4" s="79">
        <f>IF(Libro_Diario[[#This Row],[Fecha Contable]]&lt;&gt;"",YEAR(C4),"")</f>
        <v>2022</v>
      </c>
      <c r="F4" s="83" t="s">
        <v>23</v>
      </c>
      <c r="G4" s="84">
        <v>107800</v>
      </c>
      <c r="H4" s="85" t="s">
        <v>459</v>
      </c>
    </row>
    <row r="5" spans="1:9">
      <c r="A5" s="79">
        <v>251</v>
      </c>
      <c r="B5" s="80">
        <v>44624</v>
      </c>
      <c r="C5" s="80">
        <v>44624</v>
      </c>
      <c r="D5" s="81" t="str">
        <f>IF(Libro_Diario[[#This Row],[Fecha Contable]]&lt;&gt;"",MONTH(C5)&amp;"-"&amp;YEAR(C5),"")</f>
        <v>3-2022</v>
      </c>
      <c r="E5" s="79">
        <f>IF(Libro_Diario[[#This Row],[Fecha Contable]]&lt;&gt;"",YEAR(C5),"")</f>
        <v>2022</v>
      </c>
      <c r="F5" s="83" t="s">
        <v>38</v>
      </c>
      <c r="G5" s="84">
        <v>2000000</v>
      </c>
      <c r="H5" s="85" t="s">
        <v>460</v>
      </c>
    </row>
    <row r="6" spans="1:9">
      <c r="A6" s="79">
        <v>259</v>
      </c>
      <c r="B6" s="80">
        <v>44678</v>
      </c>
      <c r="C6" s="80">
        <v>44650</v>
      </c>
      <c r="D6" s="81" t="str">
        <f>IF(Libro_Diario[[#This Row],[Fecha Contable]]&lt;&gt;"",MONTH(C6)&amp;"-"&amp;YEAR(C6),"")</f>
        <v>3-2022</v>
      </c>
      <c r="E6" s="79">
        <f>IF(Libro_Diario[[#This Row],[Fecha Contable]]&lt;&gt;"",YEAR(C6),"")</f>
        <v>2022</v>
      </c>
      <c r="F6" s="83" t="s">
        <v>23</v>
      </c>
      <c r="G6" s="84">
        <v>149800</v>
      </c>
      <c r="H6" s="85" t="s">
        <v>461</v>
      </c>
    </row>
    <row r="7" spans="1:9">
      <c r="A7" s="79">
        <v>258</v>
      </c>
      <c r="B7" s="80">
        <v>44671</v>
      </c>
      <c r="C7" s="80">
        <v>44671</v>
      </c>
      <c r="D7" s="81" t="str">
        <f>IF(Libro_Diario[[#This Row],[Fecha Contable]]&lt;&gt;"",MONTH(C7)&amp;"-"&amp;YEAR(C7),"")</f>
        <v>4-2022</v>
      </c>
      <c r="E7" s="79">
        <f>IF(Libro_Diario[[#This Row],[Fecha Contable]]&lt;&gt;"",YEAR(C7),"")</f>
        <v>2022</v>
      </c>
      <c r="F7" s="83" t="s">
        <v>38</v>
      </c>
      <c r="G7" s="84">
        <v>3071800</v>
      </c>
      <c r="H7" s="85" t="s">
        <v>462</v>
      </c>
    </row>
    <row r="8" spans="1:9">
      <c r="A8" s="79">
        <v>268</v>
      </c>
      <c r="B8" s="80">
        <v>44712</v>
      </c>
      <c r="C8" s="80">
        <v>44681</v>
      </c>
      <c r="D8" s="81" t="str">
        <f>IF(Libro_Diario[[#This Row],[Fecha Contable]]&lt;&gt;"",MONTH(C8)&amp;"-"&amp;YEAR(C8),"")</f>
        <v>4-2022</v>
      </c>
      <c r="E8" s="79">
        <f>IF(Libro_Diario[[#This Row],[Fecha Contable]]&lt;&gt;"",YEAR(C8),"")</f>
        <v>2022</v>
      </c>
      <c r="F8" s="83" t="s">
        <v>23</v>
      </c>
      <c r="G8" s="84">
        <v>149800</v>
      </c>
      <c r="H8" s="85" t="s">
        <v>463</v>
      </c>
    </row>
    <row r="9" spans="1:9">
      <c r="A9" s="79">
        <v>269</v>
      </c>
      <c r="B9" s="80">
        <v>44712</v>
      </c>
      <c r="C9" s="80">
        <v>44711</v>
      </c>
      <c r="D9" s="81" t="str">
        <f>IF(Libro_Diario[[#This Row],[Fecha Contable]]&lt;&gt;"",MONTH(C9)&amp;"-"&amp;YEAR(C9),"")</f>
        <v>5-2022</v>
      </c>
      <c r="E9" s="79">
        <f>IF(Libro_Diario[[#This Row],[Fecha Contable]]&lt;&gt;"",YEAR(C9),"")</f>
        <v>2022</v>
      </c>
      <c r="F9" s="83" t="s">
        <v>23</v>
      </c>
      <c r="G9" s="84">
        <v>149800</v>
      </c>
      <c r="H9" s="85" t="s">
        <v>464</v>
      </c>
    </row>
    <row r="10" spans="1:9">
      <c r="A10" s="79">
        <v>299</v>
      </c>
      <c r="B10" s="80">
        <v>44784</v>
      </c>
      <c r="C10" s="80">
        <v>44742</v>
      </c>
      <c r="D10" s="81" t="str">
        <f>IF(Libro_Diario[[#This Row],[Fecha Contable]]&lt;&gt;"",MONTH(C10)&amp;"-"&amp;YEAR(C10),"")</f>
        <v>6-2022</v>
      </c>
      <c r="E10" s="79">
        <f>IF(Libro_Diario[[#This Row],[Fecha Contable]]&lt;&gt;"",YEAR(C10),"")</f>
        <v>2022</v>
      </c>
      <c r="F10" s="83" t="s">
        <v>23</v>
      </c>
      <c r="G10" s="84">
        <v>149800</v>
      </c>
      <c r="H10" s="85" t="s">
        <v>465</v>
      </c>
    </row>
    <row r="11" spans="1:9">
      <c r="A11" s="79">
        <v>300</v>
      </c>
      <c r="B11" s="80">
        <v>44784</v>
      </c>
      <c r="C11" s="80">
        <v>44772</v>
      </c>
      <c r="D11" s="81" t="str">
        <f>IF(Libro_Diario[[#This Row],[Fecha Contable]]&lt;&gt;"",MONTH(C11)&amp;"-"&amp;YEAR(C11),"")</f>
        <v>7-2022</v>
      </c>
      <c r="E11" s="79">
        <f>IF(Libro_Diario[[#This Row],[Fecha Contable]]&lt;&gt;"",YEAR(C11),"")</f>
        <v>2022</v>
      </c>
      <c r="F11" s="83" t="s">
        <v>23</v>
      </c>
      <c r="G11" s="84">
        <v>149800</v>
      </c>
      <c r="H11" s="85" t="s">
        <v>466</v>
      </c>
    </row>
    <row r="12" spans="1:9">
      <c r="A12" s="79">
        <v>301</v>
      </c>
      <c r="B12" s="80">
        <v>44784</v>
      </c>
      <c r="C12" s="80">
        <v>44803</v>
      </c>
      <c r="D12" s="81" t="str">
        <f>IF(Libro_Diario[[#This Row],[Fecha Contable]]&lt;&gt;"",MONTH(C12)&amp;"-"&amp;YEAR(C12),"")</f>
        <v>8-2022</v>
      </c>
      <c r="E12" s="79">
        <f>IF(Libro_Diario[[#This Row],[Fecha Contable]]&lt;&gt;"",YEAR(C12),"")</f>
        <v>2022</v>
      </c>
      <c r="F12" s="83" t="s">
        <v>23</v>
      </c>
      <c r="G12" s="84">
        <v>149800</v>
      </c>
      <c r="H12" s="85" t="s">
        <v>467</v>
      </c>
    </row>
    <row r="13" spans="1:9" s="5" customFormat="1" ht="62.4">
      <c r="A13" s="79">
        <v>331</v>
      </c>
      <c r="B13" s="80">
        <v>44872</v>
      </c>
      <c r="C13" s="80">
        <v>44872</v>
      </c>
      <c r="D13" s="81" t="str">
        <f>IF(Libro_Diario[[#This Row],[Fecha Contable]]&lt;&gt;"",MONTH(C13)&amp;"-"&amp;YEAR(C13),"")</f>
        <v>11-2022</v>
      </c>
      <c r="E13" s="79">
        <f>IF(Libro_Diario[[#This Row],[Fecha Contable]]&lt;&gt;"",YEAR(C13),"")</f>
        <v>2022</v>
      </c>
      <c r="F13" s="83" t="s">
        <v>23</v>
      </c>
      <c r="G13" s="84">
        <v>449400</v>
      </c>
      <c r="H13" s="86" t="s">
        <v>468</v>
      </c>
    </row>
    <row r="14" spans="1:9" ht="31.2">
      <c r="A14" s="79" t="s">
        <v>469</v>
      </c>
      <c r="B14" s="80">
        <v>44958</v>
      </c>
      <c r="C14" s="80">
        <v>44926</v>
      </c>
      <c r="D14" s="81" t="str">
        <f>IF(Libro_Diario[[#This Row],[Fecha Contable]]&lt;&gt;"",MONTH(C14)&amp;"-"&amp;YEAR(C14),"")</f>
        <v>12-2022</v>
      </c>
      <c r="E14" s="79">
        <f>IF(Libro_Diario[[#This Row],[Fecha Contable]]&lt;&gt;"",YEAR(C14),"")</f>
        <v>2022</v>
      </c>
      <c r="F14" s="83" t="s">
        <v>23</v>
      </c>
      <c r="G14" s="84">
        <v>218440</v>
      </c>
      <c r="H14" s="87" t="s">
        <v>470</v>
      </c>
    </row>
    <row r="15" spans="1:9" ht="31.2">
      <c r="A15" s="79">
        <v>2452</v>
      </c>
      <c r="B15" s="80">
        <v>44699</v>
      </c>
      <c r="C15" s="80">
        <v>44699</v>
      </c>
      <c r="D15" s="81" t="str">
        <f>IF(Libro_Diario[[#This Row],[Fecha Contable]]&lt;&gt;"",MONTH(C15)&amp;"-"&amp;YEAR(C15),"")</f>
        <v>5-2022</v>
      </c>
      <c r="E15" s="79">
        <f>IF(Libro_Diario[[#This Row],[Fecha Contable]]&lt;&gt;"",YEAR(C15),"")</f>
        <v>2022</v>
      </c>
      <c r="F15" s="83" t="s">
        <v>41</v>
      </c>
      <c r="G15" s="84">
        <v>380572</v>
      </c>
      <c r="H15" s="87" t="s">
        <v>471</v>
      </c>
    </row>
    <row r="16" spans="1:9">
      <c r="A16" s="79">
        <v>28589</v>
      </c>
      <c r="B16" s="80">
        <v>44628</v>
      </c>
      <c r="C16" s="80">
        <v>44628</v>
      </c>
      <c r="D16" s="81" t="str">
        <f>IF(Libro_Diario[[#This Row],[Fecha Contable]]&lt;&gt;"",MONTH(C16)&amp;"-"&amp;YEAR(C16),"")</f>
        <v>3-2022</v>
      </c>
      <c r="E16" s="79">
        <f>IF(Libro_Diario[[#This Row],[Fecha Contable]]&lt;&gt;"",YEAR(C16),"")</f>
        <v>2022</v>
      </c>
      <c r="F16" s="83" t="s">
        <v>41</v>
      </c>
      <c r="G16" s="84">
        <v>2300</v>
      </c>
      <c r="H16" s="85" t="s">
        <v>472</v>
      </c>
    </row>
    <row r="17" spans="1:9">
      <c r="A17" s="79">
        <v>3196</v>
      </c>
      <c r="B17" s="80">
        <v>44594</v>
      </c>
      <c r="C17" s="80">
        <v>44594</v>
      </c>
      <c r="D17" s="81" t="str">
        <f>IF(Libro_Diario[[#This Row],[Fecha Contable]]&lt;&gt;"",MONTH(C17)&amp;"-"&amp;YEAR(C17),"")</f>
        <v>2-2022</v>
      </c>
      <c r="E17" s="79">
        <f>IF(Libro_Diario[[#This Row],[Fecha Contable]]&lt;&gt;"",YEAR(C17),"")</f>
        <v>2022</v>
      </c>
      <c r="F17" s="83" t="s">
        <v>30</v>
      </c>
      <c r="G17" s="84">
        <v>22330</v>
      </c>
      <c r="H17" s="85" t="s">
        <v>473</v>
      </c>
    </row>
    <row r="18" spans="1:9">
      <c r="A18" s="79">
        <v>1631</v>
      </c>
      <c r="B18" s="80">
        <v>44593</v>
      </c>
      <c r="C18" s="80">
        <v>44593</v>
      </c>
      <c r="D18" s="81" t="str">
        <f>IF(Libro_Diario[[#This Row],[Fecha Contable]]&lt;&gt;"",MONTH(C18)&amp;"-"&amp;YEAR(C18),"")</f>
        <v>2-2022</v>
      </c>
      <c r="E18" s="79">
        <f>IF(Libro_Diario[[#This Row],[Fecha Contable]]&lt;&gt;"",YEAR(C18),"")</f>
        <v>2022</v>
      </c>
      <c r="F18" s="83" t="s">
        <v>30</v>
      </c>
      <c r="G18" s="84">
        <v>7700</v>
      </c>
      <c r="H18" s="85" t="s">
        <v>473</v>
      </c>
    </row>
    <row r="19" spans="1:9">
      <c r="A19" s="79" t="s">
        <v>474</v>
      </c>
      <c r="B19" s="80">
        <v>44602</v>
      </c>
      <c r="C19" s="80">
        <v>44602</v>
      </c>
      <c r="D19" s="81" t="str">
        <f>IF(Libro_Diario[[#This Row],[Fecha Contable]]&lt;&gt;"",MONTH(C19)&amp;"-"&amp;YEAR(C19),"")</f>
        <v>2-2022</v>
      </c>
      <c r="E19" s="79">
        <f>IF(Libro_Diario[[#This Row],[Fecha Contable]]&lt;&gt;"",YEAR(C19),"")</f>
        <v>2022</v>
      </c>
      <c r="F19" s="83" t="s">
        <v>128</v>
      </c>
      <c r="G19" s="84">
        <v>71549</v>
      </c>
      <c r="H19" s="85" t="s">
        <v>475</v>
      </c>
    </row>
    <row r="20" spans="1:9">
      <c r="A20" s="79" t="s">
        <v>474</v>
      </c>
      <c r="B20" s="80">
        <v>44602</v>
      </c>
      <c r="C20" s="80">
        <v>44602</v>
      </c>
      <c r="D20" s="81" t="str">
        <f>IF(Libro_Diario[[#This Row],[Fecha Contable]]&lt;&gt;"",MONTH(C20)&amp;"-"&amp;YEAR(C20),"")</f>
        <v>2-2022</v>
      </c>
      <c r="E20" s="79">
        <f>IF(Libro_Diario[[#This Row],[Fecha Contable]]&lt;&gt;"",YEAR(C20),"")</f>
        <v>2022</v>
      </c>
      <c r="F20" s="83" t="s">
        <v>124</v>
      </c>
      <c r="G20" s="84">
        <v>17960</v>
      </c>
      <c r="H20" s="85" t="s">
        <v>329</v>
      </c>
    </row>
    <row r="21" spans="1:9">
      <c r="A21" s="79" t="s">
        <v>474</v>
      </c>
      <c r="B21" s="80">
        <v>44783</v>
      </c>
      <c r="C21" s="80">
        <v>44783</v>
      </c>
      <c r="D21" s="81" t="str">
        <f>IF(Libro_Diario[[#This Row],[Fecha Contable]]&lt;&gt;"",MONTH(C21)&amp;"-"&amp;YEAR(C21),"")</f>
        <v>8-2022</v>
      </c>
      <c r="E21" s="79">
        <f>IF(Libro_Diario[[#This Row],[Fecha Contable]]&lt;&gt;"",YEAR(C21),"")</f>
        <v>2022</v>
      </c>
      <c r="F21" s="83" t="s">
        <v>30</v>
      </c>
      <c r="G21" s="84">
        <v>10230</v>
      </c>
      <c r="H21" s="85" t="s">
        <v>352</v>
      </c>
    </row>
    <row r="22" spans="1:9">
      <c r="A22" s="79" t="s">
        <v>474</v>
      </c>
      <c r="B22" s="80">
        <v>44741</v>
      </c>
      <c r="C22" s="80">
        <v>44741</v>
      </c>
      <c r="D22" s="81" t="str">
        <f>IF(Libro_Diario[[#This Row],[Fecha Contable]]&lt;&gt;"",MONTH(C22)&amp;"-"&amp;YEAR(C22),"")</f>
        <v>6-2022</v>
      </c>
      <c r="E22" s="79">
        <f>IF(Libro_Diario[[#This Row],[Fecha Contable]]&lt;&gt;"",YEAR(C22),"")</f>
        <v>2022</v>
      </c>
      <c r="F22" s="83" t="s">
        <v>140</v>
      </c>
      <c r="G22" s="84">
        <v>12000</v>
      </c>
      <c r="H22" s="85" t="s">
        <v>476</v>
      </c>
    </row>
    <row r="23" spans="1:9">
      <c r="A23" s="6">
        <v>20755</v>
      </c>
      <c r="B23" s="7">
        <v>45546</v>
      </c>
      <c r="C23" s="7">
        <v>45548</v>
      </c>
      <c r="D23" s="45" t="str">
        <f>IF(Libro_Diario[[#This Row],[Fecha Contable]]&lt;&gt;"",MONTH(C23)&amp;"-"&amp;YEAR(C23),"")</f>
        <v>9-2024</v>
      </c>
      <c r="E23" s="6">
        <f>IF(Libro_Diario[[#This Row],[Fecha Contable]]&lt;&gt;"",YEAR(C23),"")</f>
        <v>2024</v>
      </c>
      <c r="F23" s="8" t="s">
        <v>94</v>
      </c>
      <c r="G23" s="9">
        <v>103200</v>
      </c>
      <c r="H23" t="s">
        <v>477</v>
      </c>
    </row>
    <row r="24" spans="1:9">
      <c r="A24" s="6" t="s">
        <v>469</v>
      </c>
      <c r="B24" s="7">
        <v>45477</v>
      </c>
      <c r="C24" s="7">
        <v>45548</v>
      </c>
      <c r="D24" s="45" t="str">
        <f>IF(Libro_Diario[[#This Row],[Fecha Contable]]&lt;&gt;"",MONTH(C24)&amp;"-"&amp;YEAR(C24),"")</f>
        <v>9-2024</v>
      </c>
      <c r="E24" s="6">
        <f>IF(Libro_Diario[[#This Row],[Fecha Contable]]&lt;&gt;"",YEAR(C24),"")</f>
        <v>2024</v>
      </c>
      <c r="F24" s="8" t="s">
        <v>41</v>
      </c>
      <c r="G24" s="9">
        <v>3490</v>
      </c>
      <c r="H24" t="s">
        <v>478</v>
      </c>
    </row>
    <row r="25" spans="1:9">
      <c r="A25" s="6" t="s">
        <v>469</v>
      </c>
      <c r="B25" s="7">
        <v>45477</v>
      </c>
      <c r="C25" s="7">
        <v>45548</v>
      </c>
      <c r="D25" s="45" t="str">
        <f>IF(Libro_Diario[[#This Row],[Fecha Contable]]&lt;&gt;"",MONTH(C25)&amp;"-"&amp;YEAR(C25),"")</f>
        <v>9-2024</v>
      </c>
      <c r="E25" s="6">
        <f>IF(Libro_Diario[[#This Row],[Fecha Contable]]&lt;&gt;"",YEAR(C25),"")</f>
        <v>2024</v>
      </c>
      <c r="F25" s="8" t="s">
        <v>41</v>
      </c>
      <c r="G25" s="9">
        <v>2796</v>
      </c>
      <c r="H25" t="s">
        <v>478</v>
      </c>
    </row>
    <row r="26" spans="1:9">
      <c r="A26" s="6" t="s">
        <v>469</v>
      </c>
      <c r="B26" s="7">
        <v>45498</v>
      </c>
      <c r="C26" s="7">
        <v>45548</v>
      </c>
      <c r="D26" s="45" t="str">
        <f>IF(Libro_Diario[[#This Row],[Fecha Contable]]&lt;&gt;"",MONTH(C26)&amp;"-"&amp;YEAR(C26),"")</f>
        <v>9-2024</v>
      </c>
      <c r="E26" s="6">
        <f>IF(Libro_Diario[[#This Row],[Fecha Contable]]&lt;&gt;"",YEAR(C26),"")</f>
        <v>2024</v>
      </c>
      <c r="F26" s="8" t="s">
        <v>41</v>
      </c>
      <c r="G26" s="9">
        <v>2893</v>
      </c>
      <c r="H26" t="s">
        <v>478</v>
      </c>
    </row>
    <row r="27" spans="1:9">
      <c r="A27" s="6" t="s">
        <v>469</v>
      </c>
      <c r="B27" s="7">
        <v>45498</v>
      </c>
      <c r="C27" s="7">
        <v>45548</v>
      </c>
      <c r="D27" s="45" t="str">
        <f>IF(Libro_Diario[[#This Row],[Fecha Contable]]&lt;&gt;"",MONTH(C27)&amp;"-"&amp;YEAR(C27),"")</f>
        <v>9-2024</v>
      </c>
      <c r="E27" s="6">
        <f>IF(Libro_Diario[[#This Row],[Fecha Contable]]&lt;&gt;"",YEAR(C27),"")</f>
        <v>2024</v>
      </c>
      <c r="F27" s="8" t="s">
        <v>41</v>
      </c>
      <c r="G27" s="9">
        <v>2892</v>
      </c>
      <c r="H27" t="s">
        <v>478</v>
      </c>
    </row>
    <row r="28" spans="1:9">
      <c r="A28" s="92" t="s">
        <v>479</v>
      </c>
      <c r="B28" s="93"/>
      <c r="C28" s="93">
        <v>45548</v>
      </c>
      <c r="D28" s="94" t="str">
        <f>IF(Libro_Diario[[#This Row],[Fecha Contable]]&lt;&gt;"",MONTH(C28)&amp;"-"&amp;YEAR(C28),"")</f>
        <v>9-2024</v>
      </c>
      <c r="E28" s="92">
        <f>IF(Libro_Diario[[#This Row],[Fecha Contable]]&lt;&gt;"",YEAR(C28),"")</f>
        <v>2024</v>
      </c>
      <c r="F28" s="95" t="s">
        <v>23</v>
      </c>
      <c r="G28" s="96">
        <v>160190</v>
      </c>
      <c r="H28" s="90" t="s">
        <v>480</v>
      </c>
      <c r="I28" s="90"/>
    </row>
    <row r="29" spans="1:9">
      <c r="A29" s="92" t="s">
        <v>479</v>
      </c>
      <c r="B29" s="93"/>
      <c r="C29" s="93">
        <v>45548</v>
      </c>
      <c r="D29" s="94" t="str">
        <f>IF(Libro_Diario[[#This Row],[Fecha Contable]]&lt;&gt;"",MONTH(C29)&amp;"-"&amp;YEAR(C29),"")</f>
        <v>9-2024</v>
      </c>
      <c r="E29" s="92">
        <f>IF(Libro_Diario[[#This Row],[Fecha Contable]]&lt;&gt;"",YEAR(C29),"")</f>
        <v>2024</v>
      </c>
      <c r="F29" s="95" t="s">
        <v>23</v>
      </c>
      <c r="G29" s="96">
        <v>160190</v>
      </c>
      <c r="H29" s="90" t="s">
        <v>467</v>
      </c>
      <c r="I29" s="90"/>
    </row>
    <row r="30" spans="1:9">
      <c r="A30" s="260">
        <v>3311430</v>
      </c>
      <c r="B30" s="7">
        <v>45569</v>
      </c>
      <c r="C30" s="7">
        <v>45569</v>
      </c>
      <c r="D30" s="45" t="str">
        <f>IF(Libro_Diario[[#This Row],[Fecha Contable]]&lt;&gt;"",MONTH(C30)&amp;"-"&amp;YEAR(C30),"")</f>
        <v>10-2024</v>
      </c>
      <c r="E30" s="6">
        <f>IF(Libro_Diario[[#This Row],[Fecha Contable]]&lt;&gt;"",YEAR(C30),"")</f>
        <v>2024</v>
      </c>
      <c r="F30" s="8" t="s">
        <v>67</v>
      </c>
      <c r="G30" s="9">
        <v>3958020</v>
      </c>
    </row>
  </sheetData>
  <phoneticPr fontId="4" type="noConversion"/>
  <dataValidations count="2">
    <dataValidation type="date" allowBlank="1" showInputMessage="1" showErrorMessage="1" errorTitle="Error Fecha" error="Las fechas validas por ano son desde 01/01 al 31/12 del ano en curso" promptTitle="Fecha" sqref="B2:C30" xr:uid="{623FB9F9-7C92-C241-B6DF-9056B508DC6E}">
      <formula1>44197</formula1>
      <formula2>45657</formula2>
    </dataValidation>
    <dataValidation type="list" allowBlank="1" showInputMessage="1" showErrorMessage="1" sqref="F2:F30" xr:uid="{BF9FB9C1-6655-C343-8F62-C39F152DADB3}">
      <formula1>#REF!</formula1>
    </dataValidation>
  </dataValidations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C04F1-7985-944C-8D56-CF105C0D0E4C}">
  <sheetPr codeName="Hoja7"/>
  <dimension ref="A3:F5"/>
  <sheetViews>
    <sheetView workbookViewId="0">
      <selection activeCell="C16" sqref="C16"/>
    </sheetView>
  </sheetViews>
  <sheetFormatPr baseColWidth="10" defaultColWidth="11" defaultRowHeight="15.6"/>
  <cols>
    <col min="2" max="2" width="22.8984375" customWidth="1"/>
    <col min="3" max="3" width="34" customWidth="1"/>
    <col min="4" max="6" width="12.69921875" style="89" customWidth="1"/>
  </cols>
  <sheetData>
    <row r="3" spans="1:6">
      <c r="C3" t="s">
        <v>481</v>
      </c>
      <c r="D3" s="89">
        <f>SUM(D5:D25000)</f>
        <v>0</v>
      </c>
      <c r="E3" s="89">
        <f>SUM(E5:E25000)</f>
        <v>37897706</v>
      </c>
      <c r="F3" s="89">
        <f>SUM(F5:F25000)</f>
        <v>37897706</v>
      </c>
    </row>
    <row r="4" spans="1:6">
      <c r="A4" t="s">
        <v>4</v>
      </c>
      <c r="B4" t="s">
        <v>184</v>
      </c>
      <c r="C4" t="s">
        <v>482</v>
      </c>
      <c r="D4" s="89" t="s">
        <v>483</v>
      </c>
      <c r="E4" s="89" t="s">
        <v>484</v>
      </c>
      <c r="F4" s="89" t="s">
        <v>0</v>
      </c>
    </row>
    <row r="5" spans="1:6">
      <c r="A5" s="88">
        <v>45546</v>
      </c>
      <c r="B5" t="s">
        <v>485</v>
      </c>
      <c r="C5" t="s">
        <v>486</v>
      </c>
      <c r="E5" s="89">
        <v>37897706</v>
      </c>
      <c r="F5" s="89">
        <f>E5-D5</f>
        <v>37897706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8729714D-BE4C-45D8-A592-E9171931FBAD}">
  <ds:schemaRefs/>
</ds:datastoreItem>
</file>

<file path=customXml/itemProps2.xml><?xml version="1.0" encoding="utf-8"?>
<ds:datastoreItem xmlns:ds="http://schemas.openxmlformats.org/officeDocument/2006/customXml" ds:itemID="{997B33A7-9501-460E-835C-CAC418B785AD}">
  <ds:schemaRefs/>
</ds:datastoreItem>
</file>

<file path=customXml/itemProps3.xml><?xml version="1.0" encoding="utf-8"?>
<ds:datastoreItem xmlns:ds="http://schemas.openxmlformats.org/officeDocument/2006/customXml" ds:itemID="{1CF8DDE6-F9D9-4204-AFD8-0BB024739724}">
  <ds:schemaRefs/>
</ds:datastoreItem>
</file>

<file path=customXml/itemProps4.xml><?xml version="1.0" encoding="utf-8"?>
<ds:datastoreItem xmlns:ds="http://schemas.openxmlformats.org/officeDocument/2006/customXml" ds:itemID="{C757DF92-1370-4517-8CE7-2E3AAFD02C11}">
  <ds:schemaRefs/>
</ds:datastoreItem>
</file>

<file path=customXml/itemProps5.xml><?xml version="1.0" encoding="utf-8"?>
<ds:datastoreItem xmlns:ds="http://schemas.openxmlformats.org/officeDocument/2006/customXml" ds:itemID="{906DADF5-04E2-43E7-894A-F40355182938}">
  <ds:schemaRefs/>
</ds:datastoreItem>
</file>

<file path=customXml/itemProps6.xml><?xml version="1.0" encoding="utf-8"?>
<ds:datastoreItem xmlns:ds="http://schemas.openxmlformats.org/officeDocument/2006/customXml" ds:itemID="{137A5110-2E2D-43A3-AF5A-24E572C5C2C5}">
  <ds:schemaRefs/>
</ds:datastoreItem>
</file>

<file path=customXml/itemProps7.xml><?xml version="1.0" encoding="utf-8"?>
<ds:datastoreItem xmlns:ds="http://schemas.openxmlformats.org/officeDocument/2006/customXml" ds:itemID="{D8621EA1-554A-45AA-9128-1FEF52FD4D3D}">
  <ds:schemaRefs/>
</ds:datastoreItem>
</file>

<file path=customXml/itemProps8.xml><?xml version="1.0" encoding="utf-8"?>
<ds:datastoreItem xmlns:ds="http://schemas.openxmlformats.org/officeDocument/2006/customXml" ds:itemID="{8AACB95F-955A-47D2-92F5-609D093EFA63}">
  <ds:schemaRefs>
    <ds:schemaRef ds:uri="http://schemas.microsoft.com/DataMashup"/>
  </ds:schemaRefs>
</ds:datastoreItem>
</file>

<file path=customXml/itemProps9.xml><?xml version="1.0" encoding="utf-8"?>
<ds:datastoreItem xmlns:ds="http://schemas.openxmlformats.org/officeDocument/2006/customXml" ds:itemID="{C4581C77-B4BB-4CFD-9036-B9D0A8A09B72}">
  <ds:schemaRefs/>
</ds:datastoreItem>
</file>

<file path=customXml/itemProps10.xml><?xml version="1.0" encoding="utf-8"?>
<ds:datastoreItem xmlns:ds="http://schemas.openxmlformats.org/officeDocument/2006/customXml" ds:itemID="{78A4B337-6F9D-4FB1-B0C2-7F3AA7E5BD04}">
  <ds:schemaRefs/>
</ds:datastoreItem>
</file>

<file path=customXml/itemProps11.xml><?xml version="1.0" encoding="utf-8"?>
<ds:datastoreItem xmlns:ds="http://schemas.openxmlformats.org/officeDocument/2006/customXml" ds:itemID="{4DB518A7-DC9B-4090-895E-744D3FA4755E}">
  <ds:schemaRefs/>
</ds:datastoreItem>
</file>

<file path=customXml/itemProps12.xml><?xml version="1.0" encoding="utf-8"?>
<ds:datastoreItem xmlns:ds="http://schemas.openxmlformats.org/officeDocument/2006/customXml" ds:itemID="{AB32DF1F-BB9E-4504-8B05-D3A8B7B2AE64}">
  <ds:schemaRefs/>
</ds:datastoreItem>
</file>

<file path=customXml/itemProps13.xml><?xml version="1.0" encoding="utf-8"?>
<ds:datastoreItem xmlns:ds="http://schemas.openxmlformats.org/officeDocument/2006/customXml" ds:itemID="{0F4C9251-CB03-4D5D-AA4F-C7DB6F6EECC6}">
  <ds:schemaRefs/>
</ds:datastoreItem>
</file>

<file path=customXml/itemProps14.xml><?xml version="1.0" encoding="utf-8"?>
<ds:datastoreItem xmlns:ds="http://schemas.openxmlformats.org/officeDocument/2006/customXml" ds:itemID="{33051626-3951-49B6-957B-E37349753F96}">
  <ds:schemaRefs/>
</ds:datastoreItem>
</file>

<file path=customXml/itemProps15.xml><?xml version="1.0" encoding="utf-8"?>
<ds:datastoreItem xmlns:ds="http://schemas.openxmlformats.org/officeDocument/2006/customXml" ds:itemID="{971119B3-3C61-488E-A64A-1EE932D19B81}">
  <ds:schemaRefs/>
</ds:datastoreItem>
</file>

<file path=customXml/itemProps16.xml><?xml version="1.0" encoding="utf-8"?>
<ds:datastoreItem xmlns:ds="http://schemas.openxmlformats.org/officeDocument/2006/customXml" ds:itemID="{5D43DCB6-F37C-4D73-A5F9-36C2A005FF3B}">
  <ds:schemaRefs/>
</ds:datastoreItem>
</file>

<file path=customXml/itemProps17.xml><?xml version="1.0" encoding="utf-8"?>
<ds:datastoreItem xmlns:ds="http://schemas.openxmlformats.org/officeDocument/2006/customXml" ds:itemID="{82216ADD-3447-4759-8C3B-824852FC906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Top 5</vt:lpstr>
      <vt:lpstr>Para Inf Web</vt:lpstr>
      <vt:lpstr>Hoja1</vt:lpstr>
      <vt:lpstr>Banco</vt:lpstr>
      <vt:lpstr>Plan de Cuentas</vt:lpstr>
      <vt:lpstr>Reumen Anual</vt:lpstr>
      <vt:lpstr>Depósitos a Plazo</vt:lpstr>
      <vt:lpstr>Comprobantes</vt:lpstr>
      <vt:lpstr>Saldo Recepcion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Ludwig Corales Marti</dc:creator>
  <cp:keywords/>
  <dc:description/>
  <cp:lastModifiedBy>Ludwig Corales Marti</cp:lastModifiedBy>
  <cp:revision/>
  <dcterms:created xsi:type="dcterms:W3CDTF">2024-08-03T00:45:05Z</dcterms:created>
  <dcterms:modified xsi:type="dcterms:W3CDTF">2026-03-16T17:52:50Z</dcterms:modified>
  <cp:category/>
  <cp:contentStatus/>
</cp:coreProperties>
</file>